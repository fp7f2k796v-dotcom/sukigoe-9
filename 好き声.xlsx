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ikiko\Dropbox\PC\Downloads\"/>
    </mc:Choice>
  </mc:AlternateContent>
  <xr:revisionPtr revIDLastSave="0" documentId="13_ncr:1_{DD3EEAB6-C51E-4390-801D-C3BE4FC80FE0}" xr6:coauthVersionLast="47" xr6:coauthVersionMax="47" xr10:uidLastSave="{00000000-0000-0000-0000-000000000000}"/>
  <bookViews>
    <workbookView xWindow="2688" yWindow="2688" windowWidth="11676" windowHeight="8964" activeTab="2" xr2:uid="{00000000-000D-0000-FFFF-FFFF00000000}"/>
  </bookViews>
  <sheets>
    <sheet name="作品一覧" sheetId="1" r:id="rId1"/>
    <sheet name="声優一覧" sheetId="2" r:id="rId2"/>
    <sheet name="声優50音順" sheetId="7" r:id="rId3"/>
    <sheet name="定番声優一覧" sheetId="3" r:id="rId4"/>
    <sheet name="代表作一覧" sheetId="4" r:id="rId5"/>
    <sheet name="キャラクター名" sheetId="5" r:id="rId6"/>
    <sheet name="ソート用" sheetId="6" r:id="rId7"/>
  </sheets>
  <calcPr calcId="191029"/>
</workbook>
</file>

<file path=xl/calcChain.xml><?xml version="1.0" encoding="utf-8"?>
<calcChain xmlns="http://schemas.openxmlformats.org/spreadsheetml/2006/main">
  <c r="B31" i="6" l="1"/>
  <c r="A31" i="6"/>
  <c r="B30" i="6"/>
  <c r="A30" i="6"/>
  <c r="B29" i="6"/>
  <c r="A29" i="6"/>
  <c r="B28" i="6"/>
  <c r="A28" i="6"/>
  <c r="B27" i="6"/>
  <c r="A27" i="6"/>
  <c r="B26" i="6"/>
  <c r="A26" i="6"/>
  <c r="B25" i="6"/>
  <c r="A25" i="6"/>
  <c r="B24" i="6"/>
  <c r="A24" i="6"/>
  <c r="B23" i="6"/>
  <c r="A23" i="6"/>
  <c r="B22" i="6"/>
  <c r="A22" i="6"/>
  <c r="B21" i="6"/>
  <c r="A21" i="6"/>
  <c r="B20" i="6"/>
  <c r="A20" i="6"/>
  <c r="B19" i="6"/>
  <c r="A19" i="6"/>
  <c r="B18" i="6"/>
  <c r="A18" i="6"/>
  <c r="B17" i="6"/>
  <c r="A17" i="6"/>
  <c r="B16" i="6"/>
  <c r="A16" i="6"/>
  <c r="B15" i="6"/>
  <c r="A15" i="6"/>
  <c r="B14" i="6"/>
  <c r="A14" i="6"/>
  <c r="B13" i="6"/>
  <c r="A13" i="6"/>
  <c r="B12" i="6"/>
  <c r="A12" i="6"/>
  <c r="B11" i="6"/>
  <c r="A11" i="6"/>
  <c r="B10" i="6"/>
  <c r="A10" i="6"/>
  <c r="B9" i="6"/>
  <c r="A9" i="6"/>
  <c r="B8" i="6"/>
  <c r="A8" i="6"/>
  <c r="B7" i="6"/>
  <c r="A7" i="6"/>
  <c r="B6" i="6"/>
  <c r="A6" i="6"/>
  <c r="B5" i="6"/>
  <c r="A5" i="6"/>
  <c r="E1992" i="5"/>
  <c r="D1992" i="5"/>
  <c r="B1992" i="5"/>
  <c r="A1992" i="5" s="1" a="1"/>
  <c r="A1992" i="5" s="1"/>
  <c r="E1991" i="5"/>
  <c r="D1991" i="5"/>
  <c r="B1991" i="5"/>
  <c r="E1990" i="5"/>
  <c r="D1990" i="5"/>
  <c r="B1990" i="5"/>
  <c r="E1989" i="5"/>
  <c r="D1989" i="5"/>
  <c r="B1989" i="5"/>
  <c r="E1988" i="5"/>
  <c r="D1988" i="5"/>
  <c r="B1988" i="5"/>
  <c r="E1987" i="5"/>
  <c r="D1987" i="5"/>
  <c r="B1987" i="5"/>
  <c r="E1986" i="5"/>
  <c r="D1986" i="5"/>
  <c r="B1986" i="5"/>
  <c r="E1985" i="5"/>
  <c r="D1985" i="5"/>
  <c r="B1985" i="5"/>
  <c r="E1984" i="5"/>
  <c r="D1984" i="5"/>
  <c r="B1984" i="5"/>
  <c r="E1983" i="5"/>
  <c r="D1983" i="5"/>
  <c r="B1983" i="5"/>
  <c r="E1982" i="5"/>
  <c r="D1982" i="5"/>
  <c r="B1982" i="5"/>
  <c r="E1981" i="5"/>
  <c r="D1981" i="5"/>
  <c r="B1981" i="5"/>
  <c r="E1980" i="5"/>
  <c r="D1980" i="5"/>
  <c r="B1980" i="5"/>
  <c r="E1979" i="5"/>
  <c r="D1979" i="5"/>
  <c r="B1979" i="5"/>
  <c r="E1978" i="5"/>
  <c r="D1978" i="5"/>
  <c r="B1978" i="5"/>
  <c r="E1977" i="5"/>
  <c r="D1977" i="5"/>
  <c r="B1977" i="5"/>
  <c r="E1976" i="5"/>
  <c r="D1976" i="5"/>
  <c r="B1976" i="5"/>
  <c r="E1975" i="5"/>
  <c r="D1975" i="5"/>
  <c r="B1975" i="5"/>
  <c r="E1974" i="5"/>
  <c r="D1974" i="5"/>
  <c r="B1974" i="5"/>
  <c r="E1973" i="5"/>
  <c r="D1973" i="5"/>
  <c r="B1973" i="5"/>
  <c r="E1972" i="5"/>
  <c r="D1972" i="5"/>
  <c r="B1972" i="5"/>
  <c r="E1971" i="5"/>
  <c r="D1971" i="5"/>
  <c r="B1971" i="5"/>
  <c r="E1970" i="5"/>
  <c r="D1970" i="5"/>
  <c r="B1970" i="5"/>
  <c r="E1969" i="5"/>
  <c r="D1969" i="5"/>
  <c r="B1969" i="5"/>
  <c r="E1968" i="5"/>
  <c r="D1968" i="5"/>
  <c r="B1968" i="5"/>
  <c r="E1967" i="5"/>
  <c r="D1967" i="5"/>
  <c r="B1967" i="5"/>
  <c r="E1966" i="5"/>
  <c r="D1966" i="5"/>
  <c r="B1966" i="5"/>
  <c r="E1965" i="5"/>
  <c r="D1965" i="5"/>
  <c r="B1965" i="5"/>
  <c r="E1964" i="5"/>
  <c r="D1964" i="5"/>
  <c r="B1964" i="5"/>
  <c r="E1963" i="5"/>
  <c r="D1963" i="5"/>
  <c r="B1963" i="5"/>
  <c r="E1962" i="5"/>
  <c r="D1962" i="5"/>
  <c r="B1962" i="5"/>
  <c r="E1961" i="5"/>
  <c r="D1961" i="5"/>
  <c r="B1961" i="5"/>
  <c r="E1960" i="5"/>
  <c r="D1960" i="5"/>
  <c r="B1960" i="5"/>
  <c r="E1959" i="5"/>
  <c r="D1959" i="5"/>
  <c r="B1959" i="5"/>
  <c r="E1958" i="5"/>
  <c r="D1958" i="5"/>
  <c r="B1958" i="5"/>
  <c r="E1957" i="5"/>
  <c r="D1957" i="5"/>
  <c r="B1957" i="5"/>
  <c r="E1956" i="5"/>
  <c r="D1956" i="5"/>
  <c r="B1956" i="5"/>
  <c r="E1955" i="5"/>
  <c r="D1955" i="5"/>
  <c r="B1955" i="5"/>
  <c r="E1954" i="5"/>
  <c r="D1954" i="5"/>
  <c r="B1954" i="5"/>
  <c r="E1953" i="5"/>
  <c r="D1953" i="5"/>
  <c r="B1953" i="5"/>
  <c r="E1952" i="5"/>
  <c r="D1952" i="5"/>
  <c r="B1952" i="5"/>
  <c r="E1951" i="5"/>
  <c r="D1951" i="5"/>
  <c r="B1951" i="5"/>
  <c r="E1950" i="5"/>
  <c r="D1950" i="5"/>
  <c r="B1950" i="5"/>
  <c r="E1949" i="5"/>
  <c r="D1949" i="5"/>
  <c r="B1949" i="5"/>
  <c r="E1948" i="5"/>
  <c r="D1948" i="5"/>
  <c r="B1948" i="5"/>
  <c r="E1947" i="5"/>
  <c r="D1947" i="5"/>
  <c r="B1947" i="5"/>
  <c r="E1946" i="5"/>
  <c r="D1946" i="5"/>
  <c r="B1946" i="5"/>
  <c r="E1945" i="5"/>
  <c r="D1945" i="5"/>
  <c r="B1945" i="5"/>
  <c r="E1944" i="5"/>
  <c r="D1944" i="5"/>
  <c r="B1944" i="5"/>
  <c r="E1943" i="5"/>
  <c r="D1943" i="5"/>
  <c r="B1943" i="5"/>
  <c r="E1942" i="5"/>
  <c r="D1942" i="5"/>
  <c r="B1942" i="5"/>
  <c r="E1941" i="5"/>
  <c r="D1941" i="5"/>
  <c r="B1941" i="5"/>
  <c r="E1940" i="5"/>
  <c r="D1940" i="5"/>
  <c r="B1940" i="5"/>
  <c r="E1939" i="5"/>
  <c r="D1939" i="5"/>
  <c r="B1939" i="5"/>
  <c r="E1938" i="5"/>
  <c r="D1938" i="5"/>
  <c r="B1938" i="5"/>
  <c r="E1937" i="5"/>
  <c r="D1937" i="5"/>
  <c r="B1937" i="5"/>
  <c r="E1936" i="5"/>
  <c r="D1936" i="5"/>
  <c r="B1936" i="5"/>
  <c r="E1935" i="5"/>
  <c r="D1935" i="5"/>
  <c r="B1935" i="5"/>
  <c r="E1934" i="5"/>
  <c r="D1934" i="5"/>
  <c r="B1934" i="5"/>
  <c r="E1933" i="5"/>
  <c r="D1933" i="5"/>
  <c r="B1933" i="5"/>
  <c r="E1932" i="5"/>
  <c r="D1932" i="5"/>
  <c r="B1932" i="5"/>
  <c r="E1931" i="5"/>
  <c r="D1931" i="5"/>
  <c r="B1931" i="5"/>
  <c r="E1930" i="5"/>
  <c r="D1930" i="5"/>
  <c r="B1930" i="5"/>
  <c r="E1929" i="5"/>
  <c r="D1929" i="5"/>
  <c r="B1929" i="5"/>
  <c r="E1928" i="5"/>
  <c r="D1928" i="5"/>
  <c r="B1928" i="5"/>
  <c r="E1927" i="5"/>
  <c r="D1927" i="5"/>
  <c r="B1927" i="5"/>
  <c r="E1926" i="5"/>
  <c r="D1926" i="5"/>
  <c r="B1926" i="5"/>
  <c r="E1925" i="5"/>
  <c r="D1925" i="5"/>
  <c r="B1925" i="5"/>
  <c r="E1924" i="5"/>
  <c r="D1924" i="5"/>
  <c r="B1924" i="5"/>
  <c r="E1923" i="5"/>
  <c r="D1923" i="5"/>
  <c r="B1923" i="5"/>
  <c r="E1922" i="5"/>
  <c r="D1922" i="5"/>
  <c r="B1922" i="5"/>
  <c r="E1921" i="5"/>
  <c r="D1921" i="5"/>
  <c r="B1921" i="5"/>
  <c r="E1920" i="5"/>
  <c r="D1920" i="5"/>
  <c r="B1920" i="5"/>
  <c r="E1919" i="5"/>
  <c r="D1919" i="5"/>
  <c r="B1919" i="5"/>
  <c r="E1918" i="5"/>
  <c r="D1918" i="5"/>
  <c r="B1918" i="5"/>
  <c r="E1917" i="5"/>
  <c r="D1917" i="5"/>
  <c r="B1917" i="5"/>
  <c r="E1916" i="5"/>
  <c r="D1916" i="5"/>
  <c r="B1916" i="5"/>
  <c r="E1915" i="5"/>
  <c r="D1915" i="5"/>
  <c r="B1915" i="5"/>
  <c r="E1914" i="5"/>
  <c r="D1914" i="5"/>
  <c r="B1914" i="5"/>
  <c r="E1913" i="5"/>
  <c r="D1913" i="5"/>
  <c r="B1913" i="5"/>
  <c r="E1912" i="5"/>
  <c r="D1912" i="5"/>
  <c r="B1912" i="5"/>
  <c r="E1911" i="5"/>
  <c r="D1911" i="5"/>
  <c r="B1911" i="5"/>
  <c r="E1910" i="5"/>
  <c r="D1910" i="5"/>
  <c r="B1910" i="5"/>
  <c r="E1909" i="5"/>
  <c r="D1909" i="5"/>
  <c r="B1909" i="5"/>
  <c r="E1908" i="5"/>
  <c r="D1908" i="5"/>
  <c r="B1908" i="5"/>
  <c r="E1907" i="5"/>
  <c r="D1907" i="5"/>
  <c r="B1907" i="5"/>
  <c r="E1906" i="5"/>
  <c r="D1906" i="5"/>
  <c r="B1906" i="5"/>
  <c r="E1905" i="5"/>
  <c r="D1905" i="5"/>
  <c r="B1905" i="5"/>
  <c r="E1904" i="5"/>
  <c r="D1904" i="5"/>
  <c r="B1904" i="5"/>
  <c r="E1903" i="5"/>
  <c r="D1903" i="5"/>
  <c r="B1903" i="5"/>
  <c r="E1902" i="5"/>
  <c r="D1902" i="5"/>
  <c r="B1902" i="5"/>
  <c r="E1901" i="5"/>
  <c r="D1901" i="5"/>
  <c r="B1901" i="5"/>
  <c r="E1900" i="5"/>
  <c r="D1900" i="5"/>
  <c r="B1900" i="5"/>
  <c r="E1899" i="5"/>
  <c r="D1899" i="5"/>
  <c r="B1899" i="5"/>
  <c r="E1898" i="5"/>
  <c r="D1898" i="5"/>
  <c r="B1898" i="5"/>
  <c r="E1897" i="5"/>
  <c r="D1897" i="5"/>
  <c r="B1897" i="5"/>
  <c r="E1896" i="5"/>
  <c r="D1896" i="5"/>
  <c r="B1896" i="5"/>
  <c r="E1895" i="5"/>
  <c r="D1895" i="5"/>
  <c r="B1895" i="5"/>
  <c r="E1894" i="5"/>
  <c r="D1894" i="5"/>
  <c r="B1894" i="5"/>
  <c r="E1893" i="5"/>
  <c r="D1893" i="5"/>
  <c r="B1893" i="5"/>
  <c r="E1892" i="5"/>
  <c r="D1892" i="5"/>
  <c r="B1892" i="5"/>
  <c r="E1891" i="5"/>
  <c r="D1891" i="5"/>
  <c r="B1891" i="5"/>
  <c r="E1890" i="5"/>
  <c r="D1890" i="5"/>
  <c r="B1890" i="5"/>
  <c r="E1889" i="5"/>
  <c r="D1889" i="5"/>
  <c r="B1889" i="5"/>
  <c r="E1888" i="5"/>
  <c r="D1888" i="5"/>
  <c r="B1888" i="5"/>
  <c r="E1887" i="5"/>
  <c r="D1887" i="5"/>
  <c r="B1887" i="5"/>
  <c r="E1886" i="5"/>
  <c r="D1886" i="5"/>
  <c r="B1886" i="5"/>
  <c r="E1885" i="5"/>
  <c r="D1885" i="5"/>
  <c r="B1885" i="5"/>
  <c r="E1884" i="5"/>
  <c r="D1884" i="5"/>
  <c r="B1884" i="5"/>
  <c r="E1883" i="5"/>
  <c r="D1883" i="5"/>
  <c r="B1883" i="5"/>
  <c r="E1882" i="5"/>
  <c r="D1882" i="5"/>
  <c r="B1882" i="5"/>
  <c r="E1881" i="5"/>
  <c r="D1881" i="5"/>
  <c r="B1881" i="5"/>
  <c r="E1880" i="5"/>
  <c r="D1880" i="5"/>
  <c r="B1880" i="5"/>
  <c r="E1879" i="5"/>
  <c r="D1879" i="5"/>
  <c r="B1879" i="5"/>
  <c r="E1878" i="5"/>
  <c r="D1878" i="5"/>
  <c r="B1878" i="5"/>
  <c r="E1877" i="5"/>
  <c r="D1877" i="5"/>
  <c r="B1877" i="5"/>
  <c r="E1876" i="5"/>
  <c r="D1876" i="5"/>
  <c r="B1876" i="5"/>
  <c r="E1875" i="5"/>
  <c r="D1875" i="5"/>
  <c r="B1875" i="5"/>
  <c r="E1874" i="5"/>
  <c r="D1874" i="5"/>
  <c r="B1874" i="5"/>
  <c r="E1873" i="5"/>
  <c r="D1873" i="5"/>
  <c r="B1873" i="5"/>
  <c r="E1872" i="5"/>
  <c r="D1872" i="5"/>
  <c r="B1872" i="5"/>
  <c r="E1871" i="5"/>
  <c r="D1871" i="5"/>
  <c r="B1871" i="5"/>
  <c r="E1870" i="5"/>
  <c r="D1870" i="5"/>
  <c r="B1870" i="5"/>
  <c r="E1869" i="5"/>
  <c r="D1869" i="5"/>
  <c r="B1869" i="5"/>
  <c r="E1868" i="5"/>
  <c r="D1868" i="5"/>
  <c r="B1868" i="5"/>
  <c r="E1867" i="5"/>
  <c r="D1867" i="5"/>
  <c r="B1867" i="5"/>
  <c r="E1866" i="5"/>
  <c r="D1866" i="5"/>
  <c r="B1866" i="5"/>
  <c r="E1865" i="5"/>
  <c r="D1865" i="5"/>
  <c r="B1865" i="5"/>
  <c r="E1864" i="5"/>
  <c r="D1864" i="5"/>
  <c r="B1864" i="5"/>
  <c r="E1863" i="5"/>
  <c r="D1863" i="5"/>
  <c r="B1863" i="5"/>
  <c r="E1862" i="5"/>
  <c r="D1862" i="5"/>
  <c r="B1862" i="5"/>
  <c r="E1861" i="5"/>
  <c r="D1861" i="5"/>
  <c r="B1861" i="5"/>
  <c r="E1860" i="5"/>
  <c r="D1860" i="5"/>
  <c r="B1860" i="5"/>
  <c r="E1859" i="5"/>
  <c r="D1859" i="5"/>
  <c r="B1859" i="5"/>
  <c r="E1858" i="5"/>
  <c r="D1858" i="5"/>
  <c r="B1858" i="5"/>
  <c r="E1857" i="5"/>
  <c r="D1857" i="5"/>
  <c r="B1857" i="5"/>
  <c r="E1856" i="5"/>
  <c r="D1856" i="5"/>
  <c r="B1856" i="5"/>
  <c r="E1855" i="5"/>
  <c r="D1855" i="5"/>
  <c r="B1855" i="5"/>
  <c r="E1854" i="5"/>
  <c r="D1854" i="5"/>
  <c r="B1854" i="5"/>
  <c r="E1853" i="5"/>
  <c r="D1853" i="5"/>
  <c r="B1853" i="5"/>
  <c r="E1852" i="5"/>
  <c r="D1852" i="5"/>
  <c r="B1852" i="5"/>
  <c r="E1851" i="5"/>
  <c r="D1851" i="5"/>
  <c r="B1851" i="5"/>
  <c r="E1850" i="5"/>
  <c r="D1850" i="5"/>
  <c r="B1850" i="5"/>
  <c r="E1849" i="5"/>
  <c r="D1849" i="5"/>
  <c r="B1849" i="5"/>
  <c r="E1848" i="5"/>
  <c r="D1848" i="5"/>
  <c r="B1848" i="5"/>
  <c r="E1847" i="5"/>
  <c r="D1847" i="5"/>
  <c r="B1847" i="5"/>
  <c r="E1846" i="5"/>
  <c r="D1846" i="5"/>
  <c r="B1846" i="5"/>
  <c r="E1845" i="5"/>
  <c r="D1845" i="5"/>
  <c r="B1845" i="5"/>
  <c r="E1844" i="5"/>
  <c r="D1844" i="5"/>
  <c r="B1844" i="5"/>
  <c r="E1843" i="5"/>
  <c r="D1843" i="5"/>
  <c r="B1843" i="5"/>
  <c r="E1842" i="5"/>
  <c r="D1842" i="5"/>
  <c r="B1842" i="5"/>
  <c r="E1841" i="5"/>
  <c r="D1841" i="5"/>
  <c r="B1841" i="5"/>
  <c r="E1840" i="5"/>
  <c r="D1840" i="5"/>
  <c r="B1840" i="5"/>
  <c r="E1839" i="5"/>
  <c r="D1839" i="5"/>
  <c r="B1839" i="5"/>
  <c r="E1838" i="5"/>
  <c r="D1838" i="5"/>
  <c r="B1838" i="5"/>
  <c r="E1837" i="5"/>
  <c r="D1837" i="5"/>
  <c r="B1837" i="5"/>
  <c r="E1836" i="5"/>
  <c r="D1836" i="5"/>
  <c r="B1836" i="5"/>
  <c r="E1835" i="5"/>
  <c r="D1835" i="5"/>
  <c r="B1835" i="5"/>
  <c r="E1834" i="5"/>
  <c r="D1834" i="5"/>
  <c r="B1834" i="5"/>
  <c r="E1833" i="5"/>
  <c r="D1833" i="5"/>
  <c r="B1833" i="5"/>
  <c r="E1832" i="5"/>
  <c r="D1832" i="5"/>
  <c r="B1832" i="5"/>
  <c r="E1831" i="5"/>
  <c r="D1831" i="5"/>
  <c r="B1831" i="5"/>
  <c r="E1830" i="5"/>
  <c r="D1830" i="5"/>
  <c r="B1830" i="5"/>
  <c r="E1829" i="5"/>
  <c r="D1829" i="5"/>
  <c r="B1829" i="5"/>
  <c r="E1828" i="5"/>
  <c r="D1828" i="5"/>
  <c r="B1828" i="5"/>
  <c r="E1827" i="5"/>
  <c r="D1827" i="5"/>
  <c r="B1827" i="5"/>
  <c r="E1826" i="5"/>
  <c r="D1826" i="5"/>
  <c r="B1826" i="5"/>
  <c r="E1825" i="5"/>
  <c r="D1825" i="5"/>
  <c r="B1825" i="5"/>
  <c r="E1824" i="5"/>
  <c r="D1824" i="5"/>
  <c r="B1824" i="5"/>
  <c r="E1823" i="5"/>
  <c r="D1823" i="5"/>
  <c r="B1823" i="5"/>
  <c r="E1822" i="5"/>
  <c r="D1822" i="5"/>
  <c r="B1822" i="5"/>
  <c r="E1821" i="5"/>
  <c r="D1821" i="5"/>
  <c r="B1821" i="5"/>
  <c r="E1820" i="5"/>
  <c r="D1820" i="5"/>
  <c r="B1820" i="5"/>
  <c r="E1819" i="5"/>
  <c r="D1819" i="5"/>
  <c r="B1819" i="5"/>
  <c r="E1818" i="5"/>
  <c r="D1818" i="5"/>
  <c r="B1818" i="5"/>
  <c r="E1817" i="5"/>
  <c r="D1817" i="5"/>
  <c r="B1817" i="5"/>
  <c r="E1816" i="5"/>
  <c r="D1816" i="5"/>
  <c r="B1816" i="5"/>
  <c r="E1815" i="5"/>
  <c r="D1815" i="5"/>
  <c r="B1815" i="5"/>
  <c r="E1814" i="5"/>
  <c r="D1814" i="5"/>
  <c r="B1814" i="5"/>
  <c r="E1813" i="5"/>
  <c r="D1813" i="5"/>
  <c r="B1813" i="5"/>
  <c r="E1812" i="5"/>
  <c r="D1812" i="5"/>
  <c r="B1812" i="5"/>
  <c r="E1811" i="5"/>
  <c r="D1811" i="5"/>
  <c r="B1811" i="5"/>
  <c r="E1810" i="5"/>
  <c r="D1810" i="5"/>
  <c r="B1810" i="5"/>
  <c r="E1809" i="5"/>
  <c r="D1809" i="5"/>
  <c r="B1809" i="5"/>
  <c r="E1808" i="5"/>
  <c r="D1808" i="5"/>
  <c r="B1808" i="5"/>
  <c r="E1807" i="5"/>
  <c r="D1807" i="5"/>
  <c r="B1807" i="5"/>
  <c r="E1806" i="5"/>
  <c r="D1806" i="5"/>
  <c r="B1806" i="5"/>
  <c r="E1805" i="5"/>
  <c r="D1805" i="5"/>
  <c r="B1805" i="5"/>
  <c r="E1804" i="5"/>
  <c r="D1804" i="5"/>
  <c r="B1804" i="5"/>
  <c r="E1803" i="5"/>
  <c r="D1803" i="5"/>
  <c r="B1803" i="5"/>
  <c r="E1802" i="5"/>
  <c r="D1802" i="5"/>
  <c r="B1802" i="5"/>
  <c r="E1801" i="5"/>
  <c r="D1801" i="5"/>
  <c r="B1801" i="5"/>
  <c r="E1800" i="5"/>
  <c r="D1800" i="5"/>
  <c r="B1800" i="5"/>
  <c r="E1799" i="5"/>
  <c r="D1799" i="5"/>
  <c r="B1799" i="5"/>
  <c r="E1798" i="5"/>
  <c r="D1798" i="5"/>
  <c r="B1798" i="5"/>
  <c r="E1797" i="5"/>
  <c r="D1797" i="5"/>
  <c r="B1797" i="5"/>
  <c r="E1796" i="5"/>
  <c r="D1796" i="5"/>
  <c r="B1796" i="5"/>
  <c r="E1795" i="5"/>
  <c r="D1795" i="5"/>
  <c r="B1795" i="5"/>
  <c r="E1794" i="5"/>
  <c r="D1794" i="5"/>
  <c r="B1794" i="5"/>
  <c r="E1793" i="5"/>
  <c r="D1793" i="5"/>
  <c r="B1793" i="5"/>
  <c r="E1792" i="5"/>
  <c r="D1792" i="5"/>
  <c r="B1792" i="5"/>
  <c r="E1791" i="5"/>
  <c r="D1791" i="5"/>
  <c r="B1791" i="5"/>
  <c r="E1790" i="5"/>
  <c r="D1790" i="5"/>
  <c r="B1790" i="5"/>
  <c r="E1789" i="5"/>
  <c r="D1789" i="5"/>
  <c r="B1789" i="5"/>
  <c r="E1788" i="5"/>
  <c r="D1788" i="5"/>
  <c r="B1788" i="5"/>
  <c r="E1787" i="5"/>
  <c r="D1787" i="5"/>
  <c r="B1787" i="5"/>
  <c r="E1786" i="5"/>
  <c r="D1786" i="5"/>
  <c r="B1786" i="5"/>
  <c r="E1785" i="5"/>
  <c r="D1785" i="5"/>
  <c r="B1785" i="5"/>
  <c r="E1784" i="5"/>
  <c r="D1784" i="5"/>
  <c r="B1784" i="5"/>
  <c r="E1783" i="5"/>
  <c r="D1783" i="5"/>
  <c r="B1783" i="5"/>
  <c r="E1782" i="5"/>
  <c r="D1782" i="5"/>
  <c r="B1782" i="5"/>
  <c r="E1781" i="5"/>
  <c r="D1781" i="5"/>
  <c r="B1781" i="5"/>
  <c r="E1780" i="5"/>
  <c r="D1780" i="5"/>
  <c r="B1780" i="5"/>
  <c r="E1779" i="5"/>
  <c r="D1779" i="5"/>
  <c r="B1779" i="5"/>
  <c r="E1778" i="5"/>
  <c r="D1778" i="5"/>
  <c r="B1778" i="5"/>
  <c r="E1777" i="5"/>
  <c r="D1777" i="5"/>
  <c r="B1777" i="5"/>
  <c r="E1776" i="5"/>
  <c r="D1776" i="5"/>
  <c r="B1776" i="5"/>
  <c r="E1775" i="5"/>
  <c r="D1775" i="5"/>
  <c r="B1775" i="5"/>
  <c r="E1774" i="5"/>
  <c r="D1774" i="5"/>
  <c r="B1774" i="5"/>
  <c r="E1773" i="5"/>
  <c r="D1773" i="5"/>
  <c r="B1773" i="5"/>
  <c r="E1772" i="5"/>
  <c r="D1772" i="5"/>
  <c r="B1772" i="5"/>
  <c r="E1771" i="5"/>
  <c r="D1771" i="5"/>
  <c r="B1771" i="5"/>
  <c r="E1770" i="5"/>
  <c r="D1770" i="5"/>
  <c r="B1770" i="5"/>
  <c r="E1769" i="5"/>
  <c r="D1769" i="5"/>
  <c r="B1769" i="5"/>
  <c r="E1768" i="5"/>
  <c r="D1768" i="5"/>
  <c r="B1768" i="5"/>
  <c r="E1767" i="5"/>
  <c r="D1767" i="5"/>
  <c r="B1767" i="5"/>
  <c r="E1766" i="5"/>
  <c r="D1766" i="5"/>
  <c r="B1766" i="5"/>
  <c r="E1765" i="5"/>
  <c r="D1765" i="5"/>
  <c r="B1765" i="5"/>
  <c r="E1764" i="5"/>
  <c r="D1764" i="5"/>
  <c r="B1764" i="5"/>
  <c r="E1763" i="5"/>
  <c r="D1763" i="5"/>
  <c r="B1763" i="5"/>
  <c r="E1762" i="5"/>
  <c r="D1762" i="5"/>
  <c r="B1762" i="5"/>
  <c r="E1761" i="5"/>
  <c r="D1761" i="5"/>
  <c r="B1761" i="5"/>
  <c r="E1760" i="5"/>
  <c r="D1760" i="5"/>
  <c r="B1760" i="5"/>
  <c r="E1759" i="5"/>
  <c r="D1759" i="5"/>
  <c r="B1759" i="5"/>
  <c r="E1758" i="5"/>
  <c r="D1758" i="5"/>
  <c r="B1758" i="5"/>
  <c r="E1757" i="5"/>
  <c r="D1757" i="5"/>
  <c r="B1757" i="5"/>
  <c r="E1756" i="5"/>
  <c r="D1756" i="5"/>
  <c r="B1756" i="5"/>
  <c r="E1755" i="5"/>
  <c r="D1755" i="5"/>
  <c r="B1755" i="5"/>
  <c r="E1754" i="5"/>
  <c r="D1754" i="5"/>
  <c r="B1754" i="5"/>
  <c r="E1753" i="5"/>
  <c r="D1753" i="5"/>
  <c r="B1753" i="5"/>
  <c r="E1752" i="5"/>
  <c r="D1752" i="5"/>
  <c r="B1752" i="5"/>
  <c r="E1751" i="5"/>
  <c r="D1751" i="5"/>
  <c r="B1751" i="5"/>
  <c r="E1750" i="5"/>
  <c r="D1750" i="5"/>
  <c r="B1750" i="5"/>
  <c r="E1749" i="5"/>
  <c r="D1749" i="5"/>
  <c r="B1749" i="5"/>
  <c r="E1748" i="5"/>
  <c r="D1748" i="5"/>
  <c r="B1748" i="5"/>
  <c r="E1747" i="5"/>
  <c r="D1747" i="5"/>
  <c r="B1747" i="5"/>
  <c r="E1746" i="5"/>
  <c r="D1746" i="5"/>
  <c r="B1746" i="5"/>
  <c r="E1745" i="5"/>
  <c r="D1745" i="5"/>
  <c r="B1745" i="5"/>
  <c r="E1744" i="5"/>
  <c r="D1744" i="5"/>
  <c r="B1744" i="5"/>
  <c r="E1743" i="5"/>
  <c r="D1743" i="5"/>
  <c r="B1743" i="5"/>
  <c r="E1742" i="5"/>
  <c r="D1742" i="5"/>
  <c r="B1742" i="5"/>
  <c r="E1741" i="5"/>
  <c r="D1741" i="5"/>
  <c r="B1741" i="5"/>
  <c r="E1740" i="5"/>
  <c r="D1740" i="5"/>
  <c r="B1740" i="5"/>
  <c r="E1739" i="5"/>
  <c r="D1739" i="5"/>
  <c r="B1739" i="5"/>
  <c r="E1738" i="5"/>
  <c r="D1738" i="5"/>
  <c r="B1738" i="5"/>
  <c r="E1737" i="5"/>
  <c r="D1737" i="5"/>
  <c r="B1737" i="5"/>
  <c r="E1736" i="5"/>
  <c r="D1736" i="5"/>
  <c r="B1736" i="5"/>
  <c r="E1735" i="5"/>
  <c r="D1735" i="5"/>
  <c r="B1735" i="5"/>
  <c r="E1734" i="5"/>
  <c r="D1734" i="5"/>
  <c r="B1734" i="5"/>
  <c r="E1733" i="5"/>
  <c r="D1733" i="5"/>
  <c r="B1733" i="5"/>
  <c r="E1732" i="5"/>
  <c r="D1732" i="5"/>
  <c r="B1732" i="5"/>
  <c r="E1731" i="5"/>
  <c r="D1731" i="5"/>
  <c r="B1731" i="5"/>
  <c r="E1730" i="5"/>
  <c r="D1730" i="5"/>
  <c r="B1730" i="5"/>
  <c r="E1729" i="5"/>
  <c r="D1729" i="5"/>
  <c r="B1729" i="5"/>
  <c r="E1728" i="5"/>
  <c r="D1728" i="5"/>
  <c r="B1728" i="5"/>
  <c r="E1727" i="5"/>
  <c r="D1727" i="5"/>
  <c r="B1727" i="5"/>
  <c r="E1726" i="5"/>
  <c r="D1726" i="5"/>
  <c r="B1726" i="5"/>
  <c r="E1725" i="5"/>
  <c r="D1725" i="5"/>
  <c r="B1725" i="5"/>
  <c r="E1724" i="5"/>
  <c r="D1724" i="5"/>
  <c r="B1724" i="5"/>
  <c r="E1723" i="5"/>
  <c r="D1723" i="5"/>
  <c r="B1723" i="5"/>
  <c r="E1722" i="5"/>
  <c r="D1722" i="5"/>
  <c r="B1722" i="5"/>
  <c r="E1721" i="5"/>
  <c r="D1721" i="5"/>
  <c r="B1721" i="5"/>
  <c r="E1720" i="5"/>
  <c r="D1720" i="5"/>
  <c r="B1720" i="5"/>
  <c r="E1719" i="5"/>
  <c r="D1719" i="5"/>
  <c r="B1719" i="5"/>
  <c r="E1718" i="5"/>
  <c r="D1718" i="5"/>
  <c r="B1718" i="5"/>
  <c r="E1717" i="5"/>
  <c r="D1717" i="5"/>
  <c r="B1717" i="5"/>
  <c r="E1716" i="5"/>
  <c r="D1716" i="5"/>
  <c r="B1716" i="5"/>
  <c r="E1715" i="5"/>
  <c r="D1715" i="5"/>
  <c r="B1715" i="5"/>
  <c r="E1714" i="5"/>
  <c r="D1714" i="5"/>
  <c r="B1714" i="5"/>
  <c r="E1713" i="5"/>
  <c r="D1713" i="5"/>
  <c r="B1713" i="5"/>
  <c r="E1712" i="5"/>
  <c r="D1712" i="5"/>
  <c r="B1712" i="5"/>
  <c r="E1711" i="5"/>
  <c r="D1711" i="5"/>
  <c r="B1711" i="5"/>
  <c r="E1710" i="5"/>
  <c r="D1710" i="5"/>
  <c r="B1710" i="5"/>
  <c r="E1709" i="5"/>
  <c r="D1709" i="5"/>
  <c r="B1709" i="5"/>
  <c r="E1708" i="5"/>
  <c r="D1708" i="5"/>
  <c r="B1708" i="5"/>
  <c r="E1707" i="5"/>
  <c r="D1707" i="5"/>
  <c r="B1707" i="5"/>
  <c r="E1706" i="5"/>
  <c r="D1706" i="5"/>
  <c r="B1706" i="5"/>
  <c r="E1705" i="5"/>
  <c r="D1705" i="5"/>
  <c r="B1705" i="5"/>
  <c r="E1704" i="5"/>
  <c r="D1704" i="5"/>
  <c r="B1704" i="5"/>
  <c r="E1703" i="5"/>
  <c r="D1703" i="5"/>
  <c r="B1703" i="5"/>
  <c r="E1702" i="5"/>
  <c r="D1702" i="5"/>
  <c r="B1702" i="5"/>
  <c r="E1701" i="5"/>
  <c r="D1701" i="5"/>
  <c r="B1701" i="5"/>
  <c r="E1700" i="5"/>
  <c r="D1700" i="5"/>
  <c r="B1700" i="5"/>
  <c r="E1699" i="5"/>
  <c r="D1699" i="5"/>
  <c r="B1699" i="5"/>
  <c r="E1698" i="5"/>
  <c r="D1698" i="5"/>
  <c r="B1698" i="5"/>
  <c r="E1697" i="5"/>
  <c r="D1697" i="5"/>
  <c r="B1697" i="5"/>
  <c r="E1696" i="5"/>
  <c r="D1696" i="5"/>
  <c r="B1696" i="5"/>
  <c r="E1695" i="5"/>
  <c r="D1695" i="5"/>
  <c r="B1695" i="5"/>
  <c r="E1694" i="5"/>
  <c r="D1694" i="5"/>
  <c r="B1694" i="5"/>
  <c r="E1693" i="5"/>
  <c r="D1693" i="5"/>
  <c r="B1693" i="5"/>
  <c r="E1692" i="5"/>
  <c r="D1692" i="5"/>
  <c r="B1692" i="5"/>
  <c r="E1691" i="5"/>
  <c r="D1691" i="5"/>
  <c r="B1691" i="5"/>
  <c r="E1690" i="5"/>
  <c r="D1690" i="5"/>
  <c r="B1690" i="5"/>
  <c r="E1689" i="5"/>
  <c r="D1689" i="5"/>
  <c r="B1689" i="5"/>
  <c r="E1688" i="5"/>
  <c r="D1688" i="5"/>
  <c r="B1688" i="5"/>
  <c r="E1687" i="5"/>
  <c r="D1687" i="5"/>
  <c r="B1687" i="5"/>
  <c r="E1686" i="5"/>
  <c r="D1686" i="5"/>
  <c r="B1686" i="5"/>
  <c r="E1685" i="5"/>
  <c r="D1685" i="5"/>
  <c r="B1685" i="5"/>
  <c r="E1684" i="5"/>
  <c r="D1684" i="5"/>
  <c r="B1684" i="5"/>
  <c r="E1683" i="5"/>
  <c r="D1683" i="5"/>
  <c r="B1683" i="5"/>
  <c r="E1682" i="5"/>
  <c r="D1682" i="5"/>
  <c r="B1682" i="5"/>
  <c r="E1681" i="5"/>
  <c r="D1681" i="5"/>
  <c r="B1681" i="5"/>
  <c r="E1680" i="5"/>
  <c r="D1680" i="5"/>
  <c r="B1680" i="5"/>
  <c r="E1679" i="5"/>
  <c r="D1679" i="5"/>
  <c r="B1679" i="5"/>
  <c r="E1678" i="5"/>
  <c r="D1678" i="5"/>
  <c r="B1678" i="5"/>
  <c r="E1677" i="5"/>
  <c r="D1677" i="5"/>
  <c r="B1677" i="5"/>
  <c r="E1676" i="5"/>
  <c r="D1676" i="5"/>
  <c r="B1676" i="5"/>
  <c r="E1675" i="5"/>
  <c r="D1675" i="5"/>
  <c r="B1675" i="5"/>
  <c r="E1674" i="5"/>
  <c r="D1674" i="5"/>
  <c r="B1674" i="5"/>
  <c r="E1673" i="5"/>
  <c r="D1673" i="5"/>
  <c r="B1673" i="5"/>
  <c r="E1672" i="5"/>
  <c r="D1672" i="5"/>
  <c r="B1672" i="5"/>
  <c r="E1671" i="5"/>
  <c r="D1671" i="5"/>
  <c r="B1671" i="5"/>
  <c r="E1670" i="5"/>
  <c r="D1670" i="5"/>
  <c r="B1670" i="5"/>
  <c r="E1669" i="5"/>
  <c r="D1669" i="5"/>
  <c r="B1669" i="5"/>
  <c r="E1668" i="5"/>
  <c r="D1668" i="5"/>
  <c r="B1668" i="5"/>
  <c r="E1667" i="5"/>
  <c r="D1667" i="5"/>
  <c r="B1667" i="5"/>
  <c r="E1666" i="5"/>
  <c r="D1666" i="5"/>
  <c r="B1666" i="5"/>
  <c r="E1665" i="5"/>
  <c r="D1665" i="5"/>
  <c r="B1665" i="5"/>
  <c r="E1664" i="5"/>
  <c r="D1664" i="5"/>
  <c r="B1664" i="5"/>
  <c r="E1663" i="5"/>
  <c r="D1663" i="5"/>
  <c r="B1663" i="5"/>
  <c r="E1662" i="5"/>
  <c r="D1662" i="5"/>
  <c r="B1662" i="5"/>
  <c r="E1661" i="5"/>
  <c r="D1661" i="5"/>
  <c r="B1661" i="5"/>
  <c r="E1660" i="5"/>
  <c r="D1660" i="5"/>
  <c r="B1660" i="5"/>
  <c r="E1659" i="5"/>
  <c r="D1659" i="5"/>
  <c r="B1659" i="5"/>
  <c r="E1658" i="5"/>
  <c r="D1658" i="5"/>
  <c r="B1658" i="5"/>
  <c r="E1657" i="5"/>
  <c r="D1657" i="5"/>
  <c r="B1657" i="5"/>
  <c r="E1656" i="5"/>
  <c r="D1656" i="5"/>
  <c r="B1656" i="5"/>
  <c r="E1655" i="5"/>
  <c r="D1655" i="5"/>
  <c r="B1655" i="5"/>
  <c r="E1654" i="5"/>
  <c r="D1654" i="5"/>
  <c r="B1654" i="5"/>
  <c r="E1653" i="5"/>
  <c r="D1653" i="5"/>
  <c r="B1653" i="5"/>
  <c r="E1652" i="5"/>
  <c r="D1652" i="5"/>
  <c r="B1652" i="5"/>
  <c r="E1651" i="5"/>
  <c r="D1651" i="5"/>
  <c r="B1651" i="5"/>
  <c r="E1650" i="5"/>
  <c r="D1650" i="5"/>
  <c r="B1650" i="5"/>
  <c r="E1649" i="5"/>
  <c r="D1649" i="5"/>
  <c r="B1649" i="5"/>
  <c r="E1648" i="5"/>
  <c r="D1648" i="5"/>
  <c r="B1648" i="5"/>
  <c r="E1647" i="5"/>
  <c r="D1647" i="5"/>
  <c r="B1647" i="5"/>
  <c r="E1646" i="5"/>
  <c r="D1646" i="5"/>
  <c r="B1646" i="5"/>
  <c r="E1645" i="5"/>
  <c r="D1645" i="5"/>
  <c r="B1645" i="5"/>
  <c r="E1644" i="5"/>
  <c r="D1644" i="5"/>
  <c r="B1644" i="5"/>
  <c r="E1643" i="5"/>
  <c r="D1643" i="5"/>
  <c r="B1643" i="5"/>
  <c r="E1642" i="5"/>
  <c r="D1642" i="5"/>
  <c r="B1642" i="5"/>
  <c r="E1641" i="5"/>
  <c r="D1641" i="5"/>
  <c r="B1641" i="5"/>
  <c r="E1640" i="5"/>
  <c r="D1640" i="5"/>
  <c r="B1640" i="5"/>
  <c r="E1639" i="5"/>
  <c r="D1639" i="5"/>
  <c r="B1639" i="5"/>
  <c r="E1638" i="5"/>
  <c r="D1638" i="5"/>
  <c r="B1638" i="5"/>
  <c r="E1637" i="5"/>
  <c r="D1637" i="5"/>
  <c r="B1637" i="5"/>
  <c r="E1636" i="5"/>
  <c r="D1636" i="5"/>
  <c r="B1636" i="5"/>
  <c r="E1635" i="5"/>
  <c r="D1635" i="5"/>
  <c r="B1635" i="5"/>
  <c r="E1634" i="5"/>
  <c r="D1634" i="5"/>
  <c r="B1634" i="5"/>
  <c r="E1633" i="5"/>
  <c r="D1633" i="5"/>
  <c r="B1633" i="5"/>
  <c r="E1632" i="5"/>
  <c r="D1632" i="5"/>
  <c r="B1632" i="5"/>
  <c r="E1631" i="5"/>
  <c r="D1631" i="5"/>
  <c r="B1631" i="5"/>
  <c r="E1630" i="5"/>
  <c r="D1630" i="5"/>
  <c r="B1630" i="5"/>
  <c r="E1629" i="5"/>
  <c r="D1629" i="5"/>
  <c r="B1629" i="5"/>
  <c r="E1628" i="5"/>
  <c r="D1628" i="5"/>
  <c r="B1628" i="5"/>
  <c r="E1627" i="5"/>
  <c r="D1627" i="5"/>
  <c r="B1627" i="5"/>
  <c r="E1626" i="5"/>
  <c r="D1626" i="5"/>
  <c r="B1626" i="5"/>
  <c r="E1625" i="5"/>
  <c r="D1625" i="5"/>
  <c r="B1625" i="5"/>
  <c r="E1624" i="5"/>
  <c r="D1624" i="5"/>
  <c r="B1624" i="5"/>
  <c r="E1623" i="5"/>
  <c r="D1623" i="5"/>
  <c r="B1623" i="5"/>
  <c r="E1622" i="5"/>
  <c r="D1622" i="5"/>
  <c r="B1622" i="5"/>
  <c r="E1621" i="5"/>
  <c r="D1621" i="5"/>
  <c r="B1621" i="5"/>
  <c r="E1620" i="5"/>
  <c r="D1620" i="5"/>
  <c r="B1620" i="5"/>
  <c r="E1619" i="5"/>
  <c r="D1619" i="5"/>
  <c r="B1619" i="5"/>
  <c r="E1618" i="5"/>
  <c r="D1618" i="5"/>
  <c r="B1618" i="5"/>
  <c r="E1617" i="5"/>
  <c r="D1617" i="5"/>
  <c r="B1617" i="5"/>
  <c r="E1616" i="5"/>
  <c r="D1616" i="5"/>
  <c r="B1616" i="5"/>
  <c r="E1615" i="5"/>
  <c r="D1615" i="5"/>
  <c r="B1615" i="5"/>
  <c r="E1614" i="5"/>
  <c r="D1614" i="5"/>
  <c r="B1614" i="5"/>
  <c r="E1613" i="5"/>
  <c r="D1613" i="5"/>
  <c r="B1613" i="5"/>
  <c r="E1612" i="5"/>
  <c r="D1612" i="5"/>
  <c r="B1612" i="5"/>
  <c r="E1611" i="5"/>
  <c r="D1611" i="5"/>
  <c r="B1611" i="5"/>
  <c r="E1610" i="5"/>
  <c r="D1610" i="5"/>
  <c r="B1610" i="5"/>
  <c r="E1609" i="5"/>
  <c r="D1609" i="5"/>
  <c r="B1609" i="5"/>
  <c r="E1608" i="5"/>
  <c r="D1608" i="5"/>
  <c r="B1608" i="5"/>
  <c r="E1607" i="5"/>
  <c r="D1607" i="5"/>
  <c r="B1607" i="5"/>
  <c r="E1606" i="5"/>
  <c r="D1606" i="5"/>
  <c r="B1606" i="5"/>
  <c r="E1605" i="5"/>
  <c r="D1605" i="5"/>
  <c r="B1605" i="5"/>
  <c r="E1604" i="5"/>
  <c r="D1604" i="5"/>
  <c r="B1604" i="5"/>
  <c r="E1603" i="5"/>
  <c r="D1603" i="5"/>
  <c r="B1603" i="5"/>
  <c r="E1602" i="5"/>
  <c r="D1602" i="5"/>
  <c r="B1602" i="5"/>
  <c r="E1601" i="5"/>
  <c r="D1601" i="5"/>
  <c r="B1601" i="5"/>
  <c r="E1600" i="5"/>
  <c r="D1600" i="5"/>
  <c r="B1600" i="5"/>
  <c r="E1599" i="5"/>
  <c r="D1599" i="5"/>
  <c r="B1599" i="5"/>
  <c r="E1598" i="5"/>
  <c r="D1598" i="5"/>
  <c r="B1598" i="5"/>
  <c r="E1597" i="5"/>
  <c r="D1597" i="5"/>
  <c r="B1597" i="5"/>
  <c r="E1596" i="5"/>
  <c r="D1596" i="5"/>
  <c r="B1596" i="5"/>
  <c r="E1595" i="5"/>
  <c r="D1595" i="5"/>
  <c r="B1595" i="5"/>
  <c r="E1594" i="5"/>
  <c r="D1594" i="5"/>
  <c r="B1594" i="5"/>
  <c r="E1593" i="5"/>
  <c r="D1593" i="5"/>
  <c r="B1593" i="5"/>
  <c r="E1592" i="5"/>
  <c r="D1592" i="5"/>
  <c r="B1592" i="5"/>
  <c r="E1591" i="5"/>
  <c r="D1591" i="5"/>
  <c r="B1591" i="5"/>
  <c r="E1590" i="5"/>
  <c r="D1590" i="5"/>
  <c r="B1590" i="5"/>
  <c r="E1589" i="5"/>
  <c r="D1589" i="5"/>
  <c r="B1589" i="5"/>
  <c r="E1588" i="5"/>
  <c r="D1588" i="5"/>
  <c r="B1588" i="5"/>
  <c r="E1587" i="5"/>
  <c r="D1587" i="5"/>
  <c r="B1587" i="5"/>
  <c r="E1586" i="5"/>
  <c r="D1586" i="5"/>
  <c r="B1586" i="5"/>
  <c r="E1585" i="5"/>
  <c r="D1585" i="5"/>
  <c r="B1585" i="5"/>
  <c r="E1584" i="5"/>
  <c r="D1584" i="5"/>
  <c r="B1584" i="5"/>
  <c r="E1583" i="5"/>
  <c r="D1583" i="5"/>
  <c r="B1583" i="5"/>
  <c r="E1582" i="5"/>
  <c r="D1582" i="5"/>
  <c r="B1582" i="5"/>
  <c r="E1581" i="5"/>
  <c r="D1581" i="5"/>
  <c r="B1581" i="5"/>
  <c r="E1580" i="5"/>
  <c r="D1580" i="5"/>
  <c r="B1580" i="5"/>
  <c r="E1579" i="5"/>
  <c r="D1579" i="5"/>
  <c r="B1579" i="5"/>
  <c r="E1578" i="5"/>
  <c r="D1578" i="5"/>
  <c r="B1578" i="5"/>
  <c r="E1577" i="5"/>
  <c r="D1577" i="5"/>
  <c r="B1577" i="5"/>
  <c r="E1576" i="5"/>
  <c r="D1576" i="5"/>
  <c r="B1576" i="5"/>
  <c r="E1575" i="5"/>
  <c r="D1575" i="5"/>
  <c r="B1575" i="5"/>
  <c r="E1574" i="5"/>
  <c r="D1574" i="5"/>
  <c r="B1574" i="5"/>
  <c r="E1573" i="5"/>
  <c r="D1573" i="5"/>
  <c r="B1573" i="5"/>
  <c r="E1572" i="5"/>
  <c r="D1572" i="5"/>
  <c r="B1572" i="5"/>
  <c r="E1571" i="5"/>
  <c r="D1571" i="5"/>
  <c r="B1571" i="5"/>
  <c r="E1570" i="5"/>
  <c r="D1570" i="5"/>
  <c r="B1570" i="5"/>
  <c r="E1569" i="5"/>
  <c r="D1569" i="5"/>
  <c r="B1569" i="5"/>
  <c r="E1568" i="5"/>
  <c r="D1568" i="5"/>
  <c r="B1568" i="5"/>
  <c r="E1567" i="5"/>
  <c r="D1567" i="5"/>
  <c r="B1567" i="5"/>
  <c r="E1566" i="5"/>
  <c r="D1566" i="5"/>
  <c r="B1566" i="5"/>
  <c r="E1565" i="5"/>
  <c r="D1565" i="5"/>
  <c r="B1565" i="5"/>
  <c r="E1564" i="5"/>
  <c r="D1564" i="5"/>
  <c r="B1564" i="5"/>
  <c r="E1563" i="5"/>
  <c r="D1563" i="5"/>
  <c r="B1563" i="5"/>
  <c r="E1562" i="5"/>
  <c r="D1562" i="5"/>
  <c r="B1562" i="5"/>
  <c r="E1561" i="5"/>
  <c r="D1561" i="5"/>
  <c r="B1561" i="5"/>
  <c r="E1560" i="5"/>
  <c r="D1560" i="5"/>
  <c r="B1560" i="5"/>
  <c r="E1559" i="5"/>
  <c r="D1559" i="5"/>
  <c r="B1559" i="5"/>
  <c r="E1558" i="5"/>
  <c r="D1558" i="5"/>
  <c r="B1558" i="5"/>
  <c r="E1557" i="5"/>
  <c r="D1557" i="5"/>
  <c r="B1557" i="5"/>
  <c r="E1556" i="5"/>
  <c r="D1556" i="5"/>
  <c r="B1556" i="5"/>
  <c r="E1555" i="5"/>
  <c r="D1555" i="5"/>
  <c r="B1555" i="5"/>
  <c r="E1554" i="5"/>
  <c r="D1554" i="5"/>
  <c r="B1554" i="5"/>
  <c r="E1553" i="5"/>
  <c r="D1553" i="5"/>
  <c r="B1553" i="5"/>
  <c r="E1552" i="5"/>
  <c r="D1552" i="5"/>
  <c r="B1552" i="5"/>
  <c r="E1551" i="5"/>
  <c r="D1551" i="5"/>
  <c r="B1551" i="5"/>
  <c r="E1550" i="5"/>
  <c r="D1550" i="5"/>
  <c r="B1550" i="5"/>
  <c r="E1549" i="5"/>
  <c r="D1549" i="5"/>
  <c r="B1549" i="5"/>
  <c r="E1548" i="5"/>
  <c r="D1548" i="5"/>
  <c r="B1548" i="5"/>
  <c r="E1547" i="5"/>
  <c r="D1547" i="5"/>
  <c r="B1547" i="5"/>
  <c r="E1546" i="5"/>
  <c r="D1546" i="5"/>
  <c r="B1546" i="5"/>
  <c r="E1545" i="5"/>
  <c r="D1545" i="5"/>
  <c r="B1545" i="5"/>
  <c r="E1544" i="5"/>
  <c r="D1544" i="5"/>
  <c r="B1544" i="5"/>
  <c r="E1543" i="5"/>
  <c r="D1543" i="5"/>
  <c r="B1543" i="5"/>
  <c r="E1542" i="5"/>
  <c r="D1542" i="5"/>
  <c r="B1542" i="5"/>
  <c r="E1541" i="5"/>
  <c r="D1541" i="5"/>
  <c r="B1541" i="5"/>
  <c r="E1540" i="5"/>
  <c r="D1540" i="5"/>
  <c r="B1540" i="5"/>
  <c r="E1539" i="5"/>
  <c r="D1539" i="5"/>
  <c r="B1539" i="5"/>
  <c r="E1538" i="5"/>
  <c r="D1538" i="5"/>
  <c r="B1538" i="5"/>
  <c r="E1537" i="5"/>
  <c r="D1537" i="5"/>
  <c r="B1537" i="5"/>
  <c r="E1536" i="5"/>
  <c r="D1536" i="5"/>
  <c r="B1536" i="5"/>
  <c r="E1535" i="5"/>
  <c r="D1535" i="5"/>
  <c r="B1535" i="5"/>
  <c r="E1534" i="5"/>
  <c r="D1534" i="5"/>
  <c r="B1534" i="5"/>
  <c r="E1533" i="5"/>
  <c r="D1533" i="5"/>
  <c r="B1533" i="5"/>
  <c r="E1532" i="5"/>
  <c r="D1532" i="5"/>
  <c r="B1532" i="5"/>
  <c r="E1531" i="5"/>
  <c r="D1531" i="5"/>
  <c r="B1531" i="5"/>
  <c r="E1530" i="5"/>
  <c r="D1530" i="5"/>
  <c r="B1530" i="5"/>
  <c r="E1529" i="5"/>
  <c r="D1529" i="5"/>
  <c r="B1529" i="5"/>
  <c r="E1528" i="5"/>
  <c r="D1528" i="5"/>
  <c r="B1528" i="5"/>
  <c r="E1527" i="5"/>
  <c r="D1527" i="5"/>
  <c r="B1527" i="5"/>
  <c r="E1526" i="5"/>
  <c r="D1526" i="5"/>
  <c r="B1526" i="5"/>
  <c r="E1525" i="5"/>
  <c r="D1525" i="5"/>
  <c r="B1525" i="5"/>
  <c r="E1524" i="5"/>
  <c r="D1524" i="5"/>
  <c r="B1524" i="5"/>
  <c r="E1523" i="5"/>
  <c r="D1523" i="5"/>
  <c r="B1523" i="5"/>
  <c r="E1522" i="5"/>
  <c r="D1522" i="5"/>
  <c r="B1522" i="5"/>
  <c r="E1521" i="5"/>
  <c r="D1521" i="5"/>
  <c r="B1521" i="5"/>
  <c r="E1520" i="5"/>
  <c r="D1520" i="5"/>
  <c r="B1520" i="5"/>
  <c r="E1519" i="5"/>
  <c r="D1519" i="5"/>
  <c r="B1519" i="5"/>
  <c r="E1518" i="5"/>
  <c r="D1518" i="5"/>
  <c r="B1518" i="5"/>
  <c r="E1517" i="5"/>
  <c r="D1517" i="5"/>
  <c r="B1517" i="5"/>
  <c r="E1516" i="5"/>
  <c r="D1516" i="5"/>
  <c r="B1516" i="5"/>
  <c r="E1515" i="5"/>
  <c r="D1515" i="5"/>
  <c r="B1515" i="5"/>
  <c r="E1514" i="5"/>
  <c r="D1514" i="5"/>
  <c r="B1514" i="5"/>
  <c r="E1513" i="5"/>
  <c r="D1513" i="5"/>
  <c r="B1513" i="5"/>
  <c r="E1512" i="5"/>
  <c r="D1512" i="5"/>
  <c r="B1512" i="5"/>
  <c r="E1511" i="5"/>
  <c r="D1511" i="5"/>
  <c r="B1511" i="5"/>
  <c r="E1510" i="5"/>
  <c r="D1510" i="5"/>
  <c r="B1510" i="5"/>
  <c r="E1509" i="5"/>
  <c r="D1509" i="5"/>
  <c r="B1509" i="5"/>
  <c r="E1508" i="5"/>
  <c r="D1508" i="5"/>
  <c r="B1508" i="5"/>
  <c r="E1507" i="5"/>
  <c r="D1507" i="5"/>
  <c r="B1507" i="5"/>
  <c r="E1506" i="5"/>
  <c r="D1506" i="5"/>
  <c r="B1506" i="5"/>
  <c r="E1505" i="5"/>
  <c r="D1505" i="5"/>
  <c r="B1505" i="5"/>
  <c r="E1504" i="5"/>
  <c r="D1504" i="5"/>
  <c r="B1504" i="5"/>
  <c r="E1503" i="5"/>
  <c r="D1503" i="5"/>
  <c r="B1503" i="5"/>
  <c r="E1502" i="5"/>
  <c r="D1502" i="5"/>
  <c r="B1502" i="5"/>
  <c r="E1501" i="5"/>
  <c r="D1501" i="5"/>
  <c r="B1501" i="5"/>
  <c r="E1500" i="5"/>
  <c r="D1500" i="5"/>
  <c r="B1500" i="5"/>
  <c r="E1499" i="5"/>
  <c r="D1499" i="5"/>
  <c r="B1499" i="5"/>
  <c r="E1498" i="5"/>
  <c r="D1498" i="5"/>
  <c r="B1498" i="5"/>
  <c r="E1497" i="5"/>
  <c r="D1497" i="5"/>
  <c r="B1497" i="5"/>
  <c r="E1496" i="5"/>
  <c r="D1496" i="5"/>
  <c r="B1496" i="5"/>
  <c r="E1495" i="5"/>
  <c r="D1495" i="5"/>
  <c r="B1495" i="5"/>
  <c r="E1494" i="5"/>
  <c r="D1494" i="5"/>
  <c r="B1494" i="5"/>
  <c r="E1493" i="5"/>
  <c r="D1493" i="5"/>
  <c r="B1493" i="5"/>
  <c r="E1492" i="5"/>
  <c r="D1492" i="5"/>
  <c r="B1492" i="5"/>
  <c r="E1491" i="5"/>
  <c r="D1491" i="5"/>
  <c r="B1491" i="5"/>
  <c r="E1490" i="5"/>
  <c r="D1490" i="5"/>
  <c r="B1490" i="5"/>
  <c r="E1489" i="5"/>
  <c r="D1489" i="5"/>
  <c r="B1489" i="5"/>
  <c r="E1488" i="5"/>
  <c r="D1488" i="5"/>
  <c r="B1488" i="5"/>
  <c r="E1487" i="5"/>
  <c r="D1487" i="5"/>
  <c r="B1487" i="5"/>
  <c r="E1486" i="5"/>
  <c r="D1486" i="5"/>
  <c r="B1486" i="5"/>
  <c r="E1485" i="5"/>
  <c r="D1485" i="5"/>
  <c r="B1485" i="5"/>
  <c r="E1484" i="5"/>
  <c r="D1484" i="5"/>
  <c r="B1484" i="5"/>
  <c r="E1483" i="5"/>
  <c r="D1483" i="5"/>
  <c r="B1483" i="5"/>
  <c r="E1482" i="5"/>
  <c r="D1482" i="5"/>
  <c r="B1482" i="5"/>
  <c r="E1481" i="5"/>
  <c r="D1481" i="5"/>
  <c r="B1481" i="5"/>
  <c r="E1480" i="5"/>
  <c r="D1480" i="5"/>
  <c r="B1480" i="5"/>
  <c r="E1479" i="5"/>
  <c r="D1479" i="5"/>
  <c r="B1479" i="5"/>
  <c r="E1478" i="5"/>
  <c r="D1478" i="5"/>
  <c r="B1478" i="5"/>
  <c r="E1477" i="5"/>
  <c r="D1477" i="5"/>
  <c r="B1477" i="5"/>
  <c r="E1476" i="5"/>
  <c r="D1476" i="5"/>
  <c r="B1476" i="5"/>
  <c r="E1475" i="5"/>
  <c r="D1475" i="5"/>
  <c r="B1475" i="5"/>
  <c r="E1474" i="5"/>
  <c r="D1474" i="5"/>
  <c r="B1474" i="5"/>
  <c r="E1473" i="5"/>
  <c r="D1473" i="5"/>
  <c r="B1473" i="5"/>
  <c r="E1472" i="5"/>
  <c r="D1472" i="5"/>
  <c r="B1472" i="5"/>
  <c r="E1471" i="5"/>
  <c r="D1471" i="5"/>
  <c r="B1471" i="5"/>
  <c r="E1470" i="5"/>
  <c r="D1470" i="5"/>
  <c r="B1470" i="5"/>
  <c r="E1469" i="5"/>
  <c r="D1469" i="5"/>
  <c r="B1469" i="5"/>
  <c r="E1468" i="5"/>
  <c r="D1468" i="5"/>
  <c r="B1468" i="5"/>
  <c r="E1467" i="5"/>
  <c r="D1467" i="5"/>
  <c r="B1467" i="5"/>
  <c r="E1466" i="5"/>
  <c r="D1466" i="5"/>
  <c r="B1466" i="5"/>
  <c r="E1465" i="5"/>
  <c r="D1465" i="5"/>
  <c r="B1465" i="5"/>
  <c r="E1464" i="5"/>
  <c r="D1464" i="5"/>
  <c r="B1464" i="5"/>
  <c r="E1463" i="5"/>
  <c r="D1463" i="5"/>
  <c r="B1463" i="5"/>
  <c r="E1462" i="5"/>
  <c r="D1462" i="5"/>
  <c r="B1462" i="5"/>
  <c r="E1461" i="5"/>
  <c r="D1461" i="5"/>
  <c r="B1461" i="5"/>
  <c r="E1460" i="5"/>
  <c r="D1460" i="5"/>
  <c r="B1460" i="5"/>
  <c r="E1459" i="5"/>
  <c r="D1459" i="5"/>
  <c r="B1459" i="5"/>
  <c r="E1458" i="5"/>
  <c r="D1458" i="5"/>
  <c r="B1458" i="5"/>
  <c r="E1457" i="5"/>
  <c r="D1457" i="5"/>
  <c r="B1457" i="5"/>
  <c r="E1456" i="5"/>
  <c r="D1456" i="5"/>
  <c r="B1456" i="5"/>
  <c r="E1455" i="5"/>
  <c r="D1455" i="5"/>
  <c r="B1455" i="5"/>
  <c r="E1454" i="5"/>
  <c r="D1454" i="5"/>
  <c r="B1454" i="5"/>
  <c r="E1453" i="5"/>
  <c r="D1453" i="5"/>
  <c r="B1453" i="5"/>
  <c r="E1452" i="5"/>
  <c r="D1452" i="5"/>
  <c r="B1452" i="5"/>
  <c r="E1451" i="5"/>
  <c r="D1451" i="5"/>
  <c r="B1451" i="5"/>
  <c r="E1450" i="5"/>
  <c r="D1450" i="5"/>
  <c r="B1450" i="5"/>
  <c r="E1449" i="5"/>
  <c r="D1449" i="5"/>
  <c r="B1449" i="5"/>
  <c r="E1448" i="5"/>
  <c r="D1448" i="5"/>
  <c r="B1448" i="5"/>
  <c r="E1447" i="5"/>
  <c r="D1447" i="5"/>
  <c r="B1447" i="5"/>
  <c r="E1446" i="5"/>
  <c r="D1446" i="5"/>
  <c r="B1446" i="5"/>
  <c r="E1445" i="5"/>
  <c r="D1445" i="5"/>
  <c r="B1445" i="5"/>
  <c r="E1444" i="5"/>
  <c r="D1444" i="5"/>
  <c r="B1444" i="5"/>
  <c r="E1443" i="5"/>
  <c r="D1443" i="5"/>
  <c r="B1443" i="5"/>
  <c r="E1442" i="5"/>
  <c r="D1442" i="5"/>
  <c r="B1442" i="5"/>
  <c r="E1441" i="5"/>
  <c r="D1441" i="5"/>
  <c r="B1441" i="5"/>
  <c r="E1440" i="5"/>
  <c r="D1440" i="5"/>
  <c r="B1440" i="5"/>
  <c r="E1439" i="5"/>
  <c r="D1439" i="5"/>
  <c r="B1439" i="5"/>
  <c r="E1438" i="5"/>
  <c r="D1438" i="5"/>
  <c r="B1438" i="5"/>
  <c r="E1437" i="5"/>
  <c r="D1437" i="5"/>
  <c r="B1437" i="5"/>
  <c r="E1436" i="5"/>
  <c r="D1436" i="5"/>
  <c r="B1436" i="5"/>
  <c r="E1435" i="5"/>
  <c r="D1435" i="5"/>
  <c r="B1435" i="5"/>
  <c r="E1434" i="5"/>
  <c r="D1434" i="5"/>
  <c r="B1434" i="5"/>
  <c r="E1433" i="5"/>
  <c r="D1433" i="5"/>
  <c r="B1433" i="5"/>
  <c r="E1432" i="5"/>
  <c r="D1432" i="5"/>
  <c r="B1432" i="5"/>
  <c r="E1431" i="5"/>
  <c r="D1431" i="5"/>
  <c r="B1431" i="5"/>
  <c r="E1430" i="5"/>
  <c r="D1430" i="5"/>
  <c r="B1430" i="5"/>
  <c r="E1429" i="5"/>
  <c r="D1429" i="5"/>
  <c r="B1429" i="5"/>
  <c r="E1428" i="5"/>
  <c r="D1428" i="5"/>
  <c r="B1428" i="5"/>
  <c r="E1427" i="5"/>
  <c r="D1427" i="5"/>
  <c r="B1427" i="5"/>
  <c r="E1426" i="5"/>
  <c r="D1426" i="5"/>
  <c r="B1426" i="5"/>
  <c r="E1425" i="5"/>
  <c r="D1425" i="5"/>
  <c r="B1425" i="5"/>
  <c r="E1424" i="5"/>
  <c r="D1424" i="5"/>
  <c r="B1424" i="5"/>
  <c r="E1423" i="5"/>
  <c r="D1423" i="5"/>
  <c r="B1423" i="5"/>
  <c r="E1422" i="5"/>
  <c r="D1422" i="5"/>
  <c r="B1422" i="5"/>
  <c r="E1421" i="5"/>
  <c r="D1421" i="5"/>
  <c r="B1421" i="5"/>
  <c r="E1420" i="5"/>
  <c r="D1420" i="5"/>
  <c r="B1420" i="5"/>
  <c r="E1419" i="5"/>
  <c r="D1419" i="5"/>
  <c r="B1419" i="5"/>
  <c r="E1418" i="5"/>
  <c r="D1418" i="5"/>
  <c r="B1418" i="5"/>
  <c r="E1417" i="5"/>
  <c r="D1417" i="5"/>
  <c r="B1417" i="5"/>
  <c r="E1416" i="5"/>
  <c r="D1416" i="5"/>
  <c r="B1416" i="5"/>
  <c r="E1415" i="5"/>
  <c r="D1415" i="5"/>
  <c r="B1415" i="5"/>
  <c r="E1414" i="5"/>
  <c r="D1414" i="5"/>
  <c r="B1414" i="5"/>
  <c r="E1413" i="5"/>
  <c r="D1413" i="5"/>
  <c r="B1413" i="5"/>
  <c r="E1412" i="5"/>
  <c r="D1412" i="5"/>
  <c r="B1412" i="5"/>
  <c r="E1411" i="5"/>
  <c r="D1411" i="5"/>
  <c r="B1411" i="5"/>
  <c r="E1410" i="5"/>
  <c r="D1410" i="5"/>
  <c r="B1410" i="5"/>
  <c r="E1409" i="5"/>
  <c r="D1409" i="5"/>
  <c r="B1409" i="5"/>
  <c r="E1408" i="5"/>
  <c r="D1408" i="5"/>
  <c r="B1408" i="5"/>
  <c r="E1407" i="5"/>
  <c r="D1407" i="5"/>
  <c r="B1407" i="5"/>
  <c r="E1406" i="5"/>
  <c r="D1406" i="5"/>
  <c r="B1406" i="5"/>
  <c r="E1405" i="5"/>
  <c r="D1405" i="5"/>
  <c r="B1405" i="5"/>
  <c r="E1404" i="5"/>
  <c r="D1404" i="5"/>
  <c r="B1404" i="5"/>
  <c r="E1403" i="5"/>
  <c r="D1403" i="5"/>
  <c r="B1403" i="5"/>
  <c r="E1402" i="5"/>
  <c r="D1402" i="5"/>
  <c r="B1402" i="5"/>
  <c r="E1401" i="5"/>
  <c r="D1401" i="5"/>
  <c r="B1401" i="5"/>
  <c r="E1400" i="5"/>
  <c r="D1400" i="5"/>
  <c r="B1400" i="5"/>
  <c r="E1399" i="5"/>
  <c r="D1399" i="5"/>
  <c r="B1399" i="5"/>
  <c r="E1398" i="5"/>
  <c r="D1398" i="5"/>
  <c r="B1398" i="5"/>
  <c r="E1397" i="5"/>
  <c r="D1397" i="5"/>
  <c r="B1397" i="5"/>
  <c r="E1396" i="5"/>
  <c r="D1396" i="5"/>
  <c r="B1396" i="5"/>
  <c r="E1395" i="5"/>
  <c r="D1395" i="5"/>
  <c r="B1395" i="5"/>
  <c r="E1394" i="5"/>
  <c r="D1394" i="5"/>
  <c r="B1394" i="5"/>
  <c r="E1393" i="5"/>
  <c r="D1393" i="5"/>
  <c r="B1393" i="5"/>
  <c r="E1392" i="5"/>
  <c r="D1392" i="5"/>
  <c r="B1392" i="5"/>
  <c r="E1391" i="5"/>
  <c r="D1391" i="5"/>
  <c r="B1391" i="5"/>
  <c r="E1390" i="5"/>
  <c r="D1390" i="5"/>
  <c r="B1390" i="5"/>
  <c r="E1389" i="5"/>
  <c r="D1389" i="5"/>
  <c r="B1389" i="5"/>
  <c r="E1388" i="5"/>
  <c r="D1388" i="5"/>
  <c r="B1388" i="5"/>
  <c r="E1387" i="5"/>
  <c r="D1387" i="5"/>
  <c r="B1387" i="5"/>
  <c r="E1386" i="5"/>
  <c r="D1386" i="5"/>
  <c r="B1386" i="5"/>
  <c r="E1385" i="5"/>
  <c r="D1385" i="5"/>
  <c r="B1385" i="5"/>
  <c r="E1384" i="5"/>
  <c r="D1384" i="5"/>
  <c r="B1384" i="5"/>
  <c r="E1383" i="5"/>
  <c r="D1383" i="5"/>
  <c r="B1383" i="5"/>
  <c r="E1382" i="5"/>
  <c r="D1382" i="5"/>
  <c r="B1382" i="5"/>
  <c r="E1381" i="5"/>
  <c r="D1381" i="5"/>
  <c r="B1381" i="5"/>
  <c r="E1380" i="5"/>
  <c r="D1380" i="5"/>
  <c r="B1380" i="5"/>
  <c r="E1379" i="5"/>
  <c r="D1379" i="5"/>
  <c r="B1379" i="5"/>
  <c r="E1378" i="5"/>
  <c r="D1378" i="5"/>
  <c r="B1378" i="5"/>
  <c r="E1377" i="5"/>
  <c r="D1377" i="5"/>
  <c r="B1377" i="5"/>
  <c r="E1376" i="5"/>
  <c r="D1376" i="5"/>
  <c r="B1376" i="5"/>
  <c r="E1375" i="5"/>
  <c r="D1375" i="5"/>
  <c r="B1375" i="5"/>
  <c r="E1374" i="5"/>
  <c r="D1374" i="5"/>
  <c r="B1374" i="5"/>
  <c r="E1373" i="5"/>
  <c r="D1373" i="5"/>
  <c r="B1373" i="5"/>
  <c r="E1372" i="5"/>
  <c r="D1372" i="5"/>
  <c r="B1372" i="5"/>
  <c r="E1371" i="5"/>
  <c r="D1371" i="5"/>
  <c r="B1371" i="5"/>
  <c r="E1370" i="5"/>
  <c r="D1370" i="5"/>
  <c r="B1370" i="5"/>
  <c r="E1369" i="5"/>
  <c r="D1369" i="5"/>
  <c r="B1369" i="5"/>
  <c r="E1368" i="5"/>
  <c r="D1368" i="5"/>
  <c r="B1368" i="5"/>
  <c r="E1367" i="5"/>
  <c r="D1367" i="5"/>
  <c r="B1367" i="5"/>
  <c r="E1366" i="5"/>
  <c r="D1366" i="5"/>
  <c r="B1366" i="5"/>
  <c r="E1365" i="5"/>
  <c r="D1365" i="5"/>
  <c r="B1365" i="5"/>
  <c r="E1364" i="5"/>
  <c r="D1364" i="5"/>
  <c r="B1364" i="5"/>
  <c r="E1363" i="5"/>
  <c r="D1363" i="5"/>
  <c r="B1363" i="5"/>
  <c r="E1362" i="5"/>
  <c r="D1362" i="5"/>
  <c r="B1362" i="5"/>
  <c r="E1361" i="5"/>
  <c r="D1361" i="5"/>
  <c r="B1361" i="5"/>
  <c r="E1360" i="5"/>
  <c r="D1360" i="5"/>
  <c r="B1360" i="5"/>
  <c r="E1359" i="5"/>
  <c r="D1359" i="5"/>
  <c r="B1359" i="5"/>
  <c r="E1358" i="5"/>
  <c r="D1358" i="5"/>
  <c r="B1358" i="5"/>
  <c r="E1357" i="5"/>
  <c r="D1357" i="5"/>
  <c r="B1357" i="5"/>
  <c r="E1356" i="5"/>
  <c r="D1356" i="5"/>
  <c r="B1356" i="5"/>
  <c r="E1355" i="5"/>
  <c r="D1355" i="5"/>
  <c r="B1355" i="5"/>
  <c r="E1354" i="5"/>
  <c r="D1354" i="5"/>
  <c r="B1354" i="5"/>
  <c r="E1353" i="5"/>
  <c r="D1353" i="5"/>
  <c r="B1353" i="5"/>
  <c r="E1352" i="5"/>
  <c r="D1352" i="5"/>
  <c r="B1352" i="5"/>
  <c r="E1351" i="5"/>
  <c r="D1351" i="5"/>
  <c r="B1351" i="5"/>
  <c r="E1350" i="5"/>
  <c r="D1350" i="5"/>
  <c r="B1350" i="5"/>
  <c r="E1349" i="5"/>
  <c r="D1349" i="5"/>
  <c r="B1349" i="5"/>
  <c r="E1348" i="5"/>
  <c r="D1348" i="5"/>
  <c r="B1348" i="5"/>
  <c r="E1347" i="5"/>
  <c r="D1347" i="5"/>
  <c r="B1347" i="5"/>
  <c r="E1346" i="5"/>
  <c r="D1346" i="5"/>
  <c r="B1346" i="5"/>
  <c r="E1345" i="5"/>
  <c r="D1345" i="5"/>
  <c r="B1345" i="5"/>
  <c r="E1344" i="5"/>
  <c r="D1344" i="5"/>
  <c r="B1344" i="5"/>
  <c r="E1343" i="5"/>
  <c r="D1343" i="5"/>
  <c r="B1343" i="5"/>
  <c r="E1342" i="5"/>
  <c r="D1342" i="5"/>
  <c r="B1342" i="5"/>
  <c r="E1341" i="5"/>
  <c r="D1341" i="5"/>
  <c r="B1341" i="5"/>
  <c r="E1340" i="5"/>
  <c r="D1340" i="5"/>
  <c r="B1340" i="5"/>
  <c r="E1339" i="5"/>
  <c r="D1339" i="5"/>
  <c r="B1339" i="5"/>
  <c r="E1338" i="5"/>
  <c r="D1338" i="5"/>
  <c r="B1338" i="5"/>
  <c r="E1337" i="5"/>
  <c r="D1337" i="5"/>
  <c r="B1337" i="5"/>
  <c r="E1336" i="5"/>
  <c r="D1336" i="5"/>
  <c r="B1336" i="5"/>
  <c r="E1335" i="5"/>
  <c r="D1335" i="5"/>
  <c r="B1335" i="5"/>
  <c r="E1334" i="5"/>
  <c r="D1334" i="5"/>
  <c r="B1334" i="5"/>
  <c r="E1333" i="5"/>
  <c r="D1333" i="5"/>
  <c r="B1333" i="5"/>
  <c r="E1332" i="5"/>
  <c r="D1332" i="5"/>
  <c r="B1332" i="5"/>
  <c r="E1331" i="5"/>
  <c r="D1331" i="5"/>
  <c r="B1331" i="5"/>
  <c r="E1330" i="5"/>
  <c r="D1330" i="5"/>
  <c r="B1330" i="5"/>
  <c r="E1329" i="5"/>
  <c r="D1329" i="5"/>
  <c r="B1329" i="5"/>
  <c r="E1328" i="5"/>
  <c r="D1328" i="5"/>
  <c r="B1328" i="5"/>
  <c r="E1327" i="5"/>
  <c r="D1327" i="5"/>
  <c r="B1327" i="5"/>
  <c r="E1326" i="5"/>
  <c r="D1326" i="5"/>
  <c r="B1326" i="5"/>
  <c r="E1325" i="5"/>
  <c r="D1325" i="5"/>
  <c r="B1325" i="5"/>
  <c r="E1324" i="5"/>
  <c r="D1324" i="5"/>
  <c r="B1324" i="5"/>
  <c r="E1323" i="5"/>
  <c r="D1323" i="5"/>
  <c r="B1323" i="5"/>
  <c r="E1322" i="5"/>
  <c r="D1322" i="5"/>
  <c r="B1322" i="5"/>
  <c r="E1321" i="5"/>
  <c r="D1321" i="5"/>
  <c r="B1321" i="5"/>
  <c r="E1320" i="5"/>
  <c r="D1320" i="5"/>
  <c r="B1320" i="5"/>
  <c r="E1319" i="5"/>
  <c r="D1319" i="5"/>
  <c r="B1319" i="5"/>
  <c r="E1318" i="5"/>
  <c r="D1318" i="5"/>
  <c r="B1318" i="5"/>
  <c r="E1317" i="5"/>
  <c r="D1317" i="5"/>
  <c r="B1317" i="5"/>
  <c r="E1316" i="5"/>
  <c r="D1316" i="5"/>
  <c r="B1316" i="5"/>
  <c r="E1315" i="5"/>
  <c r="D1315" i="5"/>
  <c r="B1315" i="5"/>
  <c r="E1314" i="5"/>
  <c r="D1314" i="5"/>
  <c r="B1314" i="5"/>
  <c r="E1313" i="5"/>
  <c r="D1313" i="5"/>
  <c r="B1313" i="5"/>
  <c r="E1312" i="5"/>
  <c r="D1312" i="5"/>
  <c r="B1312" i="5"/>
  <c r="E1311" i="5"/>
  <c r="D1311" i="5"/>
  <c r="B1311" i="5"/>
  <c r="E1310" i="5"/>
  <c r="D1310" i="5"/>
  <c r="B1310" i="5"/>
  <c r="E1309" i="5"/>
  <c r="D1309" i="5"/>
  <c r="B1309" i="5"/>
  <c r="E1308" i="5"/>
  <c r="D1308" i="5"/>
  <c r="B1308" i="5"/>
  <c r="E1307" i="5"/>
  <c r="D1307" i="5"/>
  <c r="B1307" i="5"/>
  <c r="E1306" i="5"/>
  <c r="D1306" i="5"/>
  <c r="B1306" i="5"/>
  <c r="E1305" i="5"/>
  <c r="D1305" i="5"/>
  <c r="B1305" i="5"/>
  <c r="E1304" i="5"/>
  <c r="D1304" i="5"/>
  <c r="B1304" i="5"/>
  <c r="E1303" i="5"/>
  <c r="D1303" i="5"/>
  <c r="B1303" i="5"/>
  <c r="E1302" i="5"/>
  <c r="D1302" i="5"/>
  <c r="B1302" i="5"/>
  <c r="E1301" i="5"/>
  <c r="D1301" i="5"/>
  <c r="B1301" i="5"/>
  <c r="E1300" i="5"/>
  <c r="D1300" i="5"/>
  <c r="B1300" i="5"/>
  <c r="E1299" i="5"/>
  <c r="D1299" i="5"/>
  <c r="B1299" i="5"/>
  <c r="E1298" i="5"/>
  <c r="D1298" i="5"/>
  <c r="B1298" i="5"/>
  <c r="E1297" i="5"/>
  <c r="D1297" i="5"/>
  <c r="B1297" i="5"/>
  <c r="E1296" i="5"/>
  <c r="D1296" i="5"/>
  <c r="B1296" i="5"/>
  <c r="E1295" i="5"/>
  <c r="D1295" i="5"/>
  <c r="B1295" i="5"/>
  <c r="E1294" i="5"/>
  <c r="D1294" i="5"/>
  <c r="B1294" i="5"/>
  <c r="E1293" i="5"/>
  <c r="D1293" i="5"/>
  <c r="B1293" i="5"/>
  <c r="E1292" i="5"/>
  <c r="D1292" i="5"/>
  <c r="B1292" i="5"/>
  <c r="E1291" i="5"/>
  <c r="D1291" i="5"/>
  <c r="B1291" i="5"/>
  <c r="E1290" i="5"/>
  <c r="D1290" i="5"/>
  <c r="B1290" i="5"/>
  <c r="E1289" i="5"/>
  <c r="D1289" i="5"/>
  <c r="B1289" i="5"/>
  <c r="E1288" i="5"/>
  <c r="D1288" i="5"/>
  <c r="B1288" i="5"/>
  <c r="E1287" i="5"/>
  <c r="D1287" i="5"/>
  <c r="B1287" i="5"/>
  <c r="E1286" i="5"/>
  <c r="D1286" i="5"/>
  <c r="B1286" i="5"/>
  <c r="E1285" i="5"/>
  <c r="D1285" i="5"/>
  <c r="B1285" i="5"/>
  <c r="E1284" i="5"/>
  <c r="D1284" i="5"/>
  <c r="B1284" i="5"/>
  <c r="E1283" i="5"/>
  <c r="D1283" i="5"/>
  <c r="B1283" i="5"/>
  <c r="E1282" i="5"/>
  <c r="D1282" i="5"/>
  <c r="B1282" i="5"/>
  <c r="E1281" i="5"/>
  <c r="D1281" i="5"/>
  <c r="B1281" i="5"/>
  <c r="E1280" i="5"/>
  <c r="D1280" i="5"/>
  <c r="B1280" i="5"/>
  <c r="E1279" i="5"/>
  <c r="D1279" i="5"/>
  <c r="B1279" i="5"/>
  <c r="E1278" i="5"/>
  <c r="D1278" i="5"/>
  <c r="B1278" i="5"/>
  <c r="E1277" i="5"/>
  <c r="D1277" i="5"/>
  <c r="B1277" i="5"/>
  <c r="E1276" i="5"/>
  <c r="D1276" i="5"/>
  <c r="B1276" i="5"/>
  <c r="E1275" i="5"/>
  <c r="D1275" i="5"/>
  <c r="B1275" i="5"/>
  <c r="E1274" i="5"/>
  <c r="D1274" i="5"/>
  <c r="B1274" i="5"/>
  <c r="E1273" i="5"/>
  <c r="D1273" i="5"/>
  <c r="B1273" i="5"/>
  <c r="E1272" i="5"/>
  <c r="D1272" i="5"/>
  <c r="B1272" i="5"/>
  <c r="E1271" i="5"/>
  <c r="D1271" i="5"/>
  <c r="B1271" i="5"/>
  <c r="E1270" i="5"/>
  <c r="D1270" i="5"/>
  <c r="B1270" i="5"/>
  <c r="E1269" i="5"/>
  <c r="D1269" i="5"/>
  <c r="B1269" i="5"/>
  <c r="E1268" i="5"/>
  <c r="D1268" i="5"/>
  <c r="B1268" i="5"/>
  <c r="E1267" i="5"/>
  <c r="D1267" i="5"/>
  <c r="B1267" i="5"/>
  <c r="E1266" i="5"/>
  <c r="D1266" i="5"/>
  <c r="B1266" i="5"/>
  <c r="E1265" i="5"/>
  <c r="D1265" i="5"/>
  <c r="B1265" i="5"/>
  <c r="E1264" i="5"/>
  <c r="D1264" i="5"/>
  <c r="B1264" i="5"/>
  <c r="E1263" i="5"/>
  <c r="D1263" i="5"/>
  <c r="B1263" i="5"/>
  <c r="E1262" i="5"/>
  <c r="D1262" i="5"/>
  <c r="B1262" i="5"/>
  <c r="E1261" i="5"/>
  <c r="D1261" i="5"/>
  <c r="B1261" i="5"/>
  <c r="E1260" i="5"/>
  <c r="D1260" i="5"/>
  <c r="B1260" i="5"/>
  <c r="E1259" i="5"/>
  <c r="D1259" i="5"/>
  <c r="B1259" i="5"/>
  <c r="E1258" i="5"/>
  <c r="D1258" i="5"/>
  <c r="B1258" i="5"/>
  <c r="E1257" i="5"/>
  <c r="D1257" i="5"/>
  <c r="B1257" i="5"/>
  <c r="E1256" i="5"/>
  <c r="D1256" i="5"/>
  <c r="B1256" i="5"/>
  <c r="E1255" i="5"/>
  <c r="D1255" i="5"/>
  <c r="B1255" i="5"/>
  <c r="E1254" i="5"/>
  <c r="D1254" i="5"/>
  <c r="B1254" i="5"/>
  <c r="E1253" i="5"/>
  <c r="D1253" i="5"/>
  <c r="B1253" i="5"/>
  <c r="E1252" i="5"/>
  <c r="D1252" i="5"/>
  <c r="B1252" i="5"/>
  <c r="E1251" i="5"/>
  <c r="D1251" i="5"/>
  <c r="B1251" i="5"/>
  <c r="E1250" i="5"/>
  <c r="D1250" i="5"/>
  <c r="B1250" i="5"/>
  <c r="E1249" i="5"/>
  <c r="D1249" i="5"/>
  <c r="B1249" i="5"/>
  <c r="E1248" i="5"/>
  <c r="D1248" i="5"/>
  <c r="B1248" i="5"/>
  <c r="E1247" i="5"/>
  <c r="D1247" i="5"/>
  <c r="B1247" i="5"/>
  <c r="E1246" i="5"/>
  <c r="D1246" i="5"/>
  <c r="B1246" i="5"/>
  <c r="E1245" i="5"/>
  <c r="D1245" i="5"/>
  <c r="B1245" i="5"/>
  <c r="E1244" i="5"/>
  <c r="D1244" i="5"/>
  <c r="B1244" i="5"/>
  <c r="E1243" i="5"/>
  <c r="D1243" i="5"/>
  <c r="B1243" i="5"/>
  <c r="E1242" i="5"/>
  <c r="D1242" i="5"/>
  <c r="B1242" i="5"/>
  <c r="E1241" i="5"/>
  <c r="D1241" i="5"/>
  <c r="B1241" i="5"/>
  <c r="E1240" i="5"/>
  <c r="D1240" i="5"/>
  <c r="B1240" i="5"/>
  <c r="E1239" i="5"/>
  <c r="D1239" i="5"/>
  <c r="B1239" i="5"/>
  <c r="E1238" i="5"/>
  <c r="D1238" i="5"/>
  <c r="B1238" i="5"/>
  <c r="E1237" i="5"/>
  <c r="D1237" i="5"/>
  <c r="B1237" i="5"/>
  <c r="E1236" i="5"/>
  <c r="D1236" i="5"/>
  <c r="B1236" i="5"/>
  <c r="E1235" i="5"/>
  <c r="D1235" i="5"/>
  <c r="B1235" i="5"/>
  <c r="E1234" i="5"/>
  <c r="D1234" i="5"/>
  <c r="B1234" i="5"/>
  <c r="E1233" i="5"/>
  <c r="D1233" i="5"/>
  <c r="B1233" i="5"/>
  <c r="E1232" i="5"/>
  <c r="D1232" i="5"/>
  <c r="B1232" i="5"/>
  <c r="E1231" i="5"/>
  <c r="D1231" i="5"/>
  <c r="B1231" i="5"/>
  <c r="E1230" i="5"/>
  <c r="D1230" i="5"/>
  <c r="B1230" i="5"/>
  <c r="E1229" i="5"/>
  <c r="D1229" i="5"/>
  <c r="B1229" i="5"/>
  <c r="E1228" i="5"/>
  <c r="D1228" i="5"/>
  <c r="B1228" i="5"/>
  <c r="E1227" i="5"/>
  <c r="D1227" i="5"/>
  <c r="B1227" i="5"/>
  <c r="E1226" i="5"/>
  <c r="D1226" i="5"/>
  <c r="B1226" i="5"/>
  <c r="E1225" i="5"/>
  <c r="D1225" i="5"/>
  <c r="B1225" i="5"/>
  <c r="E1224" i="5"/>
  <c r="D1224" i="5"/>
  <c r="B1224" i="5"/>
  <c r="E1223" i="5"/>
  <c r="D1223" i="5"/>
  <c r="B1223" i="5"/>
  <c r="E1222" i="5"/>
  <c r="D1222" i="5"/>
  <c r="B1222" i="5"/>
  <c r="E1221" i="5"/>
  <c r="D1221" i="5"/>
  <c r="B1221" i="5"/>
  <c r="E1220" i="5"/>
  <c r="D1220" i="5"/>
  <c r="B1220" i="5"/>
  <c r="E1219" i="5"/>
  <c r="D1219" i="5"/>
  <c r="B1219" i="5"/>
  <c r="E1218" i="5"/>
  <c r="D1218" i="5"/>
  <c r="B1218" i="5"/>
  <c r="E1217" i="5"/>
  <c r="D1217" i="5"/>
  <c r="B1217" i="5"/>
  <c r="E1216" i="5"/>
  <c r="D1216" i="5"/>
  <c r="B1216" i="5"/>
  <c r="E1215" i="5"/>
  <c r="D1215" i="5"/>
  <c r="B1215" i="5"/>
  <c r="E1214" i="5"/>
  <c r="D1214" i="5"/>
  <c r="B1214" i="5"/>
  <c r="E1213" i="5"/>
  <c r="D1213" i="5"/>
  <c r="B1213" i="5"/>
  <c r="E1212" i="5"/>
  <c r="D1212" i="5"/>
  <c r="B1212" i="5"/>
  <c r="E1211" i="5"/>
  <c r="D1211" i="5"/>
  <c r="B1211" i="5"/>
  <c r="E1210" i="5"/>
  <c r="D1210" i="5"/>
  <c r="B1210" i="5"/>
  <c r="E1209" i="5"/>
  <c r="D1209" i="5"/>
  <c r="B1209" i="5"/>
  <c r="E1208" i="5"/>
  <c r="D1208" i="5"/>
  <c r="B1208" i="5"/>
  <c r="E1207" i="5"/>
  <c r="D1207" i="5"/>
  <c r="B1207" i="5"/>
  <c r="E1206" i="5"/>
  <c r="D1206" i="5"/>
  <c r="B1206" i="5"/>
  <c r="E1205" i="5"/>
  <c r="D1205" i="5"/>
  <c r="B1205" i="5"/>
  <c r="E1204" i="5"/>
  <c r="D1204" i="5"/>
  <c r="B1204" i="5"/>
  <c r="E1203" i="5"/>
  <c r="D1203" i="5"/>
  <c r="B1203" i="5"/>
  <c r="E1202" i="5"/>
  <c r="D1202" i="5"/>
  <c r="B1202" i="5"/>
  <c r="E1201" i="5"/>
  <c r="D1201" i="5"/>
  <c r="B1201" i="5"/>
  <c r="E1200" i="5"/>
  <c r="D1200" i="5"/>
  <c r="B1200" i="5"/>
  <c r="E1199" i="5"/>
  <c r="D1199" i="5"/>
  <c r="B1199" i="5"/>
  <c r="E1198" i="5"/>
  <c r="D1198" i="5"/>
  <c r="B1198" i="5"/>
  <c r="E1197" i="5"/>
  <c r="D1197" i="5"/>
  <c r="B1197" i="5"/>
  <c r="E1196" i="5"/>
  <c r="D1196" i="5"/>
  <c r="B1196" i="5"/>
  <c r="E1195" i="5"/>
  <c r="D1195" i="5"/>
  <c r="B1195" i="5"/>
  <c r="E1194" i="5"/>
  <c r="D1194" i="5"/>
  <c r="B1194" i="5"/>
  <c r="E1193" i="5"/>
  <c r="D1193" i="5"/>
  <c r="B1193" i="5"/>
  <c r="E1192" i="5"/>
  <c r="D1192" i="5"/>
  <c r="B1192" i="5"/>
  <c r="E1191" i="5"/>
  <c r="D1191" i="5"/>
  <c r="B1191" i="5"/>
  <c r="E1190" i="5"/>
  <c r="D1190" i="5"/>
  <c r="B1190" i="5"/>
  <c r="E1189" i="5"/>
  <c r="D1189" i="5"/>
  <c r="B1189" i="5"/>
  <c r="E1188" i="5"/>
  <c r="D1188" i="5"/>
  <c r="B1188" i="5"/>
  <c r="E1187" i="5"/>
  <c r="D1187" i="5"/>
  <c r="B1187" i="5"/>
  <c r="E1186" i="5"/>
  <c r="D1186" i="5"/>
  <c r="B1186" i="5"/>
  <c r="E1185" i="5"/>
  <c r="D1185" i="5"/>
  <c r="B1185" i="5"/>
  <c r="E1184" i="5"/>
  <c r="D1184" i="5"/>
  <c r="B1184" i="5"/>
  <c r="E1183" i="5"/>
  <c r="D1183" i="5"/>
  <c r="B1183" i="5"/>
  <c r="E1182" i="5"/>
  <c r="D1182" i="5"/>
  <c r="B1182" i="5"/>
  <c r="E1181" i="5"/>
  <c r="D1181" i="5"/>
  <c r="B1181" i="5"/>
  <c r="E1180" i="5"/>
  <c r="D1180" i="5"/>
  <c r="B1180" i="5"/>
  <c r="E1179" i="5"/>
  <c r="D1179" i="5"/>
  <c r="B1179" i="5"/>
  <c r="E1178" i="5"/>
  <c r="D1178" i="5"/>
  <c r="B1178" i="5"/>
  <c r="E1177" i="5"/>
  <c r="D1177" i="5"/>
  <c r="B1177" i="5"/>
  <c r="E1176" i="5"/>
  <c r="D1176" i="5"/>
  <c r="B1176" i="5"/>
  <c r="E1175" i="5"/>
  <c r="D1175" i="5"/>
  <c r="B1175" i="5"/>
  <c r="E1174" i="5"/>
  <c r="D1174" i="5"/>
  <c r="B1174" i="5"/>
  <c r="E1173" i="5"/>
  <c r="D1173" i="5"/>
  <c r="B1173" i="5"/>
  <c r="E1172" i="5"/>
  <c r="D1172" i="5"/>
  <c r="B1172" i="5"/>
  <c r="E1171" i="5"/>
  <c r="D1171" i="5"/>
  <c r="B1171" i="5"/>
  <c r="E1170" i="5"/>
  <c r="D1170" i="5"/>
  <c r="B1170" i="5"/>
  <c r="E1169" i="5"/>
  <c r="D1169" i="5"/>
  <c r="B1169" i="5"/>
  <c r="E1168" i="5"/>
  <c r="D1168" i="5"/>
  <c r="B1168" i="5"/>
  <c r="E1167" i="5"/>
  <c r="D1167" i="5"/>
  <c r="B1167" i="5"/>
  <c r="E1166" i="5"/>
  <c r="D1166" i="5"/>
  <c r="B1166" i="5"/>
  <c r="E1165" i="5"/>
  <c r="D1165" i="5"/>
  <c r="B1165" i="5"/>
  <c r="E1164" i="5"/>
  <c r="D1164" i="5"/>
  <c r="B1164" i="5"/>
  <c r="E1163" i="5"/>
  <c r="D1163" i="5"/>
  <c r="B1163" i="5"/>
  <c r="E1162" i="5"/>
  <c r="D1162" i="5"/>
  <c r="B1162" i="5"/>
  <c r="E1161" i="5"/>
  <c r="D1161" i="5"/>
  <c r="B1161" i="5"/>
  <c r="E1160" i="5"/>
  <c r="D1160" i="5"/>
  <c r="B1160" i="5"/>
  <c r="E1159" i="5"/>
  <c r="D1159" i="5"/>
  <c r="B1159" i="5"/>
  <c r="E1158" i="5"/>
  <c r="D1158" i="5"/>
  <c r="B1158" i="5"/>
  <c r="E1157" i="5"/>
  <c r="D1157" i="5"/>
  <c r="B1157" i="5"/>
  <c r="E1156" i="5"/>
  <c r="D1156" i="5"/>
  <c r="B1156" i="5"/>
  <c r="E1155" i="5"/>
  <c r="D1155" i="5"/>
  <c r="B1155" i="5"/>
  <c r="E1154" i="5"/>
  <c r="D1154" i="5"/>
  <c r="B1154" i="5"/>
  <c r="E1153" i="5"/>
  <c r="D1153" i="5"/>
  <c r="B1153" i="5"/>
  <c r="E1152" i="5"/>
  <c r="D1152" i="5"/>
  <c r="B1152" i="5"/>
  <c r="E1151" i="5"/>
  <c r="D1151" i="5"/>
  <c r="B1151" i="5"/>
  <c r="E1150" i="5"/>
  <c r="D1150" i="5"/>
  <c r="B1150" i="5"/>
  <c r="E1149" i="5"/>
  <c r="D1149" i="5"/>
  <c r="B1149" i="5"/>
  <c r="E1148" i="5"/>
  <c r="D1148" i="5"/>
  <c r="B1148" i="5"/>
  <c r="E1147" i="5"/>
  <c r="D1147" i="5"/>
  <c r="B1147" i="5"/>
  <c r="E1146" i="5"/>
  <c r="D1146" i="5"/>
  <c r="B1146" i="5"/>
  <c r="E1145" i="5"/>
  <c r="D1145" i="5"/>
  <c r="B1145" i="5"/>
  <c r="E1144" i="5"/>
  <c r="D1144" i="5"/>
  <c r="B1144" i="5"/>
  <c r="E1143" i="5"/>
  <c r="D1143" i="5"/>
  <c r="B1143" i="5"/>
  <c r="E1142" i="5"/>
  <c r="D1142" i="5"/>
  <c r="B1142" i="5"/>
  <c r="E1141" i="5"/>
  <c r="D1141" i="5"/>
  <c r="B1141" i="5"/>
  <c r="E1140" i="5"/>
  <c r="D1140" i="5"/>
  <c r="B1140" i="5"/>
  <c r="E1139" i="5"/>
  <c r="D1139" i="5"/>
  <c r="B1139" i="5"/>
  <c r="E1138" i="5"/>
  <c r="D1138" i="5"/>
  <c r="B1138" i="5"/>
  <c r="E1137" i="5"/>
  <c r="D1137" i="5"/>
  <c r="B1137" i="5"/>
  <c r="E1136" i="5"/>
  <c r="D1136" i="5"/>
  <c r="B1136" i="5"/>
  <c r="E1135" i="5"/>
  <c r="D1135" i="5"/>
  <c r="B1135" i="5"/>
  <c r="E1134" i="5"/>
  <c r="D1134" i="5"/>
  <c r="B1134" i="5"/>
  <c r="E1133" i="5"/>
  <c r="D1133" i="5"/>
  <c r="B1133" i="5"/>
  <c r="E1132" i="5"/>
  <c r="D1132" i="5"/>
  <c r="B1132" i="5"/>
  <c r="E1131" i="5"/>
  <c r="D1131" i="5"/>
  <c r="B1131" i="5"/>
  <c r="E1130" i="5"/>
  <c r="D1130" i="5"/>
  <c r="B1130" i="5"/>
  <c r="E1129" i="5"/>
  <c r="D1129" i="5"/>
  <c r="B1129" i="5"/>
  <c r="E1128" i="5"/>
  <c r="D1128" i="5"/>
  <c r="B1128" i="5"/>
  <c r="E1127" i="5"/>
  <c r="D1127" i="5"/>
  <c r="B1127" i="5"/>
  <c r="E1126" i="5"/>
  <c r="D1126" i="5"/>
  <c r="B1126" i="5"/>
  <c r="E1125" i="5"/>
  <c r="D1125" i="5"/>
  <c r="B1125" i="5"/>
  <c r="E1124" i="5"/>
  <c r="D1124" i="5"/>
  <c r="B1124" i="5"/>
  <c r="E1123" i="5"/>
  <c r="D1123" i="5"/>
  <c r="B1123" i="5"/>
  <c r="E1122" i="5"/>
  <c r="D1122" i="5"/>
  <c r="B1122" i="5"/>
  <c r="E1121" i="5"/>
  <c r="D1121" i="5"/>
  <c r="B1121" i="5"/>
  <c r="E1120" i="5"/>
  <c r="D1120" i="5"/>
  <c r="B1120" i="5"/>
  <c r="E1119" i="5"/>
  <c r="D1119" i="5"/>
  <c r="B1119" i="5"/>
  <c r="E1118" i="5"/>
  <c r="D1118" i="5"/>
  <c r="B1118" i="5"/>
  <c r="E1117" i="5"/>
  <c r="D1117" i="5"/>
  <c r="B1117" i="5"/>
  <c r="E1116" i="5"/>
  <c r="D1116" i="5"/>
  <c r="B1116" i="5"/>
  <c r="E1115" i="5"/>
  <c r="D1115" i="5"/>
  <c r="B1115" i="5"/>
  <c r="E1114" i="5"/>
  <c r="D1114" i="5"/>
  <c r="B1114" i="5"/>
  <c r="E1113" i="5"/>
  <c r="D1113" i="5"/>
  <c r="B1113" i="5"/>
  <c r="E1112" i="5"/>
  <c r="D1112" i="5"/>
  <c r="B1112" i="5"/>
  <c r="E1111" i="5"/>
  <c r="D1111" i="5"/>
  <c r="B1111" i="5"/>
  <c r="E1110" i="5"/>
  <c r="D1110" i="5"/>
  <c r="B1110" i="5"/>
  <c r="E1109" i="5"/>
  <c r="D1109" i="5"/>
  <c r="B1109" i="5"/>
  <c r="E1108" i="5"/>
  <c r="D1108" i="5"/>
  <c r="B1108" i="5"/>
  <c r="E1107" i="5"/>
  <c r="D1107" i="5"/>
  <c r="B1107" i="5"/>
  <c r="E1106" i="5"/>
  <c r="D1106" i="5"/>
  <c r="B1106" i="5"/>
  <c r="E1105" i="5"/>
  <c r="D1105" i="5"/>
  <c r="B1105" i="5"/>
  <c r="E1104" i="5"/>
  <c r="D1104" i="5"/>
  <c r="B1104" i="5"/>
  <c r="E1103" i="5"/>
  <c r="D1103" i="5"/>
  <c r="B1103" i="5"/>
  <c r="E1102" i="5"/>
  <c r="D1102" i="5"/>
  <c r="B1102" i="5"/>
  <c r="E1101" i="5"/>
  <c r="D1101" i="5"/>
  <c r="B1101" i="5"/>
  <c r="E1100" i="5"/>
  <c r="D1100" i="5"/>
  <c r="B1100" i="5"/>
  <c r="E1099" i="5"/>
  <c r="D1099" i="5"/>
  <c r="B1099" i="5"/>
  <c r="E1098" i="5"/>
  <c r="D1098" i="5"/>
  <c r="B1098" i="5"/>
  <c r="E1097" i="5"/>
  <c r="D1097" i="5"/>
  <c r="B1097" i="5"/>
  <c r="E1096" i="5"/>
  <c r="D1096" i="5"/>
  <c r="B1096" i="5"/>
  <c r="E1095" i="5"/>
  <c r="D1095" i="5"/>
  <c r="B1095" i="5"/>
  <c r="E1094" i="5"/>
  <c r="D1094" i="5"/>
  <c r="B1094" i="5"/>
  <c r="E1093" i="5"/>
  <c r="D1093" i="5"/>
  <c r="B1093" i="5"/>
  <c r="E1092" i="5"/>
  <c r="D1092" i="5"/>
  <c r="B1092" i="5"/>
  <c r="E1091" i="5"/>
  <c r="D1091" i="5"/>
  <c r="B1091" i="5"/>
  <c r="E1090" i="5"/>
  <c r="D1090" i="5"/>
  <c r="B1090" i="5"/>
  <c r="E1089" i="5"/>
  <c r="D1089" i="5"/>
  <c r="B1089" i="5"/>
  <c r="E1088" i="5"/>
  <c r="D1088" i="5"/>
  <c r="B1088" i="5"/>
  <c r="E1087" i="5"/>
  <c r="D1087" i="5"/>
  <c r="B1087" i="5"/>
  <c r="E1086" i="5"/>
  <c r="D1086" i="5"/>
  <c r="B1086" i="5"/>
  <c r="E1085" i="5"/>
  <c r="D1085" i="5"/>
  <c r="B1085" i="5"/>
  <c r="E1084" i="5"/>
  <c r="D1084" i="5"/>
  <c r="B1084" i="5"/>
  <c r="E1083" i="5"/>
  <c r="D1083" i="5"/>
  <c r="B1083" i="5"/>
  <c r="E1082" i="5"/>
  <c r="D1082" i="5"/>
  <c r="B1082" i="5"/>
  <c r="E1081" i="5"/>
  <c r="D1081" i="5"/>
  <c r="B1081" i="5"/>
  <c r="E1080" i="5"/>
  <c r="D1080" i="5"/>
  <c r="B1080" i="5"/>
  <c r="E1079" i="5"/>
  <c r="D1079" i="5"/>
  <c r="B1079" i="5"/>
  <c r="E1078" i="5"/>
  <c r="D1078" i="5"/>
  <c r="B1078" i="5"/>
  <c r="E1077" i="5"/>
  <c r="D1077" i="5"/>
  <c r="B1077" i="5"/>
  <c r="E1076" i="5"/>
  <c r="D1076" i="5"/>
  <c r="B1076" i="5"/>
  <c r="E1075" i="5"/>
  <c r="D1075" i="5"/>
  <c r="B1075" i="5"/>
  <c r="E1074" i="5"/>
  <c r="D1074" i="5"/>
  <c r="B1074" i="5"/>
  <c r="E1073" i="5"/>
  <c r="D1073" i="5"/>
  <c r="B1073" i="5"/>
  <c r="E1072" i="5"/>
  <c r="D1072" i="5"/>
  <c r="B1072" i="5"/>
  <c r="E1071" i="5"/>
  <c r="D1071" i="5"/>
  <c r="B1071" i="5"/>
  <c r="E1070" i="5"/>
  <c r="D1070" i="5"/>
  <c r="B1070" i="5"/>
  <c r="E1069" i="5"/>
  <c r="D1069" i="5"/>
  <c r="B1069" i="5"/>
  <c r="E1068" i="5"/>
  <c r="D1068" i="5"/>
  <c r="B1068" i="5"/>
  <c r="E1067" i="5"/>
  <c r="D1067" i="5"/>
  <c r="B1067" i="5"/>
  <c r="E1066" i="5"/>
  <c r="D1066" i="5"/>
  <c r="B1066" i="5"/>
  <c r="E1065" i="5"/>
  <c r="D1065" i="5"/>
  <c r="B1065" i="5"/>
  <c r="E1064" i="5"/>
  <c r="D1064" i="5"/>
  <c r="B1064" i="5"/>
  <c r="E1063" i="5"/>
  <c r="D1063" i="5"/>
  <c r="B1063" i="5"/>
  <c r="E1062" i="5"/>
  <c r="D1062" i="5"/>
  <c r="B1062" i="5"/>
  <c r="E1061" i="5"/>
  <c r="D1061" i="5"/>
  <c r="B1061" i="5"/>
  <c r="E1060" i="5"/>
  <c r="D1060" i="5"/>
  <c r="B1060" i="5"/>
  <c r="E1059" i="5"/>
  <c r="D1059" i="5"/>
  <c r="B1059" i="5"/>
  <c r="E1058" i="5"/>
  <c r="D1058" i="5"/>
  <c r="B1058" i="5"/>
  <c r="E1057" i="5"/>
  <c r="D1057" i="5"/>
  <c r="B1057" i="5"/>
  <c r="E1056" i="5"/>
  <c r="D1056" i="5"/>
  <c r="B1056" i="5"/>
  <c r="E1055" i="5"/>
  <c r="D1055" i="5"/>
  <c r="B1055" i="5"/>
  <c r="E1054" i="5"/>
  <c r="D1054" i="5"/>
  <c r="B1054" i="5"/>
  <c r="E1053" i="5"/>
  <c r="D1053" i="5"/>
  <c r="B1053" i="5"/>
  <c r="E1052" i="5"/>
  <c r="D1052" i="5"/>
  <c r="B1052" i="5"/>
  <c r="E1051" i="5"/>
  <c r="D1051" i="5"/>
  <c r="B1051" i="5"/>
  <c r="E1050" i="5"/>
  <c r="D1050" i="5"/>
  <c r="B1050" i="5"/>
  <c r="E1049" i="5"/>
  <c r="D1049" i="5"/>
  <c r="B1049" i="5"/>
  <c r="E1048" i="5"/>
  <c r="D1048" i="5"/>
  <c r="B1048" i="5"/>
  <c r="E1047" i="5"/>
  <c r="D1047" i="5"/>
  <c r="B1047" i="5"/>
  <c r="E1046" i="5"/>
  <c r="D1046" i="5"/>
  <c r="B1046" i="5"/>
  <c r="E1045" i="5"/>
  <c r="D1045" i="5"/>
  <c r="B1045" i="5"/>
  <c r="E1044" i="5"/>
  <c r="D1044" i="5"/>
  <c r="B1044" i="5"/>
  <c r="E1043" i="5"/>
  <c r="D1043" i="5"/>
  <c r="B1043" i="5"/>
  <c r="E1042" i="5"/>
  <c r="D1042" i="5"/>
  <c r="B1042" i="5"/>
  <c r="E1041" i="5"/>
  <c r="D1041" i="5"/>
  <c r="B1041" i="5"/>
  <c r="E1040" i="5"/>
  <c r="D1040" i="5"/>
  <c r="B1040" i="5"/>
  <c r="E1039" i="5"/>
  <c r="D1039" i="5"/>
  <c r="B1039" i="5"/>
  <c r="E1038" i="5"/>
  <c r="D1038" i="5"/>
  <c r="B1038" i="5"/>
  <c r="E1037" i="5"/>
  <c r="D1037" i="5"/>
  <c r="B1037" i="5"/>
  <c r="E1036" i="5"/>
  <c r="D1036" i="5"/>
  <c r="B1036" i="5"/>
  <c r="E1035" i="5"/>
  <c r="D1035" i="5"/>
  <c r="B1035" i="5"/>
  <c r="E1034" i="5"/>
  <c r="D1034" i="5"/>
  <c r="B1034" i="5"/>
  <c r="E1033" i="5"/>
  <c r="D1033" i="5"/>
  <c r="B1033" i="5"/>
  <c r="E1032" i="5"/>
  <c r="D1032" i="5"/>
  <c r="B1032" i="5"/>
  <c r="E1031" i="5"/>
  <c r="D1031" i="5"/>
  <c r="B1031" i="5"/>
  <c r="E1030" i="5"/>
  <c r="D1030" i="5"/>
  <c r="B1030" i="5"/>
  <c r="E1029" i="5"/>
  <c r="D1029" i="5"/>
  <c r="B1029" i="5"/>
  <c r="E1028" i="5"/>
  <c r="D1028" i="5"/>
  <c r="B1028" i="5"/>
  <c r="E1027" i="5"/>
  <c r="D1027" i="5"/>
  <c r="B1027" i="5"/>
  <c r="E1026" i="5"/>
  <c r="D1026" i="5"/>
  <c r="B1026" i="5"/>
  <c r="E1025" i="5"/>
  <c r="D1025" i="5"/>
  <c r="B1025" i="5"/>
  <c r="E1024" i="5"/>
  <c r="D1024" i="5"/>
  <c r="B1024" i="5"/>
  <c r="E1023" i="5"/>
  <c r="D1023" i="5"/>
  <c r="B1023" i="5"/>
  <c r="E1022" i="5"/>
  <c r="D1022" i="5"/>
  <c r="B1022" i="5"/>
  <c r="E1021" i="5"/>
  <c r="D1021" i="5"/>
  <c r="B1021" i="5"/>
  <c r="E1020" i="5"/>
  <c r="D1020" i="5"/>
  <c r="B1020" i="5"/>
  <c r="E1019" i="5"/>
  <c r="D1019" i="5"/>
  <c r="B1019" i="5"/>
  <c r="E1018" i="5"/>
  <c r="D1018" i="5"/>
  <c r="B1018" i="5"/>
  <c r="E1017" i="5"/>
  <c r="D1017" i="5"/>
  <c r="B1017" i="5"/>
  <c r="E1016" i="5"/>
  <c r="D1016" i="5"/>
  <c r="B1016" i="5"/>
  <c r="E1015" i="5"/>
  <c r="D1015" i="5"/>
  <c r="B1015" i="5"/>
  <c r="E1014" i="5"/>
  <c r="D1014" i="5"/>
  <c r="B1014" i="5"/>
  <c r="E1013" i="5"/>
  <c r="D1013" i="5"/>
  <c r="B1013" i="5"/>
  <c r="E1012" i="5"/>
  <c r="D1012" i="5"/>
  <c r="B1012" i="5"/>
  <c r="E1011" i="5"/>
  <c r="D1011" i="5"/>
  <c r="B1011" i="5"/>
  <c r="E1010" i="5"/>
  <c r="D1010" i="5"/>
  <c r="B1010" i="5"/>
  <c r="E1009" i="5"/>
  <c r="D1009" i="5"/>
  <c r="B1009" i="5"/>
  <c r="E1008" i="5"/>
  <c r="D1008" i="5"/>
  <c r="B1008" i="5"/>
  <c r="E1007" i="5"/>
  <c r="D1007" i="5"/>
  <c r="B1007" i="5"/>
  <c r="E1006" i="5"/>
  <c r="D1006" i="5"/>
  <c r="B1006" i="5"/>
  <c r="E1005" i="5"/>
  <c r="D1005" i="5"/>
  <c r="B1005" i="5"/>
  <c r="E1004" i="5"/>
  <c r="D1004" i="5"/>
  <c r="B1004" i="5"/>
  <c r="E1003" i="5"/>
  <c r="D1003" i="5"/>
  <c r="B1003" i="5"/>
  <c r="E1002" i="5"/>
  <c r="D1002" i="5"/>
  <c r="B1002" i="5"/>
  <c r="E1001" i="5"/>
  <c r="D1001" i="5"/>
  <c r="B1001" i="5"/>
  <c r="E1000" i="5"/>
  <c r="D1000" i="5"/>
  <c r="B1000" i="5"/>
  <c r="E999" i="5"/>
  <c r="D999" i="5"/>
  <c r="B999" i="5"/>
  <c r="E998" i="5"/>
  <c r="D998" i="5"/>
  <c r="B998" i="5"/>
  <c r="E997" i="5"/>
  <c r="D997" i="5"/>
  <c r="B997" i="5"/>
  <c r="E996" i="5"/>
  <c r="D996" i="5"/>
  <c r="B996" i="5"/>
  <c r="E995" i="5"/>
  <c r="D995" i="5"/>
  <c r="B995" i="5"/>
  <c r="E994" i="5"/>
  <c r="D994" i="5"/>
  <c r="B994" i="5"/>
  <c r="E993" i="5"/>
  <c r="D993" i="5"/>
  <c r="B993" i="5"/>
  <c r="E992" i="5"/>
  <c r="D992" i="5"/>
  <c r="B992" i="5"/>
  <c r="E991" i="5"/>
  <c r="D991" i="5"/>
  <c r="B991" i="5"/>
  <c r="E990" i="5"/>
  <c r="D990" i="5"/>
  <c r="B990" i="5"/>
  <c r="E989" i="5"/>
  <c r="D989" i="5"/>
  <c r="B989" i="5"/>
  <c r="E988" i="5"/>
  <c r="D988" i="5"/>
  <c r="B988" i="5"/>
  <c r="E987" i="5"/>
  <c r="D987" i="5"/>
  <c r="B987" i="5"/>
  <c r="E986" i="5"/>
  <c r="D986" i="5"/>
  <c r="B986" i="5"/>
  <c r="E985" i="5"/>
  <c r="D985" i="5"/>
  <c r="B985" i="5"/>
  <c r="E984" i="5"/>
  <c r="D984" i="5"/>
  <c r="B984" i="5"/>
  <c r="E983" i="5"/>
  <c r="D983" i="5"/>
  <c r="B983" i="5"/>
  <c r="E982" i="5"/>
  <c r="D982" i="5"/>
  <c r="B982" i="5"/>
  <c r="E981" i="5"/>
  <c r="D981" i="5"/>
  <c r="B981" i="5"/>
  <c r="E980" i="5"/>
  <c r="D980" i="5"/>
  <c r="B980" i="5"/>
  <c r="E979" i="5"/>
  <c r="D979" i="5"/>
  <c r="B979" i="5"/>
  <c r="E978" i="5"/>
  <c r="D978" i="5"/>
  <c r="B978" i="5"/>
  <c r="E977" i="5"/>
  <c r="D977" i="5"/>
  <c r="B977" i="5"/>
  <c r="E976" i="5"/>
  <c r="D976" i="5"/>
  <c r="B976" i="5"/>
  <c r="E975" i="5"/>
  <c r="D975" i="5"/>
  <c r="B975" i="5"/>
  <c r="E974" i="5"/>
  <c r="D974" i="5"/>
  <c r="B974" i="5"/>
  <c r="E973" i="5"/>
  <c r="D973" i="5"/>
  <c r="B973" i="5"/>
  <c r="E972" i="5"/>
  <c r="D972" i="5"/>
  <c r="B972" i="5"/>
  <c r="E971" i="5"/>
  <c r="D971" i="5"/>
  <c r="B971" i="5"/>
  <c r="E970" i="5"/>
  <c r="D970" i="5"/>
  <c r="B970" i="5"/>
  <c r="E969" i="5"/>
  <c r="D969" i="5"/>
  <c r="B969" i="5"/>
  <c r="E968" i="5"/>
  <c r="D968" i="5"/>
  <c r="B968" i="5"/>
  <c r="E967" i="5"/>
  <c r="D967" i="5"/>
  <c r="B967" i="5"/>
  <c r="E966" i="5"/>
  <c r="D966" i="5"/>
  <c r="B966" i="5"/>
  <c r="E965" i="5"/>
  <c r="D965" i="5"/>
  <c r="B965" i="5"/>
  <c r="E964" i="5"/>
  <c r="D964" i="5"/>
  <c r="B964" i="5"/>
  <c r="E963" i="5"/>
  <c r="D963" i="5"/>
  <c r="B963" i="5"/>
  <c r="E962" i="5"/>
  <c r="D962" i="5"/>
  <c r="B962" i="5"/>
  <c r="E961" i="5"/>
  <c r="D961" i="5"/>
  <c r="B961" i="5"/>
  <c r="E960" i="5"/>
  <c r="D960" i="5"/>
  <c r="B960" i="5"/>
  <c r="E959" i="5"/>
  <c r="D959" i="5"/>
  <c r="B959" i="5"/>
  <c r="E958" i="5"/>
  <c r="D958" i="5"/>
  <c r="B958" i="5"/>
  <c r="E957" i="5"/>
  <c r="D957" i="5"/>
  <c r="B957" i="5"/>
  <c r="E956" i="5"/>
  <c r="D956" i="5"/>
  <c r="B956" i="5"/>
  <c r="E955" i="5"/>
  <c r="D955" i="5"/>
  <c r="B955" i="5"/>
  <c r="E954" i="5"/>
  <c r="D954" i="5"/>
  <c r="B954" i="5"/>
  <c r="E953" i="5"/>
  <c r="D953" i="5"/>
  <c r="B953" i="5"/>
  <c r="E952" i="5"/>
  <c r="D952" i="5"/>
  <c r="B952" i="5"/>
  <c r="E951" i="5"/>
  <c r="D951" i="5"/>
  <c r="B951" i="5"/>
  <c r="E950" i="5"/>
  <c r="D950" i="5"/>
  <c r="B950" i="5"/>
  <c r="E949" i="5"/>
  <c r="D949" i="5"/>
  <c r="B949" i="5"/>
  <c r="E948" i="5"/>
  <c r="D948" i="5"/>
  <c r="B948" i="5"/>
  <c r="E947" i="5"/>
  <c r="D947" i="5"/>
  <c r="B947" i="5"/>
  <c r="E946" i="5"/>
  <c r="D946" i="5"/>
  <c r="B946" i="5"/>
  <c r="E945" i="5"/>
  <c r="D945" i="5"/>
  <c r="B945" i="5"/>
  <c r="E944" i="5"/>
  <c r="D944" i="5"/>
  <c r="B944" i="5"/>
  <c r="E943" i="5"/>
  <c r="D943" i="5"/>
  <c r="B943" i="5"/>
  <c r="E942" i="5"/>
  <c r="D942" i="5"/>
  <c r="B942" i="5"/>
  <c r="E941" i="5"/>
  <c r="D941" i="5"/>
  <c r="B941" i="5"/>
  <c r="E940" i="5"/>
  <c r="D940" i="5"/>
  <c r="B940" i="5"/>
  <c r="E939" i="5"/>
  <c r="D939" i="5"/>
  <c r="B939" i="5"/>
  <c r="E938" i="5"/>
  <c r="D938" i="5"/>
  <c r="B938" i="5"/>
  <c r="E937" i="5"/>
  <c r="D937" i="5"/>
  <c r="B937" i="5"/>
  <c r="E936" i="5"/>
  <c r="D936" i="5"/>
  <c r="B936" i="5"/>
  <c r="E935" i="5"/>
  <c r="D935" i="5"/>
  <c r="B935" i="5"/>
  <c r="E934" i="5"/>
  <c r="D934" i="5"/>
  <c r="B934" i="5"/>
  <c r="E933" i="5"/>
  <c r="D933" i="5"/>
  <c r="B933" i="5"/>
  <c r="E932" i="5"/>
  <c r="D932" i="5"/>
  <c r="B932" i="5"/>
  <c r="E931" i="5"/>
  <c r="D931" i="5"/>
  <c r="B931" i="5"/>
  <c r="E930" i="5"/>
  <c r="D930" i="5"/>
  <c r="B930" i="5"/>
  <c r="E929" i="5"/>
  <c r="D929" i="5"/>
  <c r="B929" i="5"/>
  <c r="E928" i="5"/>
  <c r="D928" i="5"/>
  <c r="B928" i="5"/>
  <c r="E927" i="5"/>
  <c r="D927" i="5"/>
  <c r="B927" i="5"/>
  <c r="E926" i="5"/>
  <c r="D926" i="5"/>
  <c r="B926" i="5"/>
  <c r="E925" i="5"/>
  <c r="D925" i="5"/>
  <c r="B925" i="5"/>
  <c r="E924" i="5"/>
  <c r="D924" i="5"/>
  <c r="B924" i="5"/>
  <c r="E923" i="5"/>
  <c r="D923" i="5"/>
  <c r="B923" i="5"/>
  <c r="E922" i="5"/>
  <c r="D922" i="5"/>
  <c r="B922" i="5"/>
  <c r="E921" i="5"/>
  <c r="D921" i="5"/>
  <c r="B921" i="5"/>
  <c r="E920" i="5"/>
  <c r="D920" i="5"/>
  <c r="B920" i="5"/>
  <c r="E919" i="5"/>
  <c r="D919" i="5"/>
  <c r="B919" i="5"/>
  <c r="E918" i="5"/>
  <c r="D918" i="5"/>
  <c r="B918" i="5"/>
  <c r="E917" i="5"/>
  <c r="D917" i="5"/>
  <c r="B917" i="5"/>
  <c r="E916" i="5"/>
  <c r="D916" i="5"/>
  <c r="B916" i="5"/>
  <c r="E915" i="5"/>
  <c r="D915" i="5"/>
  <c r="B915" i="5"/>
  <c r="E914" i="5"/>
  <c r="D914" i="5"/>
  <c r="B914" i="5"/>
  <c r="E913" i="5"/>
  <c r="D913" i="5"/>
  <c r="B913" i="5"/>
  <c r="E912" i="5"/>
  <c r="D912" i="5"/>
  <c r="B912" i="5"/>
  <c r="E911" i="5"/>
  <c r="D911" i="5"/>
  <c r="B911" i="5"/>
  <c r="E910" i="5"/>
  <c r="D910" i="5"/>
  <c r="B910" i="5"/>
  <c r="E909" i="5"/>
  <c r="D909" i="5"/>
  <c r="B909" i="5"/>
  <c r="E908" i="5"/>
  <c r="D908" i="5"/>
  <c r="B908" i="5"/>
  <c r="E907" i="5"/>
  <c r="D907" i="5"/>
  <c r="B907" i="5"/>
  <c r="E906" i="5"/>
  <c r="D906" i="5"/>
  <c r="B906" i="5"/>
  <c r="E905" i="5"/>
  <c r="D905" i="5"/>
  <c r="B905" i="5"/>
  <c r="E904" i="5"/>
  <c r="D904" i="5"/>
  <c r="B904" i="5"/>
  <c r="E903" i="5"/>
  <c r="D903" i="5"/>
  <c r="B903" i="5"/>
  <c r="E902" i="5"/>
  <c r="D902" i="5"/>
  <c r="B902" i="5"/>
  <c r="E901" i="5"/>
  <c r="D901" i="5"/>
  <c r="B901" i="5"/>
  <c r="E900" i="5"/>
  <c r="D900" i="5"/>
  <c r="B900" i="5"/>
  <c r="E899" i="5"/>
  <c r="D899" i="5"/>
  <c r="B899" i="5"/>
  <c r="E898" i="5"/>
  <c r="D898" i="5"/>
  <c r="B898" i="5"/>
  <c r="E897" i="5"/>
  <c r="D897" i="5"/>
  <c r="B897" i="5"/>
  <c r="E896" i="5"/>
  <c r="D896" i="5"/>
  <c r="B896" i="5"/>
  <c r="E895" i="5"/>
  <c r="D895" i="5"/>
  <c r="B895" i="5"/>
  <c r="E894" i="5"/>
  <c r="D894" i="5"/>
  <c r="B894" i="5"/>
  <c r="E893" i="5"/>
  <c r="D893" i="5"/>
  <c r="B893" i="5"/>
  <c r="E892" i="5"/>
  <c r="D892" i="5"/>
  <c r="B892" i="5"/>
  <c r="E891" i="5"/>
  <c r="D891" i="5"/>
  <c r="B891" i="5"/>
  <c r="E890" i="5"/>
  <c r="D890" i="5"/>
  <c r="B890" i="5"/>
  <c r="E889" i="5"/>
  <c r="D889" i="5"/>
  <c r="B889" i="5"/>
  <c r="E888" i="5"/>
  <c r="D888" i="5"/>
  <c r="B888" i="5"/>
  <c r="E887" i="5"/>
  <c r="D887" i="5"/>
  <c r="B887" i="5"/>
  <c r="E886" i="5"/>
  <c r="D886" i="5"/>
  <c r="B886" i="5"/>
  <c r="E885" i="5"/>
  <c r="D885" i="5"/>
  <c r="B885" i="5"/>
  <c r="E884" i="5"/>
  <c r="D884" i="5"/>
  <c r="B884" i="5"/>
  <c r="E883" i="5"/>
  <c r="D883" i="5"/>
  <c r="B883" i="5"/>
  <c r="E882" i="5"/>
  <c r="D882" i="5"/>
  <c r="B882" i="5"/>
  <c r="E881" i="5"/>
  <c r="D881" i="5"/>
  <c r="B881" i="5"/>
  <c r="E880" i="5"/>
  <c r="D880" i="5"/>
  <c r="B880" i="5"/>
  <c r="E879" i="5"/>
  <c r="D879" i="5"/>
  <c r="B879" i="5"/>
  <c r="E878" i="5"/>
  <c r="D878" i="5"/>
  <c r="B878" i="5"/>
  <c r="E877" i="5"/>
  <c r="D877" i="5"/>
  <c r="B877" i="5"/>
  <c r="E876" i="5"/>
  <c r="D876" i="5"/>
  <c r="B876" i="5"/>
  <c r="E875" i="5"/>
  <c r="D875" i="5"/>
  <c r="B875" i="5"/>
  <c r="E874" i="5"/>
  <c r="D874" i="5"/>
  <c r="B874" i="5"/>
  <c r="E873" i="5"/>
  <c r="D873" i="5"/>
  <c r="B873" i="5"/>
  <c r="E872" i="5"/>
  <c r="D872" i="5"/>
  <c r="B872" i="5"/>
  <c r="E871" i="5"/>
  <c r="D871" i="5"/>
  <c r="B871" i="5"/>
  <c r="E870" i="5"/>
  <c r="D870" i="5"/>
  <c r="B870" i="5"/>
  <c r="E869" i="5"/>
  <c r="D869" i="5"/>
  <c r="B869" i="5"/>
  <c r="E868" i="5"/>
  <c r="D868" i="5"/>
  <c r="B868" i="5"/>
  <c r="E867" i="5"/>
  <c r="D867" i="5"/>
  <c r="B867" i="5"/>
  <c r="E866" i="5"/>
  <c r="D866" i="5"/>
  <c r="B866" i="5"/>
  <c r="E865" i="5"/>
  <c r="D865" i="5"/>
  <c r="B865" i="5"/>
  <c r="E864" i="5"/>
  <c r="D864" i="5"/>
  <c r="B864" i="5"/>
  <c r="E863" i="5"/>
  <c r="D863" i="5"/>
  <c r="B863" i="5"/>
  <c r="E862" i="5"/>
  <c r="D862" i="5"/>
  <c r="B862" i="5"/>
  <c r="E861" i="5"/>
  <c r="D861" i="5"/>
  <c r="B861" i="5"/>
  <c r="E860" i="5"/>
  <c r="D860" i="5"/>
  <c r="B860" i="5"/>
  <c r="E859" i="5"/>
  <c r="D859" i="5"/>
  <c r="B859" i="5"/>
  <c r="E858" i="5"/>
  <c r="D858" i="5"/>
  <c r="B858" i="5"/>
  <c r="E857" i="5"/>
  <c r="D857" i="5"/>
  <c r="B857" i="5"/>
  <c r="E856" i="5"/>
  <c r="D856" i="5"/>
  <c r="B856" i="5"/>
  <c r="E855" i="5"/>
  <c r="D855" i="5"/>
  <c r="B855" i="5"/>
  <c r="E854" i="5"/>
  <c r="D854" i="5"/>
  <c r="B854" i="5"/>
  <c r="E853" i="5"/>
  <c r="D853" i="5"/>
  <c r="B853" i="5"/>
  <c r="E852" i="5"/>
  <c r="D852" i="5"/>
  <c r="B852" i="5"/>
  <c r="E851" i="5"/>
  <c r="D851" i="5"/>
  <c r="B851" i="5"/>
  <c r="E850" i="5"/>
  <c r="D850" i="5"/>
  <c r="B850" i="5"/>
  <c r="E849" i="5"/>
  <c r="D849" i="5"/>
  <c r="B849" i="5"/>
  <c r="E848" i="5"/>
  <c r="D848" i="5"/>
  <c r="B848" i="5"/>
  <c r="E847" i="5"/>
  <c r="D847" i="5"/>
  <c r="B847" i="5"/>
  <c r="E846" i="5"/>
  <c r="D846" i="5"/>
  <c r="B846" i="5"/>
  <c r="E845" i="5"/>
  <c r="D845" i="5"/>
  <c r="B845" i="5"/>
  <c r="E844" i="5"/>
  <c r="D844" i="5"/>
  <c r="B844" i="5"/>
  <c r="E843" i="5"/>
  <c r="D843" i="5"/>
  <c r="B843" i="5"/>
  <c r="E842" i="5"/>
  <c r="D842" i="5"/>
  <c r="B842" i="5"/>
  <c r="E841" i="5"/>
  <c r="D841" i="5"/>
  <c r="B841" i="5"/>
  <c r="E840" i="5"/>
  <c r="D840" i="5"/>
  <c r="B840" i="5"/>
  <c r="E839" i="5"/>
  <c r="D839" i="5"/>
  <c r="B839" i="5"/>
  <c r="E838" i="5"/>
  <c r="D838" i="5"/>
  <c r="B838" i="5"/>
  <c r="E837" i="5"/>
  <c r="D837" i="5"/>
  <c r="B837" i="5"/>
  <c r="E836" i="5"/>
  <c r="D836" i="5"/>
  <c r="B836" i="5"/>
  <c r="E835" i="5"/>
  <c r="D835" i="5"/>
  <c r="B835" i="5"/>
  <c r="E834" i="5"/>
  <c r="D834" i="5"/>
  <c r="B834" i="5"/>
  <c r="E833" i="5"/>
  <c r="D833" i="5"/>
  <c r="B833" i="5"/>
  <c r="E832" i="5"/>
  <c r="D832" i="5"/>
  <c r="B832" i="5"/>
  <c r="E831" i="5"/>
  <c r="D831" i="5"/>
  <c r="B831" i="5"/>
  <c r="E830" i="5"/>
  <c r="D830" i="5"/>
  <c r="B830" i="5"/>
  <c r="E829" i="5"/>
  <c r="D829" i="5"/>
  <c r="B829" i="5"/>
  <c r="E828" i="5"/>
  <c r="D828" i="5"/>
  <c r="B828" i="5"/>
  <c r="E827" i="5"/>
  <c r="D827" i="5"/>
  <c r="B827" i="5"/>
  <c r="E826" i="5"/>
  <c r="D826" i="5"/>
  <c r="B826" i="5"/>
  <c r="E825" i="5"/>
  <c r="D825" i="5"/>
  <c r="B825" i="5"/>
  <c r="E824" i="5"/>
  <c r="D824" i="5"/>
  <c r="B824" i="5"/>
  <c r="E823" i="5"/>
  <c r="D823" i="5"/>
  <c r="B823" i="5"/>
  <c r="E822" i="5"/>
  <c r="D822" i="5"/>
  <c r="B822" i="5"/>
  <c r="E821" i="5"/>
  <c r="D821" i="5"/>
  <c r="B821" i="5"/>
  <c r="E820" i="5"/>
  <c r="D820" i="5"/>
  <c r="B820" i="5"/>
  <c r="E819" i="5"/>
  <c r="D819" i="5"/>
  <c r="B819" i="5"/>
  <c r="E818" i="5"/>
  <c r="D818" i="5"/>
  <c r="B818" i="5"/>
  <c r="E817" i="5"/>
  <c r="D817" i="5"/>
  <c r="B817" i="5"/>
  <c r="E816" i="5"/>
  <c r="D816" i="5"/>
  <c r="B816" i="5"/>
  <c r="E815" i="5"/>
  <c r="D815" i="5"/>
  <c r="B815" i="5"/>
  <c r="E814" i="5"/>
  <c r="D814" i="5"/>
  <c r="B814" i="5"/>
  <c r="E813" i="5"/>
  <c r="D813" i="5"/>
  <c r="B813" i="5"/>
  <c r="E812" i="5"/>
  <c r="D812" i="5"/>
  <c r="B812" i="5"/>
  <c r="E811" i="5"/>
  <c r="D811" i="5"/>
  <c r="B811" i="5"/>
  <c r="E810" i="5"/>
  <c r="D810" i="5"/>
  <c r="B810" i="5"/>
  <c r="E809" i="5"/>
  <c r="D809" i="5"/>
  <c r="B809" i="5"/>
  <c r="E808" i="5"/>
  <c r="D808" i="5"/>
  <c r="B808" i="5"/>
  <c r="E807" i="5"/>
  <c r="D807" i="5"/>
  <c r="B807" i="5"/>
  <c r="E806" i="5"/>
  <c r="D806" i="5"/>
  <c r="B806" i="5"/>
  <c r="E805" i="5"/>
  <c r="D805" i="5"/>
  <c r="B805" i="5"/>
  <c r="E804" i="5"/>
  <c r="D804" i="5"/>
  <c r="B804" i="5"/>
  <c r="E803" i="5"/>
  <c r="D803" i="5"/>
  <c r="B803" i="5"/>
  <c r="E802" i="5"/>
  <c r="D802" i="5"/>
  <c r="B802" i="5"/>
  <c r="E801" i="5"/>
  <c r="D801" i="5"/>
  <c r="B801" i="5"/>
  <c r="E800" i="5"/>
  <c r="D800" i="5"/>
  <c r="B800" i="5"/>
  <c r="E799" i="5"/>
  <c r="D799" i="5"/>
  <c r="B799" i="5"/>
  <c r="E798" i="5"/>
  <c r="D798" i="5"/>
  <c r="B798" i="5"/>
  <c r="E797" i="5"/>
  <c r="D797" i="5"/>
  <c r="B797" i="5"/>
  <c r="E796" i="5"/>
  <c r="D796" i="5"/>
  <c r="B796" i="5"/>
  <c r="E795" i="5"/>
  <c r="D795" i="5"/>
  <c r="B795" i="5"/>
  <c r="E794" i="5"/>
  <c r="D794" i="5"/>
  <c r="B794" i="5"/>
  <c r="E793" i="5"/>
  <c r="D793" i="5"/>
  <c r="B793" i="5"/>
  <c r="E792" i="5"/>
  <c r="D792" i="5"/>
  <c r="B792" i="5"/>
  <c r="E791" i="5"/>
  <c r="D791" i="5"/>
  <c r="B791" i="5"/>
  <c r="E790" i="5"/>
  <c r="D790" i="5"/>
  <c r="B790" i="5"/>
  <c r="E789" i="5"/>
  <c r="D789" i="5"/>
  <c r="B789" i="5"/>
  <c r="E788" i="5"/>
  <c r="D788" i="5"/>
  <c r="B788" i="5"/>
  <c r="E787" i="5"/>
  <c r="D787" i="5"/>
  <c r="B787" i="5"/>
  <c r="E786" i="5"/>
  <c r="D786" i="5"/>
  <c r="B786" i="5"/>
  <c r="E785" i="5"/>
  <c r="D785" i="5"/>
  <c r="B785" i="5"/>
  <c r="E784" i="5"/>
  <c r="D784" i="5"/>
  <c r="B784" i="5"/>
  <c r="E783" i="5"/>
  <c r="D783" i="5"/>
  <c r="B783" i="5"/>
  <c r="E782" i="5"/>
  <c r="D782" i="5"/>
  <c r="B782" i="5"/>
  <c r="E781" i="5"/>
  <c r="D781" i="5"/>
  <c r="B781" i="5"/>
  <c r="E780" i="5"/>
  <c r="D780" i="5"/>
  <c r="B780" i="5"/>
  <c r="E779" i="5"/>
  <c r="D779" i="5"/>
  <c r="B779" i="5"/>
  <c r="E778" i="5"/>
  <c r="D778" i="5"/>
  <c r="B778" i="5"/>
  <c r="E777" i="5"/>
  <c r="D777" i="5"/>
  <c r="B777" i="5"/>
  <c r="E776" i="5"/>
  <c r="D776" i="5"/>
  <c r="B776" i="5"/>
  <c r="E775" i="5"/>
  <c r="D775" i="5"/>
  <c r="B775" i="5"/>
  <c r="E774" i="5"/>
  <c r="D774" i="5"/>
  <c r="B774" i="5"/>
  <c r="E773" i="5"/>
  <c r="D773" i="5"/>
  <c r="B773" i="5"/>
  <c r="E772" i="5"/>
  <c r="D772" i="5"/>
  <c r="B772" i="5"/>
  <c r="E771" i="5"/>
  <c r="D771" i="5"/>
  <c r="B771" i="5"/>
  <c r="E770" i="5"/>
  <c r="D770" i="5"/>
  <c r="B770" i="5"/>
  <c r="E769" i="5"/>
  <c r="D769" i="5"/>
  <c r="B769" i="5"/>
  <c r="E768" i="5"/>
  <c r="D768" i="5"/>
  <c r="B768" i="5"/>
  <c r="E767" i="5"/>
  <c r="D767" i="5"/>
  <c r="B767" i="5"/>
  <c r="E766" i="5"/>
  <c r="D766" i="5"/>
  <c r="B766" i="5"/>
  <c r="E765" i="5"/>
  <c r="D765" i="5"/>
  <c r="B765" i="5"/>
  <c r="E764" i="5"/>
  <c r="D764" i="5"/>
  <c r="B764" i="5"/>
  <c r="E763" i="5"/>
  <c r="D763" i="5"/>
  <c r="B763" i="5"/>
  <c r="E762" i="5"/>
  <c r="D762" i="5"/>
  <c r="B762" i="5"/>
  <c r="E761" i="5"/>
  <c r="D761" i="5"/>
  <c r="B761" i="5"/>
  <c r="E760" i="5"/>
  <c r="D760" i="5"/>
  <c r="B760" i="5"/>
  <c r="E759" i="5"/>
  <c r="D759" i="5"/>
  <c r="B759" i="5"/>
  <c r="E758" i="5"/>
  <c r="D758" i="5"/>
  <c r="B758" i="5"/>
  <c r="E757" i="5"/>
  <c r="D757" i="5"/>
  <c r="B757" i="5"/>
  <c r="E756" i="5"/>
  <c r="D756" i="5"/>
  <c r="B756" i="5"/>
  <c r="E755" i="5"/>
  <c r="D755" i="5"/>
  <c r="B755" i="5"/>
  <c r="E754" i="5"/>
  <c r="D754" i="5"/>
  <c r="B754" i="5"/>
  <c r="E753" i="5"/>
  <c r="D753" i="5"/>
  <c r="B753" i="5"/>
  <c r="E752" i="5"/>
  <c r="D752" i="5"/>
  <c r="B752" i="5"/>
  <c r="E751" i="5"/>
  <c r="D751" i="5"/>
  <c r="B751" i="5"/>
  <c r="E750" i="5"/>
  <c r="D750" i="5"/>
  <c r="B750" i="5"/>
  <c r="E749" i="5"/>
  <c r="D749" i="5"/>
  <c r="B749" i="5"/>
  <c r="E748" i="5"/>
  <c r="D748" i="5"/>
  <c r="B748" i="5"/>
  <c r="E747" i="5"/>
  <c r="D747" i="5"/>
  <c r="B747" i="5"/>
  <c r="E746" i="5"/>
  <c r="D746" i="5"/>
  <c r="B746" i="5"/>
  <c r="E745" i="5"/>
  <c r="D745" i="5"/>
  <c r="B745" i="5"/>
  <c r="E744" i="5"/>
  <c r="D744" i="5"/>
  <c r="B744" i="5"/>
  <c r="E743" i="5"/>
  <c r="D743" i="5"/>
  <c r="B743" i="5"/>
  <c r="E742" i="5"/>
  <c r="D742" i="5"/>
  <c r="B742" i="5"/>
  <c r="E741" i="5"/>
  <c r="D741" i="5"/>
  <c r="B741" i="5"/>
  <c r="E740" i="5"/>
  <c r="D740" i="5"/>
  <c r="B740" i="5"/>
  <c r="E739" i="5"/>
  <c r="D739" i="5"/>
  <c r="B739" i="5"/>
  <c r="E738" i="5"/>
  <c r="D738" i="5"/>
  <c r="B738" i="5"/>
  <c r="E737" i="5"/>
  <c r="D737" i="5"/>
  <c r="B737" i="5"/>
  <c r="E736" i="5"/>
  <c r="D736" i="5"/>
  <c r="B736" i="5"/>
  <c r="E735" i="5"/>
  <c r="D735" i="5"/>
  <c r="B735" i="5"/>
  <c r="E734" i="5"/>
  <c r="D734" i="5"/>
  <c r="B734" i="5"/>
  <c r="E733" i="5"/>
  <c r="D733" i="5"/>
  <c r="B733" i="5"/>
  <c r="E732" i="5"/>
  <c r="D732" i="5"/>
  <c r="B732" i="5"/>
  <c r="E731" i="5"/>
  <c r="D731" i="5"/>
  <c r="B731" i="5"/>
  <c r="E730" i="5"/>
  <c r="D730" i="5"/>
  <c r="B730" i="5"/>
  <c r="E729" i="5"/>
  <c r="D729" i="5"/>
  <c r="B729" i="5"/>
  <c r="E728" i="5"/>
  <c r="D728" i="5"/>
  <c r="B728" i="5"/>
  <c r="E727" i="5"/>
  <c r="D727" i="5"/>
  <c r="B727" i="5"/>
  <c r="E726" i="5"/>
  <c r="D726" i="5"/>
  <c r="B726" i="5"/>
  <c r="E725" i="5"/>
  <c r="D725" i="5"/>
  <c r="B725" i="5"/>
  <c r="E724" i="5"/>
  <c r="D724" i="5"/>
  <c r="B724" i="5"/>
  <c r="E723" i="5"/>
  <c r="D723" i="5"/>
  <c r="B723" i="5"/>
  <c r="E722" i="5"/>
  <c r="D722" i="5"/>
  <c r="B722" i="5"/>
  <c r="E721" i="5"/>
  <c r="D721" i="5"/>
  <c r="B721" i="5"/>
  <c r="E720" i="5"/>
  <c r="D720" i="5"/>
  <c r="B720" i="5"/>
  <c r="E719" i="5"/>
  <c r="D719" i="5"/>
  <c r="B719" i="5"/>
  <c r="E718" i="5"/>
  <c r="D718" i="5"/>
  <c r="B718" i="5"/>
  <c r="E717" i="5"/>
  <c r="D717" i="5"/>
  <c r="B717" i="5"/>
  <c r="E716" i="5"/>
  <c r="D716" i="5"/>
  <c r="B716" i="5"/>
  <c r="E715" i="5"/>
  <c r="D715" i="5"/>
  <c r="B715" i="5"/>
  <c r="E714" i="5"/>
  <c r="D714" i="5"/>
  <c r="B714" i="5"/>
  <c r="E713" i="5"/>
  <c r="D713" i="5"/>
  <c r="B713" i="5"/>
  <c r="E712" i="5"/>
  <c r="D712" i="5"/>
  <c r="B712" i="5"/>
  <c r="E711" i="5"/>
  <c r="D711" i="5"/>
  <c r="B711" i="5"/>
  <c r="E710" i="5"/>
  <c r="D710" i="5"/>
  <c r="B710" i="5"/>
  <c r="E709" i="5"/>
  <c r="D709" i="5"/>
  <c r="B709" i="5"/>
  <c r="E708" i="5"/>
  <c r="D708" i="5"/>
  <c r="B708" i="5"/>
  <c r="E707" i="5"/>
  <c r="D707" i="5"/>
  <c r="B707" i="5"/>
  <c r="E706" i="5"/>
  <c r="D706" i="5"/>
  <c r="B706" i="5"/>
  <c r="E705" i="5"/>
  <c r="D705" i="5"/>
  <c r="B705" i="5"/>
  <c r="E704" i="5"/>
  <c r="D704" i="5"/>
  <c r="B704" i="5"/>
  <c r="E703" i="5"/>
  <c r="D703" i="5"/>
  <c r="B703" i="5"/>
  <c r="E702" i="5"/>
  <c r="D702" i="5"/>
  <c r="B702" i="5"/>
  <c r="E701" i="5"/>
  <c r="D701" i="5"/>
  <c r="B701" i="5"/>
  <c r="E700" i="5"/>
  <c r="D700" i="5"/>
  <c r="B700" i="5"/>
  <c r="E699" i="5"/>
  <c r="D699" i="5"/>
  <c r="B699" i="5"/>
  <c r="E698" i="5"/>
  <c r="D698" i="5"/>
  <c r="B698" i="5"/>
  <c r="E697" i="5"/>
  <c r="D697" i="5"/>
  <c r="B697" i="5"/>
  <c r="E696" i="5"/>
  <c r="D696" i="5"/>
  <c r="B696" i="5"/>
  <c r="E695" i="5"/>
  <c r="D695" i="5"/>
  <c r="B695" i="5"/>
  <c r="E694" i="5"/>
  <c r="D694" i="5"/>
  <c r="B694" i="5"/>
  <c r="E693" i="5"/>
  <c r="D693" i="5"/>
  <c r="B693" i="5"/>
  <c r="E692" i="5"/>
  <c r="D692" i="5"/>
  <c r="B692" i="5"/>
  <c r="E691" i="5"/>
  <c r="D691" i="5"/>
  <c r="B691" i="5"/>
  <c r="E690" i="5"/>
  <c r="D690" i="5"/>
  <c r="B690" i="5"/>
  <c r="E689" i="5"/>
  <c r="D689" i="5"/>
  <c r="B689" i="5"/>
  <c r="E688" i="5"/>
  <c r="D688" i="5"/>
  <c r="B688" i="5"/>
  <c r="E687" i="5"/>
  <c r="D687" i="5"/>
  <c r="B687" i="5"/>
  <c r="E686" i="5"/>
  <c r="D686" i="5"/>
  <c r="B686" i="5"/>
  <c r="E685" i="5"/>
  <c r="D685" i="5"/>
  <c r="B685" i="5"/>
  <c r="E684" i="5"/>
  <c r="D684" i="5"/>
  <c r="B684" i="5"/>
  <c r="E683" i="5"/>
  <c r="D683" i="5"/>
  <c r="B683" i="5"/>
  <c r="E682" i="5"/>
  <c r="D682" i="5"/>
  <c r="B682" i="5"/>
  <c r="E681" i="5"/>
  <c r="D681" i="5"/>
  <c r="B681" i="5"/>
  <c r="E680" i="5"/>
  <c r="D680" i="5"/>
  <c r="B680" i="5"/>
  <c r="E679" i="5"/>
  <c r="D679" i="5"/>
  <c r="B679" i="5"/>
  <c r="E678" i="5"/>
  <c r="D678" i="5"/>
  <c r="B678" i="5"/>
  <c r="E677" i="5"/>
  <c r="D677" i="5"/>
  <c r="B677" i="5"/>
  <c r="E676" i="5"/>
  <c r="D676" i="5"/>
  <c r="B676" i="5"/>
  <c r="E675" i="5"/>
  <c r="D675" i="5"/>
  <c r="B675" i="5"/>
  <c r="E674" i="5"/>
  <c r="D674" i="5"/>
  <c r="B674" i="5"/>
  <c r="E673" i="5"/>
  <c r="D673" i="5"/>
  <c r="B673" i="5"/>
  <c r="E672" i="5"/>
  <c r="D672" i="5"/>
  <c r="B672" i="5"/>
  <c r="E671" i="5"/>
  <c r="D671" i="5"/>
  <c r="B671" i="5"/>
  <c r="E670" i="5"/>
  <c r="D670" i="5"/>
  <c r="B670" i="5"/>
  <c r="E669" i="5"/>
  <c r="D669" i="5"/>
  <c r="B669" i="5"/>
  <c r="E668" i="5"/>
  <c r="D668" i="5"/>
  <c r="B668" i="5"/>
  <c r="E667" i="5"/>
  <c r="D667" i="5"/>
  <c r="B667" i="5"/>
  <c r="E666" i="5"/>
  <c r="D666" i="5"/>
  <c r="B666" i="5"/>
  <c r="E665" i="5"/>
  <c r="D665" i="5"/>
  <c r="B665" i="5"/>
  <c r="E664" i="5"/>
  <c r="D664" i="5"/>
  <c r="B664" i="5"/>
  <c r="E663" i="5"/>
  <c r="D663" i="5"/>
  <c r="B663" i="5"/>
  <c r="E662" i="5"/>
  <c r="D662" i="5"/>
  <c r="B662" i="5"/>
  <c r="E661" i="5"/>
  <c r="D661" i="5"/>
  <c r="B661" i="5"/>
  <c r="E660" i="5"/>
  <c r="D660" i="5"/>
  <c r="B660" i="5"/>
  <c r="E659" i="5"/>
  <c r="D659" i="5"/>
  <c r="B659" i="5"/>
  <c r="E658" i="5"/>
  <c r="D658" i="5"/>
  <c r="B658" i="5"/>
  <c r="E657" i="5"/>
  <c r="D657" i="5"/>
  <c r="B657" i="5"/>
  <c r="E656" i="5"/>
  <c r="D656" i="5"/>
  <c r="B656" i="5"/>
  <c r="E655" i="5"/>
  <c r="D655" i="5"/>
  <c r="B655" i="5"/>
  <c r="E654" i="5"/>
  <c r="D654" i="5"/>
  <c r="B654" i="5"/>
  <c r="E653" i="5"/>
  <c r="D653" i="5"/>
  <c r="B653" i="5"/>
  <c r="E652" i="5"/>
  <c r="D652" i="5"/>
  <c r="B652" i="5"/>
  <c r="E651" i="5"/>
  <c r="D651" i="5"/>
  <c r="B651" i="5"/>
  <c r="E650" i="5"/>
  <c r="D650" i="5"/>
  <c r="B650" i="5"/>
  <c r="E649" i="5"/>
  <c r="D649" i="5"/>
  <c r="B649" i="5"/>
  <c r="E648" i="5"/>
  <c r="D648" i="5"/>
  <c r="B648" i="5"/>
  <c r="E647" i="5"/>
  <c r="D647" i="5"/>
  <c r="B647" i="5"/>
  <c r="E646" i="5"/>
  <c r="D646" i="5"/>
  <c r="B646" i="5"/>
  <c r="E645" i="5"/>
  <c r="D645" i="5"/>
  <c r="B645" i="5"/>
  <c r="E644" i="5"/>
  <c r="D644" i="5"/>
  <c r="B644" i="5"/>
  <c r="E643" i="5"/>
  <c r="D643" i="5"/>
  <c r="B643" i="5"/>
  <c r="E642" i="5"/>
  <c r="D642" i="5"/>
  <c r="B642" i="5"/>
  <c r="E641" i="5"/>
  <c r="D641" i="5"/>
  <c r="B641" i="5"/>
  <c r="E640" i="5"/>
  <c r="D640" i="5"/>
  <c r="B640" i="5"/>
  <c r="E639" i="5"/>
  <c r="D639" i="5"/>
  <c r="B639" i="5"/>
  <c r="E638" i="5"/>
  <c r="D638" i="5"/>
  <c r="B638" i="5"/>
  <c r="E637" i="5"/>
  <c r="D637" i="5"/>
  <c r="B637" i="5"/>
  <c r="E636" i="5"/>
  <c r="D636" i="5"/>
  <c r="B636" i="5"/>
  <c r="E635" i="5"/>
  <c r="D635" i="5"/>
  <c r="B635" i="5"/>
  <c r="E634" i="5"/>
  <c r="D634" i="5"/>
  <c r="B634" i="5"/>
  <c r="E633" i="5"/>
  <c r="D633" i="5"/>
  <c r="B633" i="5"/>
  <c r="E632" i="5"/>
  <c r="D632" i="5"/>
  <c r="B632" i="5"/>
  <c r="E631" i="5"/>
  <c r="D631" i="5"/>
  <c r="B631" i="5"/>
  <c r="E630" i="5"/>
  <c r="D630" i="5"/>
  <c r="B630" i="5"/>
  <c r="E629" i="5"/>
  <c r="D629" i="5"/>
  <c r="B629" i="5"/>
  <c r="E628" i="5"/>
  <c r="D628" i="5"/>
  <c r="B628" i="5"/>
  <c r="E627" i="5"/>
  <c r="D627" i="5"/>
  <c r="B627" i="5"/>
  <c r="E626" i="5"/>
  <c r="D626" i="5"/>
  <c r="B626" i="5"/>
  <c r="E625" i="5"/>
  <c r="D625" i="5"/>
  <c r="B625" i="5"/>
  <c r="E624" i="5"/>
  <c r="D624" i="5"/>
  <c r="B624" i="5"/>
  <c r="E623" i="5"/>
  <c r="D623" i="5"/>
  <c r="B623" i="5"/>
  <c r="E622" i="5"/>
  <c r="D622" i="5"/>
  <c r="B622" i="5"/>
  <c r="E621" i="5"/>
  <c r="D621" i="5"/>
  <c r="B621" i="5"/>
  <c r="E620" i="5"/>
  <c r="D620" i="5"/>
  <c r="B620" i="5"/>
  <c r="E619" i="5"/>
  <c r="D619" i="5"/>
  <c r="B619" i="5"/>
  <c r="E618" i="5"/>
  <c r="D618" i="5"/>
  <c r="B618" i="5"/>
  <c r="E617" i="5"/>
  <c r="D617" i="5"/>
  <c r="B617" i="5"/>
  <c r="E616" i="5"/>
  <c r="D616" i="5"/>
  <c r="B616" i="5"/>
  <c r="E615" i="5"/>
  <c r="D615" i="5"/>
  <c r="B615" i="5"/>
  <c r="E614" i="5"/>
  <c r="D614" i="5"/>
  <c r="B614" i="5"/>
  <c r="E613" i="5"/>
  <c r="D613" i="5"/>
  <c r="B613" i="5"/>
  <c r="E612" i="5"/>
  <c r="D612" i="5"/>
  <c r="B612" i="5"/>
  <c r="E611" i="5"/>
  <c r="D611" i="5"/>
  <c r="B611" i="5"/>
  <c r="E610" i="5"/>
  <c r="D610" i="5"/>
  <c r="B610" i="5"/>
  <c r="E609" i="5"/>
  <c r="D609" i="5"/>
  <c r="B609" i="5"/>
  <c r="E608" i="5"/>
  <c r="D608" i="5"/>
  <c r="B608" i="5"/>
  <c r="E607" i="5"/>
  <c r="D607" i="5"/>
  <c r="B607" i="5"/>
  <c r="E606" i="5"/>
  <c r="D606" i="5"/>
  <c r="B606" i="5"/>
  <c r="E605" i="5"/>
  <c r="D605" i="5"/>
  <c r="B605" i="5"/>
  <c r="E604" i="5"/>
  <c r="D604" i="5"/>
  <c r="B604" i="5"/>
  <c r="E603" i="5"/>
  <c r="D603" i="5"/>
  <c r="B603" i="5"/>
  <c r="E602" i="5"/>
  <c r="D602" i="5"/>
  <c r="B602" i="5"/>
  <c r="E601" i="5"/>
  <c r="D601" i="5"/>
  <c r="B601" i="5"/>
  <c r="E600" i="5"/>
  <c r="D600" i="5"/>
  <c r="B600" i="5"/>
  <c r="E599" i="5"/>
  <c r="D599" i="5"/>
  <c r="B599" i="5"/>
  <c r="E598" i="5"/>
  <c r="D598" i="5"/>
  <c r="B598" i="5"/>
  <c r="E597" i="5"/>
  <c r="D597" i="5"/>
  <c r="B597" i="5"/>
  <c r="E596" i="5"/>
  <c r="D596" i="5"/>
  <c r="B596" i="5"/>
  <c r="E595" i="5"/>
  <c r="D595" i="5"/>
  <c r="B595" i="5"/>
  <c r="E594" i="5"/>
  <c r="D594" i="5"/>
  <c r="B594" i="5"/>
  <c r="E593" i="5"/>
  <c r="D593" i="5"/>
  <c r="B593" i="5"/>
  <c r="E592" i="5"/>
  <c r="D592" i="5"/>
  <c r="B592" i="5"/>
  <c r="E591" i="5"/>
  <c r="D591" i="5"/>
  <c r="B591" i="5"/>
  <c r="E590" i="5"/>
  <c r="D590" i="5"/>
  <c r="B590" i="5"/>
  <c r="E589" i="5"/>
  <c r="D589" i="5"/>
  <c r="B589" i="5"/>
  <c r="E588" i="5"/>
  <c r="D588" i="5"/>
  <c r="B588" i="5"/>
  <c r="E587" i="5"/>
  <c r="D587" i="5"/>
  <c r="B587" i="5"/>
  <c r="E586" i="5"/>
  <c r="D586" i="5"/>
  <c r="B586" i="5"/>
  <c r="E585" i="5"/>
  <c r="D585" i="5"/>
  <c r="B585" i="5"/>
  <c r="E584" i="5"/>
  <c r="D584" i="5"/>
  <c r="B584" i="5"/>
  <c r="E583" i="5"/>
  <c r="D583" i="5"/>
  <c r="B583" i="5"/>
  <c r="E582" i="5"/>
  <c r="D582" i="5"/>
  <c r="B582" i="5"/>
  <c r="E581" i="5"/>
  <c r="D581" i="5"/>
  <c r="B581" i="5"/>
  <c r="E580" i="5"/>
  <c r="D580" i="5"/>
  <c r="B580" i="5"/>
  <c r="E579" i="5"/>
  <c r="D579" i="5"/>
  <c r="B579" i="5"/>
  <c r="E578" i="5"/>
  <c r="D578" i="5"/>
  <c r="B578" i="5"/>
  <c r="E577" i="5"/>
  <c r="D577" i="5"/>
  <c r="B577" i="5"/>
  <c r="E576" i="5"/>
  <c r="D576" i="5"/>
  <c r="B576" i="5"/>
  <c r="E575" i="5"/>
  <c r="D575" i="5"/>
  <c r="B575" i="5"/>
  <c r="E574" i="5"/>
  <c r="D574" i="5"/>
  <c r="B574" i="5"/>
  <c r="E573" i="5"/>
  <c r="D573" i="5"/>
  <c r="B573" i="5"/>
  <c r="E572" i="5"/>
  <c r="D572" i="5"/>
  <c r="B572" i="5"/>
  <c r="E571" i="5"/>
  <c r="D571" i="5"/>
  <c r="B571" i="5"/>
  <c r="E570" i="5"/>
  <c r="D570" i="5"/>
  <c r="B570" i="5"/>
  <c r="E569" i="5"/>
  <c r="D569" i="5"/>
  <c r="B569" i="5"/>
  <c r="E568" i="5"/>
  <c r="D568" i="5"/>
  <c r="B568" i="5"/>
  <c r="E567" i="5"/>
  <c r="D567" i="5"/>
  <c r="B567" i="5"/>
  <c r="E566" i="5"/>
  <c r="D566" i="5"/>
  <c r="B566" i="5"/>
  <c r="E565" i="5"/>
  <c r="D565" i="5"/>
  <c r="B565" i="5"/>
  <c r="E564" i="5"/>
  <c r="D564" i="5"/>
  <c r="B564" i="5"/>
  <c r="E563" i="5"/>
  <c r="D563" i="5"/>
  <c r="B563" i="5"/>
  <c r="E562" i="5"/>
  <c r="D562" i="5"/>
  <c r="B562" i="5"/>
  <c r="E561" i="5"/>
  <c r="D561" i="5"/>
  <c r="B561" i="5"/>
  <c r="E560" i="5"/>
  <c r="D560" i="5"/>
  <c r="B560" i="5"/>
  <c r="E559" i="5"/>
  <c r="D559" i="5"/>
  <c r="B559" i="5"/>
  <c r="E558" i="5"/>
  <c r="D558" i="5"/>
  <c r="B558" i="5"/>
  <c r="E557" i="5"/>
  <c r="D557" i="5"/>
  <c r="B557" i="5"/>
  <c r="E556" i="5"/>
  <c r="D556" i="5"/>
  <c r="B556" i="5"/>
  <c r="E555" i="5"/>
  <c r="D555" i="5"/>
  <c r="B555" i="5"/>
  <c r="E554" i="5"/>
  <c r="D554" i="5"/>
  <c r="B554" i="5"/>
  <c r="E553" i="5"/>
  <c r="D553" i="5"/>
  <c r="B553" i="5"/>
  <c r="E552" i="5"/>
  <c r="D552" i="5"/>
  <c r="B552" i="5"/>
  <c r="E551" i="5"/>
  <c r="D551" i="5"/>
  <c r="B551" i="5"/>
  <c r="E550" i="5"/>
  <c r="D550" i="5"/>
  <c r="B550" i="5"/>
  <c r="E549" i="5"/>
  <c r="D549" i="5"/>
  <c r="B549" i="5"/>
  <c r="E548" i="5"/>
  <c r="D548" i="5"/>
  <c r="B548" i="5"/>
  <c r="E547" i="5"/>
  <c r="D547" i="5"/>
  <c r="B547" i="5"/>
  <c r="E546" i="5"/>
  <c r="D546" i="5"/>
  <c r="B546" i="5"/>
  <c r="E545" i="5"/>
  <c r="D545" i="5"/>
  <c r="B545" i="5"/>
  <c r="E544" i="5"/>
  <c r="D544" i="5"/>
  <c r="B544" i="5"/>
  <c r="E543" i="5"/>
  <c r="D543" i="5"/>
  <c r="B543" i="5"/>
  <c r="E542" i="5"/>
  <c r="D542" i="5"/>
  <c r="B542" i="5"/>
  <c r="E541" i="5"/>
  <c r="D541" i="5"/>
  <c r="B541" i="5"/>
  <c r="E540" i="5"/>
  <c r="D540" i="5"/>
  <c r="B540" i="5"/>
  <c r="E539" i="5"/>
  <c r="D539" i="5"/>
  <c r="B539" i="5"/>
  <c r="E538" i="5"/>
  <c r="D538" i="5"/>
  <c r="B538" i="5"/>
  <c r="E537" i="5"/>
  <c r="D537" i="5"/>
  <c r="B537" i="5"/>
  <c r="E536" i="5"/>
  <c r="D536" i="5"/>
  <c r="B536" i="5"/>
  <c r="E535" i="5"/>
  <c r="D535" i="5"/>
  <c r="B535" i="5"/>
  <c r="E534" i="5"/>
  <c r="D534" i="5"/>
  <c r="B534" i="5"/>
  <c r="E533" i="5"/>
  <c r="D533" i="5"/>
  <c r="B533" i="5"/>
  <c r="E532" i="5"/>
  <c r="D532" i="5"/>
  <c r="B532" i="5"/>
  <c r="E531" i="5"/>
  <c r="D531" i="5"/>
  <c r="B531" i="5"/>
  <c r="E530" i="5"/>
  <c r="D530" i="5"/>
  <c r="B530" i="5"/>
  <c r="E529" i="5"/>
  <c r="D529" i="5"/>
  <c r="B529" i="5"/>
  <c r="E528" i="5"/>
  <c r="D528" i="5"/>
  <c r="B528" i="5"/>
  <c r="E527" i="5"/>
  <c r="D527" i="5"/>
  <c r="B527" i="5"/>
  <c r="E526" i="5"/>
  <c r="D526" i="5"/>
  <c r="B526" i="5"/>
  <c r="E525" i="5"/>
  <c r="D525" i="5"/>
  <c r="B525" i="5"/>
  <c r="E524" i="5"/>
  <c r="D524" i="5"/>
  <c r="B524" i="5"/>
  <c r="E523" i="5"/>
  <c r="D523" i="5"/>
  <c r="B523" i="5"/>
  <c r="E522" i="5"/>
  <c r="D522" i="5"/>
  <c r="B522" i="5"/>
  <c r="E521" i="5"/>
  <c r="D521" i="5"/>
  <c r="B521" i="5"/>
  <c r="E520" i="5"/>
  <c r="D520" i="5"/>
  <c r="B520" i="5"/>
  <c r="E519" i="5"/>
  <c r="D519" i="5"/>
  <c r="B519" i="5"/>
  <c r="E518" i="5"/>
  <c r="D518" i="5"/>
  <c r="B518" i="5"/>
  <c r="E517" i="5"/>
  <c r="D517" i="5"/>
  <c r="B517" i="5"/>
  <c r="E516" i="5"/>
  <c r="D516" i="5"/>
  <c r="B516" i="5"/>
  <c r="E515" i="5"/>
  <c r="D515" i="5"/>
  <c r="B515" i="5"/>
  <c r="E514" i="5"/>
  <c r="D514" i="5"/>
  <c r="B514" i="5"/>
  <c r="E513" i="5"/>
  <c r="D513" i="5"/>
  <c r="B513" i="5"/>
  <c r="E512" i="5"/>
  <c r="D512" i="5"/>
  <c r="B512" i="5"/>
  <c r="E511" i="5"/>
  <c r="D511" i="5"/>
  <c r="B511" i="5"/>
  <c r="E510" i="5"/>
  <c r="D510" i="5"/>
  <c r="B510" i="5"/>
  <c r="E509" i="5"/>
  <c r="D509" i="5"/>
  <c r="B509" i="5"/>
  <c r="E508" i="5"/>
  <c r="D508" i="5"/>
  <c r="B508" i="5"/>
  <c r="E507" i="5"/>
  <c r="D507" i="5"/>
  <c r="B507" i="5"/>
  <c r="E506" i="5"/>
  <c r="D506" i="5"/>
  <c r="B506" i="5"/>
  <c r="E505" i="5"/>
  <c r="D505" i="5"/>
  <c r="B505" i="5"/>
  <c r="E504" i="5"/>
  <c r="D504" i="5"/>
  <c r="B504" i="5"/>
  <c r="E503" i="5"/>
  <c r="D503" i="5"/>
  <c r="B503" i="5"/>
  <c r="E502" i="5"/>
  <c r="D502" i="5"/>
  <c r="B502" i="5"/>
  <c r="E501" i="5"/>
  <c r="D501" i="5"/>
  <c r="B501" i="5"/>
  <c r="E500" i="5"/>
  <c r="D500" i="5"/>
  <c r="B500" i="5"/>
  <c r="E499" i="5"/>
  <c r="D499" i="5"/>
  <c r="B499" i="5"/>
  <c r="E498" i="5"/>
  <c r="D498" i="5"/>
  <c r="B498" i="5"/>
  <c r="E497" i="5"/>
  <c r="D497" i="5"/>
  <c r="B497" i="5"/>
  <c r="E496" i="5"/>
  <c r="D496" i="5"/>
  <c r="B496" i="5"/>
  <c r="E495" i="5"/>
  <c r="D495" i="5"/>
  <c r="B495" i="5"/>
  <c r="E494" i="5"/>
  <c r="D494" i="5"/>
  <c r="B494" i="5"/>
  <c r="E493" i="5"/>
  <c r="D493" i="5"/>
  <c r="B493" i="5"/>
  <c r="E492" i="5"/>
  <c r="D492" i="5"/>
  <c r="B492" i="5"/>
  <c r="E491" i="5"/>
  <c r="D491" i="5"/>
  <c r="B491" i="5"/>
  <c r="E490" i="5"/>
  <c r="D490" i="5"/>
  <c r="B490" i="5"/>
  <c r="E489" i="5"/>
  <c r="D489" i="5"/>
  <c r="B489" i="5"/>
  <c r="E488" i="5"/>
  <c r="D488" i="5"/>
  <c r="B488" i="5"/>
  <c r="E487" i="5"/>
  <c r="D487" i="5"/>
  <c r="B487" i="5"/>
  <c r="E486" i="5"/>
  <c r="D486" i="5"/>
  <c r="B486" i="5"/>
  <c r="E485" i="5"/>
  <c r="D485" i="5"/>
  <c r="B485" i="5"/>
  <c r="E484" i="5"/>
  <c r="D484" i="5"/>
  <c r="B484" i="5"/>
  <c r="E483" i="5"/>
  <c r="D483" i="5"/>
  <c r="B483" i="5"/>
  <c r="E482" i="5"/>
  <c r="D482" i="5"/>
  <c r="B482" i="5"/>
  <c r="E481" i="5"/>
  <c r="D481" i="5"/>
  <c r="B481" i="5"/>
  <c r="E480" i="5"/>
  <c r="D480" i="5"/>
  <c r="B480" i="5"/>
  <c r="E479" i="5"/>
  <c r="D479" i="5"/>
  <c r="B479" i="5"/>
  <c r="E478" i="5"/>
  <c r="D478" i="5"/>
  <c r="B478" i="5"/>
  <c r="E477" i="5"/>
  <c r="D477" i="5"/>
  <c r="B477" i="5"/>
  <c r="E476" i="5"/>
  <c r="D476" i="5"/>
  <c r="B476" i="5"/>
  <c r="E475" i="5"/>
  <c r="D475" i="5"/>
  <c r="B475" i="5"/>
  <c r="E474" i="5"/>
  <c r="D474" i="5"/>
  <c r="B474" i="5"/>
  <c r="E473" i="5"/>
  <c r="D473" i="5"/>
  <c r="B473" i="5"/>
  <c r="E472" i="5"/>
  <c r="D472" i="5"/>
  <c r="B472" i="5"/>
  <c r="E471" i="5"/>
  <c r="D471" i="5"/>
  <c r="B471" i="5"/>
  <c r="E470" i="5"/>
  <c r="D470" i="5"/>
  <c r="B470" i="5"/>
  <c r="E469" i="5"/>
  <c r="D469" i="5"/>
  <c r="B469" i="5"/>
  <c r="E468" i="5"/>
  <c r="D468" i="5"/>
  <c r="B468" i="5"/>
  <c r="E467" i="5"/>
  <c r="D467" i="5"/>
  <c r="B467" i="5"/>
  <c r="E466" i="5"/>
  <c r="D466" i="5"/>
  <c r="B466" i="5"/>
  <c r="E465" i="5"/>
  <c r="D465" i="5"/>
  <c r="B465" i="5"/>
  <c r="E464" i="5"/>
  <c r="D464" i="5"/>
  <c r="B464" i="5"/>
  <c r="E463" i="5"/>
  <c r="D463" i="5"/>
  <c r="B463" i="5"/>
  <c r="E462" i="5"/>
  <c r="D462" i="5"/>
  <c r="B462" i="5"/>
  <c r="E461" i="5"/>
  <c r="D461" i="5"/>
  <c r="B461" i="5"/>
  <c r="E460" i="5"/>
  <c r="D460" i="5"/>
  <c r="B460" i="5"/>
  <c r="E459" i="5"/>
  <c r="D459" i="5"/>
  <c r="B459" i="5"/>
  <c r="E458" i="5"/>
  <c r="D458" i="5"/>
  <c r="B458" i="5"/>
  <c r="E457" i="5"/>
  <c r="D457" i="5"/>
  <c r="B457" i="5"/>
  <c r="E456" i="5"/>
  <c r="D456" i="5"/>
  <c r="B456" i="5"/>
  <c r="E455" i="5"/>
  <c r="D455" i="5"/>
  <c r="B455" i="5"/>
  <c r="E454" i="5"/>
  <c r="D454" i="5"/>
  <c r="B454" i="5"/>
  <c r="E453" i="5"/>
  <c r="D453" i="5"/>
  <c r="B453" i="5"/>
  <c r="E452" i="5"/>
  <c r="D452" i="5"/>
  <c r="B452" i="5"/>
  <c r="E451" i="5"/>
  <c r="D451" i="5"/>
  <c r="B451" i="5"/>
  <c r="E450" i="5"/>
  <c r="D450" i="5"/>
  <c r="B450" i="5"/>
  <c r="E449" i="5"/>
  <c r="D449" i="5"/>
  <c r="B449" i="5"/>
  <c r="E448" i="5"/>
  <c r="D448" i="5"/>
  <c r="B448" i="5"/>
  <c r="E447" i="5"/>
  <c r="D447" i="5"/>
  <c r="B447" i="5"/>
  <c r="E446" i="5"/>
  <c r="D446" i="5"/>
  <c r="B446" i="5"/>
  <c r="E445" i="5"/>
  <c r="D445" i="5"/>
  <c r="B445" i="5"/>
  <c r="E444" i="5"/>
  <c r="D444" i="5"/>
  <c r="B444" i="5"/>
  <c r="E443" i="5"/>
  <c r="D443" i="5"/>
  <c r="B443" i="5"/>
  <c r="E442" i="5"/>
  <c r="D442" i="5"/>
  <c r="B442" i="5"/>
  <c r="E441" i="5"/>
  <c r="D441" i="5"/>
  <c r="B441" i="5"/>
  <c r="E440" i="5"/>
  <c r="D440" i="5"/>
  <c r="B440" i="5"/>
  <c r="E439" i="5"/>
  <c r="D439" i="5"/>
  <c r="B439" i="5"/>
  <c r="E438" i="5"/>
  <c r="D438" i="5"/>
  <c r="B438" i="5"/>
  <c r="E437" i="5"/>
  <c r="D437" i="5"/>
  <c r="B437" i="5"/>
  <c r="E436" i="5"/>
  <c r="D436" i="5"/>
  <c r="B436" i="5"/>
  <c r="E435" i="5"/>
  <c r="D435" i="5"/>
  <c r="B435" i="5"/>
  <c r="E434" i="5"/>
  <c r="D434" i="5"/>
  <c r="B434" i="5"/>
  <c r="E433" i="5"/>
  <c r="D433" i="5"/>
  <c r="B433" i="5"/>
  <c r="E432" i="5"/>
  <c r="D432" i="5"/>
  <c r="B432" i="5"/>
  <c r="E431" i="5"/>
  <c r="D431" i="5"/>
  <c r="B431" i="5"/>
  <c r="E430" i="5"/>
  <c r="D430" i="5"/>
  <c r="B430" i="5"/>
  <c r="E429" i="5"/>
  <c r="D429" i="5"/>
  <c r="B429" i="5"/>
  <c r="E428" i="5"/>
  <c r="D428" i="5"/>
  <c r="B428" i="5"/>
  <c r="E427" i="5"/>
  <c r="D427" i="5"/>
  <c r="B427" i="5"/>
  <c r="E426" i="5"/>
  <c r="D426" i="5"/>
  <c r="B426" i="5"/>
  <c r="E425" i="5"/>
  <c r="D425" i="5"/>
  <c r="B425" i="5"/>
  <c r="E424" i="5"/>
  <c r="D424" i="5"/>
  <c r="B424" i="5"/>
  <c r="E423" i="5"/>
  <c r="D423" i="5"/>
  <c r="B423" i="5"/>
  <c r="E422" i="5"/>
  <c r="D422" i="5"/>
  <c r="B422" i="5"/>
  <c r="E421" i="5"/>
  <c r="D421" i="5"/>
  <c r="B421" i="5"/>
  <c r="E420" i="5"/>
  <c r="D420" i="5"/>
  <c r="B420" i="5"/>
  <c r="E419" i="5"/>
  <c r="D419" i="5"/>
  <c r="B419" i="5"/>
  <c r="E418" i="5"/>
  <c r="D418" i="5"/>
  <c r="B418" i="5"/>
  <c r="E417" i="5"/>
  <c r="D417" i="5"/>
  <c r="B417" i="5"/>
  <c r="D416" i="5"/>
  <c r="D415" i="5"/>
  <c r="D414" i="5"/>
  <c r="D413" i="5"/>
  <c r="D412" i="5"/>
  <c r="D411" i="5"/>
  <c r="D410" i="5"/>
  <c r="D409" i="5"/>
  <c r="D408" i="5"/>
  <c r="D407" i="5"/>
  <c r="D406" i="5"/>
  <c r="D405" i="5"/>
  <c r="D404" i="5"/>
  <c r="D403" i="5"/>
  <c r="D402" i="5"/>
  <c r="D401" i="5"/>
  <c r="D400" i="5"/>
  <c r="D399" i="5"/>
  <c r="D398" i="5"/>
  <c r="D397" i="5"/>
  <c r="D396" i="5"/>
  <c r="D395" i="5"/>
  <c r="D394" i="5"/>
  <c r="D393" i="5"/>
  <c r="D392" i="5"/>
  <c r="D391" i="5"/>
  <c r="D390" i="5"/>
  <c r="D389" i="5"/>
  <c r="D388" i="5"/>
  <c r="D387" i="5"/>
  <c r="D386" i="5"/>
  <c r="D385" i="5"/>
  <c r="D384" i="5"/>
  <c r="D383" i="5"/>
  <c r="D382" i="5"/>
  <c r="D381" i="5"/>
  <c r="D380" i="5"/>
  <c r="D379" i="5"/>
  <c r="D378" i="5"/>
  <c r="D377" i="5"/>
  <c r="D376" i="5"/>
  <c r="D375" i="5"/>
  <c r="D374" i="5"/>
  <c r="D373" i="5"/>
  <c r="D372" i="5"/>
  <c r="D371" i="5"/>
  <c r="D370" i="5"/>
  <c r="D369" i="5"/>
  <c r="D368" i="5"/>
  <c r="D367" i="5"/>
  <c r="D366" i="5"/>
  <c r="D365" i="5"/>
  <c r="D364" i="5"/>
  <c r="D363" i="5"/>
  <c r="D362" i="5"/>
  <c r="D361" i="5"/>
  <c r="D360" i="5"/>
  <c r="D359" i="5"/>
  <c r="D358" i="5"/>
  <c r="D357" i="5"/>
  <c r="D356" i="5"/>
  <c r="D355" i="5"/>
  <c r="D354" i="5"/>
  <c r="D353" i="5"/>
  <c r="D352" i="5"/>
  <c r="D351" i="5"/>
  <c r="D350" i="5"/>
  <c r="D349" i="5"/>
  <c r="D348" i="5"/>
  <c r="D347" i="5"/>
  <c r="D346" i="5"/>
  <c r="D345" i="5"/>
  <c r="D344" i="5"/>
  <c r="D343" i="5"/>
  <c r="D342" i="5"/>
  <c r="D341" i="5"/>
  <c r="D340" i="5"/>
  <c r="D339" i="5"/>
  <c r="D338" i="5"/>
  <c r="D337" i="5"/>
  <c r="D336" i="5"/>
  <c r="D335" i="5"/>
  <c r="D334" i="5"/>
  <c r="D333" i="5"/>
  <c r="D332" i="5"/>
  <c r="D331" i="5"/>
  <c r="D330" i="5"/>
  <c r="D329" i="5"/>
  <c r="D328" i="5"/>
  <c r="D327" i="5"/>
  <c r="D326" i="5"/>
  <c r="D325" i="5"/>
  <c r="D324" i="5"/>
  <c r="D323" i="5"/>
  <c r="D322" i="5"/>
  <c r="D321" i="5"/>
  <c r="D320" i="5"/>
  <c r="D319" i="5"/>
  <c r="D318" i="5"/>
  <c r="D317" i="5"/>
  <c r="D316" i="5"/>
  <c r="D315" i="5"/>
  <c r="D314" i="5"/>
  <c r="D313" i="5"/>
  <c r="D312" i="5"/>
  <c r="D311" i="5"/>
  <c r="A311" i="5"/>
  <c r="D310" i="5"/>
  <c r="D309" i="5"/>
  <c r="D308" i="5"/>
  <c r="D307" i="5"/>
  <c r="D306" i="5"/>
  <c r="D305" i="5"/>
  <c r="D304" i="5"/>
  <c r="D303" i="5"/>
  <c r="D302" i="5"/>
  <c r="D301" i="5"/>
  <c r="D300" i="5"/>
  <c r="D299" i="5"/>
  <c r="D298" i="5"/>
  <c r="D297" i="5"/>
  <c r="D296" i="5"/>
  <c r="D295" i="5"/>
  <c r="D294" i="5"/>
  <c r="D293" i="5"/>
  <c r="D292" i="5"/>
  <c r="D291" i="5"/>
  <c r="D290" i="5"/>
  <c r="D289" i="5"/>
  <c r="D288" i="5"/>
  <c r="D287" i="5"/>
  <c r="D286" i="5"/>
  <c r="D285" i="5"/>
  <c r="D284" i="5"/>
  <c r="D283" i="5"/>
  <c r="D282" i="5"/>
  <c r="D281" i="5"/>
  <c r="D280" i="5"/>
  <c r="D279" i="5"/>
  <c r="D278" i="5"/>
  <c r="D277" i="5"/>
  <c r="D276" i="5"/>
  <c r="D275" i="5"/>
  <c r="D274" i="5"/>
  <c r="D273" i="5"/>
  <c r="D272" i="5"/>
  <c r="D271" i="5"/>
  <c r="D270" i="5"/>
  <c r="D269" i="5"/>
  <c r="D268" i="5"/>
  <c r="D267" i="5"/>
  <c r="D266" i="5"/>
  <c r="D265" i="5"/>
  <c r="D264" i="5"/>
  <c r="D263" i="5"/>
  <c r="D262" i="5"/>
  <c r="D261" i="5"/>
  <c r="D260" i="5"/>
  <c r="A260" i="5" a="1"/>
  <c r="A260" i="5" s="1"/>
  <c r="D259" i="5"/>
  <c r="D258" i="5"/>
  <c r="D257" i="5"/>
  <c r="D256" i="5"/>
  <c r="D255" i="5"/>
  <c r="D254" i="5"/>
  <c r="D253" i="5"/>
  <c r="D252" i="5"/>
  <c r="D251" i="5"/>
  <c r="D250" i="5"/>
  <c r="D249" i="5"/>
  <c r="D248" i="5"/>
  <c r="D247" i="5"/>
  <c r="D246" i="5"/>
  <c r="D245" i="5"/>
  <c r="D244" i="5"/>
  <c r="D243" i="5"/>
  <c r="D242" i="5"/>
  <c r="D241" i="5"/>
  <c r="D240" i="5"/>
  <c r="D239" i="5"/>
  <c r="D238" i="5"/>
  <c r="D237" i="5"/>
  <c r="D236" i="5"/>
  <c r="D235" i="5"/>
  <c r="D234" i="5"/>
  <c r="D233" i="5"/>
  <c r="D232" i="5"/>
  <c r="A232" i="5" a="1"/>
  <c r="A232" i="5" s="1"/>
  <c r="D231" i="5"/>
  <c r="D230" i="5"/>
  <c r="D229" i="5"/>
  <c r="D228" i="5"/>
  <c r="D227" i="5"/>
  <c r="A227" i="5"/>
  <c r="D226" i="5"/>
  <c r="D225" i="5"/>
  <c r="D224" i="5"/>
  <c r="D223" i="5"/>
  <c r="D222" i="5"/>
  <c r="D221" i="5"/>
  <c r="D220" i="5"/>
  <c r="D219" i="5"/>
  <c r="D218" i="5"/>
  <c r="D217" i="5"/>
  <c r="D216" i="5"/>
  <c r="D215" i="5"/>
  <c r="D214" i="5"/>
  <c r="D213" i="5"/>
  <c r="D212" i="5"/>
  <c r="D211" i="5"/>
  <c r="D210" i="5"/>
  <c r="D209" i="5"/>
  <c r="D208" i="5"/>
  <c r="D207" i="5"/>
  <c r="D206" i="5"/>
  <c r="D205" i="5"/>
  <c r="D204" i="5"/>
  <c r="D203" i="5"/>
  <c r="D202" i="5"/>
  <c r="D201" i="5"/>
  <c r="D200" i="5"/>
  <c r="D199" i="5"/>
  <c r="D198" i="5"/>
  <c r="D197" i="5"/>
  <c r="D196" i="5"/>
  <c r="D195" i="5"/>
  <c r="D194" i="5"/>
  <c r="D193" i="5"/>
  <c r="D192" i="5"/>
  <c r="D191" i="5"/>
  <c r="D190" i="5"/>
  <c r="D189" i="5"/>
  <c r="D188" i="5"/>
  <c r="D187" i="5"/>
  <c r="D186" i="5"/>
  <c r="D185" i="5"/>
  <c r="D184" i="5"/>
  <c r="D183" i="5"/>
  <c r="D182" i="5"/>
  <c r="D181" i="5"/>
  <c r="D180" i="5"/>
  <c r="D179" i="5"/>
  <c r="D178" i="5"/>
  <c r="D177" i="5"/>
  <c r="D176" i="5"/>
  <c r="D175" i="5"/>
  <c r="D174" i="5"/>
  <c r="D173" i="5"/>
  <c r="D172" i="5"/>
  <c r="D171" i="5"/>
  <c r="D170" i="5"/>
  <c r="D169" i="5"/>
  <c r="D168" i="5"/>
  <c r="A168" i="5" a="1"/>
  <c r="A168" i="5" s="1"/>
  <c r="D167" i="5"/>
  <c r="D166" i="5"/>
  <c r="D165" i="5"/>
  <c r="D164" i="5"/>
  <c r="D163" i="5"/>
  <c r="D162" i="5"/>
  <c r="D161" i="5"/>
  <c r="D160" i="5"/>
  <c r="D159" i="5"/>
  <c r="D158" i="5"/>
  <c r="D157" i="5"/>
  <c r="D156" i="5"/>
  <c r="D155" i="5"/>
  <c r="D154" i="5"/>
  <c r="D153" i="5"/>
  <c r="D152" i="5"/>
  <c r="D151" i="5"/>
  <c r="D150" i="5"/>
  <c r="D149" i="5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A136" i="5" a="1"/>
  <c r="A136" i="5" s="1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A120" i="5" a="1"/>
  <c r="A120" i="5" s="1"/>
  <c r="D119" i="5"/>
  <c r="D118" i="5"/>
  <c r="D117" i="5"/>
  <c r="D116" i="5"/>
  <c r="D115" i="5"/>
  <c r="D114" i="5"/>
  <c r="D113" i="5"/>
  <c r="D112" i="5"/>
  <c r="A112" i="5" a="1"/>
  <c r="A112" i="5" s="1"/>
  <c r="D111" i="5"/>
  <c r="D110" i="5"/>
  <c r="D109" i="5"/>
  <c r="D108" i="5"/>
  <c r="D107" i="5"/>
  <c r="D106" i="5"/>
  <c r="D105" i="5"/>
  <c r="D104" i="5"/>
  <c r="A104" i="5" a="1"/>
  <c r="A104" i="5" s="1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A88" i="5" a="1"/>
  <c r="A88" i="5" s="1"/>
  <c r="D87" i="5"/>
  <c r="D86" i="5"/>
  <c r="D85" i="5"/>
  <c r="D84" i="5"/>
  <c r="D83" i="5"/>
  <c r="D82" i="5"/>
  <c r="D81" i="5"/>
  <c r="D80" i="5"/>
  <c r="A80" i="5" a="1"/>
  <c r="A80" i="5" s="1"/>
  <c r="D79" i="5"/>
  <c r="D78" i="5"/>
  <c r="D77" i="5"/>
  <c r="D76" i="5"/>
  <c r="D75" i="5"/>
  <c r="D74" i="5"/>
  <c r="D73" i="5"/>
  <c r="D72" i="5"/>
  <c r="A72" i="5" a="1"/>
  <c r="A72" i="5" s="1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A47" i="5" a="1"/>
  <c r="A47" i="5" s="1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A20" i="5" a="1"/>
  <c r="A20" i="5" s="1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A5" i="5" a="1"/>
  <c r="A5" i="5" s="1"/>
  <c r="D4" i="5"/>
  <c r="D3" i="5"/>
  <c r="D2" i="5"/>
  <c r="B360" i="4"/>
  <c r="A360" i="4"/>
  <c r="B359" i="4"/>
  <c r="A359" i="4"/>
  <c r="B358" i="4"/>
  <c r="A358" i="4"/>
  <c r="B357" i="4"/>
  <c r="A357" i="4"/>
  <c r="B356" i="4"/>
  <c r="A356" i="4"/>
  <c r="B355" i="4"/>
  <c r="A355" i="4"/>
  <c r="B354" i="4"/>
  <c r="A354" i="4"/>
  <c r="B353" i="4"/>
  <c r="A353" i="4"/>
  <c r="B352" i="4"/>
  <c r="A352" i="4"/>
  <c r="B351" i="4"/>
  <c r="A351" i="4"/>
  <c r="B350" i="4"/>
  <c r="A350" i="4"/>
  <c r="B349" i="4"/>
  <c r="A349" i="4"/>
  <c r="B348" i="4"/>
  <c r="A348" i="4"/>
  <c r="B347" i="4"/>
  <c r="A347" i="4"/>
  <c r="B346" i="4"/>
  <c r="A346" i="4"/>
  <c r="B345" i="4"/>
  <c r="A345" i="4"/>
  <c r="B344" i="4"/>
  <c r="A344" i="4"/>
  <c r="B343" i="4"/>
  <c r="A343" i="4"/>
  <c r="B342" i="4"/>
  <c r="A342" i="4"/>
  <c r="B341" i="4"/>
  <c r="A341" i="4"/>
  <c r="B340" i="4"/>
  <c r="A340" i="4"/>
  <c r="B339" i="4"/>
  <c r="A339" i="4"/>
  <c r="B338" i="4"/>
  <c r="A338" i="4"/>
  <c r="B337" i="4"/>
  <c r="A337" i="4"/>
  <c r="B336" i="4"/>
  <c r="A336" i="4"/>
  <c r="B335" i="4"/>
  <c r="A335" i="4"/>
  <c r="B334" i="4"/>
  <c r="A334" i="4"/>
  <c r="B333" i="4"/>
  <c r="A333" i="4"/>
  <c r="B332" i="4"/>
  <c r="A332" i="4"/>
  <c r="B331" i="4"/>
  <c r="A331" i="4"/>
  <c r="B330" i="4"/>
  <c r="A330" i="4"/>
  <c r="B329" i="4"/>
  <c r="A329" i="4"/>
  <c r="B328" i="4"/>
  <c r="A328" i="4"/>
  <c r="B327" i="4"/>
  <c r="A327" i="4"/>
  <c r="B326" i="4"/>
  <c r="A326" i="4"/>
  <c r="B325" i="4"/>
  <c r="A325" i="4"/>
  <c r="B324" i="4"/>
  <c r="A324" i="4"/>
  <c r="B323" i="4"/>
  <c r="A323" i="4"/>
  <c r="B322" i="4"/>
  <c r="A322" i="4"/>
  <c r="B321" i="4"/>
  <c r="A321" i="4"/>
  <c r="B320" i="4"/>
  <c r="A320" i="4"/>
  <c r="B319" i="4"/>
  <c r="A319" i="4"/>
  <c r="B318" i="4"/>
  <c r="A318" i="4"/>
  <c r="B317" i="4"/>
  <c r="A317" i="4"/>
  <c r="B316" i="4"/>
  <c r="A316" i="4"/>
  <c r="B315" i="4"/>
  <c r="A315" i="4"/>
  <c r="B314" i="4"/>
  <c r="A314" i="4"/>
  <c r="B313" i="4"/>
  <c r="A313" i="4"/>
  <c r="B312" i="4"/>
  <c r="A312" i="4"/>
  <c r="B311" i="4"/>
  <c r="A311" i="4"/>
  <c r="B310" i="4"/>
  <c r="A310" i="4"/>
  <c r="B309" i="4"/>
  <c r="A309" i="4"/>
  <c r="B308" i="4"/>
  <c r="A308" i="4"/>
  <c r="B307" i="4"/>
  <c r="A307" i="4"/>
  <c r="B306" i="4"/>
  <c r="A306" i="4"/>
  <c r="B305" i="4"/>
  <c r="A305" i="4"/>
  <c r="B304" i="4"/>
  <c r="A304" i="4"/>
  <c r="B303" i="4"/>
  <c r="A303" i="4"/>
  <c r="B302" i="4"/>
  <c r="A302" i="4"/>
  <c r="B301" i="4"/>
  <c r="A301" i="4"/>
  <c r="B300" i="4"/>
  <c r="A300" i="4"/>
  <c r="B299" i="4"/>
  <c r="A299" i="4"/>
  <c r="B298" i="4"/>
  <c r="A298" i="4"/>
  <c r="B297" i="4"/>
  <c r="A297" i="4"/>
  <c r="B296" i="4"/>
  <c r="A296" i="4"/>
  <c r="B295" i="4"/>
  <c r="A295" i="4"/>
  <c r="B294" i="4"/>
  <c r="A294" i="4"/>
  <c r="B293" i="4"/>
  <c r="A293" i="4"/>
  <c r="B292" i="4"/>
  <c r="A292" i="4"/>
  <c r="B291" i="4"/>
  <c r="A291" i="4"/>
  <c r="B290" i="4"/>
  <c r="A290" i="4"/>
  <c r="B289" i="4"/>
  <c r="A289" i="4"/>
  <c r="B288" i="4"/>
  <c r="A288" i="4"/>
  <c r="B287" i="4"/>
  <c r="A287" i="4"/>
  <c r="B286" i="4"/>
  <c r="A286" i="4"/>
  <c r="B285" i="4"/>
  <c r="A285" i="4"/>
  <c r="B284" i="4"/>
  <c r="A284" i="4"/>
  <c r="B283" i="4"/>
  <c r="A283" i="4"/>
  <c r="B282" i="4"/>
  <c r="A282" i="4"/>
  <c r="B281" i="4"/>
  <c r="A281" i="4"/>
  <c r="B280" i="4"/>
  <c r="A280" i="4"/>
  <c r="B279" i="4"/>
  <c r="A279" i="4"/>
  <c r="B278" i="4"/>
  <c r="A278" i="4"/>
  <c r="B277" i="4"/>
  <c r="A277" i="4"/>
  <c r="B276" i="4"/>
  <c r="A276" i="4"/>
  <c r="B275" i="4"/>
  <c r="A275" i="4"/>
  <c r="B274" i="4"/>
  <c r="A274" i="4"/>
  <c r="B273" i="4"/>
  <c r="A273" i="4"/>
  <c r="B272" i="4"/>
  <c r="A272" i="4"/>
  <c r="B271" i="4"/>
  <c r="A271" i="4"/>
  <c r="B270" i="4"/>
  <c r="A270" i="4"/>
  <c r="B269" i="4"/>
  <c r="A269" i="4"/>
  <c r="B268" i="4"/>
  <c r="A268" i="4"/>
  <c r="B267" i="4"/>
  <c r="A267" i="4"/>
  <c r="B266" i="4"/>
  <c r="A266" i="4"/>
  <c r="B265" i="4"/>
  <c r="A265" i="4"/>
  <c r="B264" i="4"/>
  <c r="A264" i="4"/>
  <c r="B263" i="4"/>
  <c r="A263" i="4"/>
  <c r="B262" i="4"/>
  <c r="A262" i="4"/>
  <c r="B261" i="4"/>
  <c r="A261" i="4"/>
  <c r="B260" i="4"/>
  <c r="A260" i="4"/>
  <c r="B259" i="4"/>
  <c r="A259" i="4"/>
  <c r="B258" i="4"/>
  <c r="A258" i="4"/>
  <c r="B257" i="4"/>
  <c r="A257" i="4"/>
  <c r="B256" i="4"/>
  <c r="A256" i="4"/>
  <c r="B255" i="4"/>
  <c r="A255" i="4"/>
  <c r="B254" i="4"/>
  <c r="A254" i="4"/>
  <c r="B253" i="4"/>
  <c r="A253" i="4"/>
  <c r="B252" i="4"/>
  <c r="A252" i="4"/>
  <c r="B251" i="4"/>
  <c r="A251" i="4"/>
  <c r="B250" i="4"/>
  <c r="A250" i="4"/>
  <c r="B249" i="4"/>
  <c r="A249" i="4"/>
  <c r="B248" i="4"/>
  <c r="A248" i="4"/>
  <c r="B247" i="4"/>
  <c r="A247" i="4"/>
  <c r="B246" i="4"/>
  <c r="A246" i="4"/>
  <c r="B245" i="4"/>
  <c r="A245" i="4"/>
  <c r="B244" i="4"/>
  <c r="A244" i="4"/>
  <c r="B243" i="4"/>
  <c r="A243" i="4"/>
  <c r="B242" i="4"/>
  <c r="A242" i="4"/>
  <c r="B241" i="4"/>
  <c r="A241" i="4"/>
  <c r="B240" i="4"/>
  <c r="A240" i="4"/>
  <c r="B239" i="4"/>
  <c r="A239" i="4"/>
  <c r="B238" i="4"/>
  <c r="A238" i="4"/>
  <c r="B237" i="4"/>
  <c r="A237" i="4"/>
  <c r="B236" i="4"/>
  <c r="A236" i="4"/>
  <c r="B235" i="4"/>
  <c r="A235" i="4"/>
  <c r="B234" i="4"/>
  <c r="A234" i="4"/>
  <c r="B233" i="4"/>
  <c r="A233" i="4"/>
  <c r="B232" i="4"/>
  <c r="A232" i="4"/>
  <c r="B231" i="4"/>
  <c r="A231" i="4"/>
  <c r="B230" i="4"/>
  <c r="A230" i="4"/>
  <c r="B229" i="4"/>
  <c r="A229" i="4"/>
  <c r="B228" i="4"/>
  <c r="A228" i="4"/>
  <c r="B227" i="4"/>
  <c r="A227" i="4"/>
  <c r="B226" i="4"/>
  <c r="A226" i="4"/>
  <c r="B225" i="4"/>
  <c r="A225" i="4"/>
  <c r="B224" i="4"/>
  <c r="A224" i="4"/>
  <c r="B223" i="4"/>
  <c r="A223" i="4"/>
  <c r="B222" i="4"/>
  <c r="A222" i="4"/>
  <c r="B221" i="4"/>
  <c r="A221" i="4"/>
  <c r="B220" i="4"/>
  <c r="A220" i="4"/>
  <c r="B219" i="4"/>
  <c r="A219" i="4"/>
  <c r="B218" i="4"/>
  <c r="A218" i="4"/>
  <c r="B217" i="4"/>
  <c r="A217" i="4"/>
  <c r="B216" i="4"/>
  <c r="A216" i="4"/>
  <c r="B215" i="4"/>
  <c r="A215" i="4"/>
  <c r="B214" i="4"/>
  <c r="A214" i="4"/>
  <c r="B213" i="4"/>
  <c r="A213" i="4"/>
  <c r="B212" i="4"/>
  <c r="A212" i="4"/>
  <c r="B211" i="4"/>
  <c r="A211" i="4"/>
  <c r="B210" i="4"/>
  <c r="A210" i="4"/>
  <c r="B209" i="4"/>
  <c r="A209" i="4"/>
  <c r="B208" i="4"/>
  <c r="A208" i="4"/>
  <c r="B207" i="4"/>
  <c r="A207" i="4"/>
  <c r="B206" i="4"/>
  <c r="A206" i="4"/>
  <c r="B205" i="4"/>
  <c r="A205" i="4"/>
  <c r="B204" i="4"/>
  <c r="A204" i="4"/>
  <c r="B203" i="4"/>
  <c r="A203" i="4"/>
  <c r="B202" i="4"/>
  <c r="A202" i="4"/>
  <c r="B201" i="4"/>
  <c r="A201" i="4"/>
  <c r="B200" i="4"/>
  <c r="A200" i="4"/>
  <c r="B199" i="4"/>
  <c r="A199" i="4"/>
  <c r="B198" i="4"/>
  <c r="A198" i="4"/>
  <c r="B197" i="4"/>
  <c r="A197" i="4"/>
  <c r="B196" i="4"/>
  <c r="A196" i="4"/>
  <c r="B195" i="4"/>
  <c r="A195" i="4"/>
  <c r="B194" i="4"/>
  <c r="A194" i="4"/>
  <c r="B193" i="4"/>
  <c r="A193" i="4"/>
  <c r="B192" i="4"/>
  <c r="A192" i="4"/>
  <c r="B191" i="4"/>
  <c r="A191" i="4"/>
  <c r="B190" i="4"/>
  <c r="A190" i="4"/>
  <c r="B189" i="4"/>
  <c r="A189" i="4"/>
  <c r="B188" i="4"/>
  <c r="A188" i="4"/>
  <c r="B187" i="4"/>
  <c r="A187" i="4"/>
  <c r="B186" i="4"/>
  <c r="A186" i="4"/>
  <c r="B185" i="4"/>
  <c r="A185" i="4"/>
  <c r="B184" i="4"/>
  <c r="A184" i="4"/>
  <c r="B183" i="4"/>
  <c r="A183" i="4"/>
  <c r="B182" i="4"/>
  <c r="A182" i="4"/>
  <c r="B181" i="4"/>
  <c r="A181" i="4"/>
  <c r="B180" i="4"/>
  <c r="A180" i="4"/>
  <c r="B179" i="4"/>
  <c r="A179" i="4"/>
  <c r="B178" i="4"/>
  <c r="A178" i="4"/>
  <c r="B177" i="4"/>
  <c r="A177" i="4"/>
  <c r="B176" i="4"/>
  <c r="A176" i="4"/>
  <c r="B175" i="4"/>
  <c r="A175" i="4"/>
  <c r="B174" i="4"/>
  <c r="A174" i="4"/>
  <c r="B173" i="4"/>
  <c r="A173" i="4"/>
  <c r="B172" i="4"/>
  <c r="A172" i="4"/>
  <c r="B171" i="4"/>
  <c r="A171" i="4"/>
  <c r="B170" i="4"/>
  <c r="A170" i="4"/>
  <c r="B169" i="4"/>
  <c r="A169" i="4"/>
  <c r="B168" i="4"/>
  <c r="A168" i="4"/>
  <c r="B167" i="4"/>
  <c r="A167" i="4"/>
  <c r="B166" i="4"/>
  <c r="A166" i="4"/>
  <c r="B165" i="4"/>
  <c r="A165" i="4"/>
  <c r="B164" i="4"/>
  <c r="A164" i="4"/>
  <c r="B163" i="4"/>
  <c r="A163" i="4"/>
  <c r="B162" i="4"/>
  <c r="A162" i="4"/>
  <c r="B161" i="4"/>
  <c r="A161" i="4"/>
  <c r="B160" i="4"/>
  <c r="A160" i="4"/>
  <c r="B159" i="4"/>
  <c r="A159" i="4"/>
  <c r="B158" i="4"/>
  <c r="A158" i="4"/>
  <c r="B157" i="4"/>
  <c r="A157" i="4"/>
  <c r="B156" i="4"/>
  <c r="A156" i="4"/>
  <c r="B155" i="4"/>
  <c r="A155" i="4"/>
  <c r="B154" i="4"/>
  <c r="A154" i="4"/>
  <c r="B153" i="4"/>
  <c r="A153" i="4"/>
  <c r="B152" i="4"/>
  <c r="A152" i="4"/>
  <c r="B151" i="4"/>
  <c r="A151" i="4"/>
  <c r="B150" i="4"/>
  <c r="A150" i="4"/>
  <c r="B149" i="4"/>
  <c r="A149" i="4"/>
  <c r="B148" i="4"/>
  <c r="A148" i="4"/>
  <c r="B147" i="4"/>
  <c r="A147" i="4"/>
  <c r="B146" i="4"/>
  <c r="A146" i="4"/>
  <c r="B145" i="4"/>
  <c r="A145" i="4"/>
  <c r="B144" i="4"/>
  <c r="A144" i="4"/>
  <c r="B143" i="4"/>
  <c r="A143" i="4"/>
  <c r="B142" i="4"/>
  <c r="A142" i="4"/>
  <c r="B141" i="4"/>
  <c r="A141" i="4"/>
  <c r="B140" i="4"/>
  <c r="A140" i="4"/>
  <c r="B139" i="4"/>
  <c r="A139" i="4"/>
  <c r="B138" i="4"/>
  <c r="A138" i="4"/>
  <c r="B137" i="4"/>
  <c r="A137" i="4"/>
  <c r="B136" i="4"/>
  <c r="A136" i="4"/>
  <c r="B135" i="4"/>
  <c r="A135" i="4"/>
  <c r="B134" i="4"/>
  <c r="A134" i="4"/>
  <c r="B133" i="4"/>
  <c r="A133" i="4"/>
  <c r="B132" i="4"/>
  <c r="A132" i="4"/>
  <c r="B131" i="4"/>
  <c r="A131" i="4"/>
  <c r="B130" i="4"/>
  <c r="A130" i="4"/>
  <c r="B129" i="4"/>
  <c r="A129" i="4"/>
  <c r="B128" i="4"/>
  <c r="A128" i="4"/>
  <c r="B127" i="4"/>
  <c r="A127" i="4"/>
  <c r="B126" i="4"/>
  <c r="A126" i="4"/>
  <c r="B125" i="4"/>
  <c r="A125" i="4"/>
  <c r="B124" i="4"/>
  <c r="A124" i="4"/>
  <c r="B123" i="4"/>
  <c r="A123" i="4"/>
  <c r="B122" i="4"/>
  <c r="A122" i="4"/>
  <c r="B121" i="4"/>
  <c r="A121" i="4"/>
  <c r="B120" i="4"/>
  <c r="A120" i="4"/>
  <c r="B119" i="4"/>
  <c r="A119" i="4"/>
  <c r="B118" i="4"/>
  <c r="A118" i="4"/>
  <c r="B117" i="4"/>
  <c r="A117" i="4"/>
  <c r="B116" i="4"/>
  <c r="A116" i="4"/>
  <c r="B115" i="4"/>
  <c r="A115" i="4"/>
  <c r="B114" i="4"/>
  <c r="A114" i="4"/>
  <c r="B113" i="4"/>
  <c r="A113" i="4"/>
  <c r="B112" i="4"/>
  <c r="A112" i="4"/>
  <c r="B111" i="4"/>
  <c r="A111" i="4"/>
  <c r="B110" i="4"/>
  <c r="A110" i="4"/>
  <c r="B109" i="4"/>
  <c r="A109" i="4"/>
  <c r="B108" i="4"/>
  <c r="A108" i="4"/>
  <c r="B107" i="4"/>
  <c r="A107" i="4"/>
  <c r="B106" i="4"/>
  <c r="A106" i="4"/>
  <c r="B105" i="4"/>
  <c r="A105" i="4"/>
  <c r="B104" i="4"/>
  <c r="A104" i="4"/>
  <c r="B103" i="4"/>
  <c r="A103" i="4"/>
  <c r="B102" i="4"/>
  <c r="A102" i="4"/>
  <c r="B101" i="4"/>
  <c r="A101" i="4"/>
  <c r="B100" i="4"/>
  <c r="A100" i="4"/>
  <c r="B99" i="4"/>
  <c r="A99" i="4"/>
  <c r="B98" i="4"/>
  <c r="A98" i="4"/>
  <c r="B97" i="4"/>
  <c r="A97" i="4"/>
  <c r="B96" i="4"/>
  <c r="A96" i="4"/>
  <c r="B95" i="4"/>
  <c r="A95" i="4"/>
  <c r="B94" i="4"/>
  <c r="A94" i="4"/>
  <c r="B93" i="4"/>
  <c r="A93" i="4"/>
  <c r="B92" i="4"/>
  <c r="A92" i="4"/>
  <c r="B91" i="4"/>
  <c r="A91" i="4"/>
  <c r="B90" i="4"/>
  <c r="A90" i="4"/>
  <c r="B89" i="4"/>
  <c r="A89" i="4"/>
  <c r="B88" i="4"/>
  <c r="A88" i="4"/>
  <c r="B87" i="4"/>
  <c r="A87" i="4"/>
  <c r="B86" i="4"/>
  <c r="A86" i="4"/>
  <c r="B85" i="4"/>
  <c r="A85" i="4"/>
  <c r="B84" i="4"/>
  <c r="A84" i="4"/>
  <c r="B83" i="4"/>
  <c r="A83" i="4"/>
  <c r="B82" i="4"/>
  <c r="A82" i="4"/>
  <c r="B81" i="4"/>
  <c r="A81" i="4"/>
  <c r="B80" i="4"/>
  <c r="A80" i="4"/>
  <c r="B79" i="4"/>
  <c r="A79" i="4"/>
  <c r="B78" i="4"/>
  <c r="A78" i="4"/>
  <c r="B77" i="4"/>
  <c r="A77" i="4"/>
  <c r="B76" i="4"/>
  <c r="A76" i="4"/>
  <c r="B75" i="4"/>
  <c r="A75" i="4"/>
  <c r="B74" i="4"/>
  <c r="A74" i="4"/>
  <c r="B73" i="4"/>
  <c r="A73" i="4"/>
  <c r="B72" i="4"/>
  <c r="A72" i="4"/>
  <c r="B71" i="4"/>
  <c r="A71" i="4"/>
  <c r="B70" i="4"/>
  <c r="A70" i="4"/>
  <c r="B69" i="4"/>
  <c r="A69" i="4"/>
  <c r="B68" i="4"/>
  <c r="A68" i="4"/>
  <c r="B67" i="4"/>
  <c r="A67" i="4"/>
  <c r="B66" i="4"/>
  <c r="A66" i="4"/>
  <c r="A65" i="4"/>
  <c r="B64" i="4"/>
  <c r="A64" i="4"/>
  <c r="B63" i="4"/>
  <c r="A63" i="4"/>
  <c r="B62" i="4"/>
  <c r="A62" i="4"/>
  <c r="B61" i="4"/>
  <c r="A61" i="4"/>
  <c r="B60" i="4"/>
  <c r="A60" i="4"/>
  <c r="B59" i="4"/>
  <c r="A59" i="4"/>
  <c r="B58" i="4"/>
  <c r="A58" i="4"/>
  <c r="B57" i="4"/>
  <c r="A57" i="4"/>
  <c r="B56" i="4"/>
  <c r="A56" i="4"/>
  <c r="B55" i="4"/>
  <c r="A55" i="4"/>
  <c r="B54" i="4"/>
  <c r="A54" i="4"/>
  <c r="B53" i="4"/>
  <c r="A53" i="4"/>
  <c r="B52" i="4"/>
  <c r="A52" i="4"/>
  <c r="B51" i="4"/>
  <c r="A51" i="4"/>
  <c r="B50" i="4"/>
  <c r="A50" i="4"/>
  <c r="B49" i="4"/>
  <c r="A49" i="4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B2" i="4"/>
  <c r="A2" i="4"/>
  <c r="F179" i="3"/>
  <c r="E179" i="3"/>
  <c r="D179" i="3"/>
  <c r="C179" i="3"/>
  <c r="B179" i="3"/>
  <c r="A179" i="3"/>
  <c r="F178" i="3"/>
  <c r="E178" i="3"/>
  <c r="D178" i="3"/>
  <c r="C178" i="3"/>
  <c r="B178" i="3"/>
  <c r="A178" i="3"/>
  <c r="F177" i="3"/>
  <c r="E177" i="3"/>
  <c r="D177" i="3"/>
  <c r="C177" i="3"/>
  <c r="B177" i="3"/>
  <c r="A177" i="3"/>
  <c r="F176" i="3"/>
  <c r="E176" i="3"/>
  <c r="D176" i="3"/>
  <c r="C176" i="3"/>
  <c r="B176" i="3"/>
  <c r="A176" i="3"/>
  <c r="F175" i="3"/>
  <c r="E175" i="3"/>
  <c r="D175" i="3"/>
  <c r="C175" i="3"/>
  <c r="B175" i="3"/>
  <c r="A175" i="3"/>
  <c r="F174" i="3"/>
  <c r="E174" i="3"/>
  <c r="D174" i="3"/>
  <c r="C174" i="3"/>
  <c r="B174" i="3"/>
  <c r="A174" i="3"/>
  <c r="F173" i="3"/>
  <c r="E173" i="3"/>
  <c r="D173" i="3"/>
  <c r="C173" i="3"/>
  <c r="B173" i="3"/>
  <c r="A173" i="3"/>
  <c r="F172" i="3"/>
  <c r="E172" i="3"/>
  <c r="D172" i="3"/>
  <c r="C172" i="3"/>
  <c r="B172" i="3"/>
  <c r="A172" i="3"/>
  <c r="F171" i="3"/>
  <c r="E171" i="3"/>
  <c r="D171" i="3"/>
  <c r="C171" i="3"/>
  <c r="B171" i="3"/>
  <c r="A171" i="3"/>
  <c r="F170" i="3"/>
  <c r="E170" i="3"/>
  <c r="D170" i="3"/>
  <c r="C170" i="3"/>
  <c r="B170" i="3"/>
  <c r="A170" i="3"/>
  <c r="F169" i="3"/>
  <c r="E169" i="3"/>
  <c r="D169" i="3"/>
  <c r="C169" i="3"/>
  <c r="B169" i="3"/>
  <c r="A169" i="3"/>
  <c r="F168" i="3"/>
  <c r="E168" i="3"/>
  <c r="D168" i="3"/>
  <c r="C168" i="3"/>
  <c r="B168" i="3"/>
  <c r="A168" i="3"/>
  <c r="F167" i="3"/>
  <c r="E167" i="3"/>
  <c r="D167" i="3"/>
  <c r="C167" i="3"/>
  <c r="B167" i="3"/>
  <c r="A167" i="3"/>
  <c r="F166" i="3"/>
  <c r="E166" i="3"/>
  <c r="D166" i="3"/>
  <c r="C166" i="3"/>
  <c r="B166" i="3"/>
  <c r="A166" i="3"/>
  <c r="F165" i="3"/>
  <c r="E165" i="3"/>
  <c r="D165" i="3"/>
  <c r="C165" i="3"/>
  <c r="B165" i="3"/>
  <c r="A165" i="3"/>
  <c r="F164" i="3"/>
  <c r="E164" i="3"/>
  <c r="D164" i="3"/>
  <c r="C164" i="3"/>
  <c r="B164" i="3"/>
  <c r="A164" i="3"/>
  <c r="F163" i="3"/>
  <c r="E163" i="3"/>
  <c r="D163" i="3"/>
  <c r="C163" i="3"/>
  <c r="B163" i="3"/>
  <c r="A163" i="3"/>
  <c r="F162" i="3"/>
  <c r="E162" i="3"/>
  <c r="D162" i="3"/>
  <c r="C162" i="3"/>
  <c r="B162" i="3"/>
  <c r="A162" i="3"/>
  <c r="F161" i="3"/>
  <c r="E161" i="3"/>
  <c r="D161" i="3"/>
  <c r="C161" i="3"/>
  <c r="B161" i="3"/>
  <c r="A161" i="3"/>
  <c r="F160" i="3"/>
  <c r="E160" i="3"/>
  <c r="D160" i="3"/>
  <c r="C160" i="3"/>
  <c r="B160" i="3"/>
  <c r="A160" i="3"/>
  <c r="F159" i="3"/>
  <c r="E159" i="3"/>
  <c r="D159" i="3"/>
  <c r="C159" i="3"/>
  <c r="B159" i="3"/>
  <c r="A159" i="3"/>
  <c r="F158" i="3"/>
  <c r="E158" i="3"/>
  <c r="D158" i="3"/>
  <c r="C158" i="3"/>
  <c r="B158" i="3"/>
  <c r="A158" i="3"/>
  <c r="F157" i="3"/>
  <c r="E157" i="3"/>
  <c r="D157" i="3"/>
  <c r="C157" i="3"/>
  <c r="B157" i="3"/>
  <c r="A157" i="3"/>
  <c r="F156" i="3"/>
  <c r="E156" i="3"/>
  <c r="D156" i="3"/>
  <c r="C156" i="3"/>
  <c r="B156" i="3"/>
  <c r="A156" i="3"/>
  <c r="F155" i="3"/>
  <c r="E155" i="3"/>
  <c r="D155" i="3"/>
  <c r="C155" i="3"/>
  <c r="B155" i="3"/>
  <c r="A155" i="3"/>
  <c r="F154" i="3"/>
  <c r="E154" i="3"/>
  <c r="D154" i="3"/>
  <c r="C154" i="3"/>
  <c r="B154" i="3"/>
  <c r="A154" i="3"/>
  <c r="F153" i="3"/>
  <c r="E153" i="3"/>
  <c r="D153" i="3"/>
  <c r="C153" i="3"/>
  <c r="B153" i="3"/>
  <c r="A153" i="3"/>
  <c r="F152" i="3"/>
  <c r="E152" i="3"/>
  <c r="D152" i="3"/>
  <c r="C152" i="3"/>
  <c r="B152" i="3"/>
  <c r="A152" i="3"/>
  <c r="F151" i="3"/>
  <c r="E151" i="3"/>
  <c r="D151" i="3"/>
  <c r="C151" i="3"/>
  <c r="B151" i="3"/>
  <c r="A151" i="3"/>
  <c r="F150" i="3"/>
  <c r="E150" i="3"/>
  <c r="D150" i="3"/>
  <c r="C150" i="3"/>
  <c r="B150" i="3"/>
  <c r="A150" i="3"/>
  <c r="F149" i="3"/>
  <c r="E149" i="3"/>
  <c r="D149" i="3"/>
  <c r="C149" i="3"/>
  <c r="B149" i="3"/>
  <c r="A149" i="3"/>
  <c r="F148" i="3"/>
  <c r="E148" i="3"/>
  <c r="D148" i="3"/>
  <c r="C148" i="3"/>
  <c r="B148" i="3"/>
  <c r="A148" i="3"/>
  <c r="F147" i="3"/>
  <c r="E147" i="3"/>
  <c r="D147" i="3"/>
  <c r="C147" i="3"/>
  <c r="B147" i="3"/>
  <c r="A147" i="3"/>
  <c r="F146" i="3"/>
  <c r="E146" i="3"/>
  <c r="D146" i="3"/>
  <c r="C146" i="3"/>
  <c r="B146" i="3"/>
  <c r="A146" i="3"/>
  <c r="F145" i="3"/>
  <c r="E145" i="3"/>
  <c r="D145" i="3"/>
  <c r="C145" i="3"/>
  <c r="B145" i="3"/>
  <c r="A145" i="3"/>
  <c r="F144" i="3"/>
  <c r="E144" i="3"/>
  <c r="D144" i="3"/>
  <c r="C144" i="3"/>
  <c r="B144" i="3"/>
  <c r="A144" i="3"/>
  <c r="F143" i="3"/>
  <c r="E143" i="3"/>
  <c r="D143" i="3"/>
  <c r="C143" i="3"/>
  <c r="B143" i="3"/>
  <c r="A143" i="3"/>
  <c r="F142" i="3"/>
  <c r="E142" i="3"/>
  <c r="D142" i="3"/>
  <c r="C142" i="3"/>
  <c r="B142" i="3"/>
  <c r="A142" i="3"/>
  <c r="F141" i="3"/>
  <c r="E141" i="3"/>
  <c r="D141" i="3"/>
  <c r="C141" i="3"/>
  <c r="B141" i="3"/>
  <c r="A141" i="3"/>
  <c r="F140" i="3"/>
  <c r="E140" i="3"/>
  <c r="D140" i="3"/>
  <c r="C140" i="3"/>
  <c r="B140" i="3"/>
  <c r="A140" i="3"/>
  <c r="F139" i="3"/>
  <c r="E139" i="3"/>
  <c r="D139" i="3"/>
  <c r="C139" i="3"/>
  <c r="B139" i="3"/>
  <c r="A139" i="3"/>
  <c r="F138" i="3"/>
  <c r="E138" i="3"/>
  <c r="D138" i="3"/>
  <c r="C138" i="3"/>
  <c r="B138" i="3"/>
  <c r="A138" i="3"/>
  <c r="F137" i="3"/>
  <c r="E137" i="3"/>
  <c r="D137" i="3"/>
  <c r="C137" i="3"/>
  <c r="B137" i="3"/>
  <c r="A137" i="3"/>
  <c r="F136" i="3"/>
  <c r="E136" i="3"/>
  <c r="D136" i="3"/>
  <c r="C136" i="3"/>
  <c r="B136" i="3"/>
  <c r="A136" i="3"/>
  <c r="E135" i="3"/>
  <c r="D135" i="3"/>
  <c r="C135" i="3"/>
  <c r="B135" i="3"/>
  <c r="A135" i="3"/>
  <c r="F134" i="3"/>
  <c r="E134" i="3"/>
  <c r="D134" i="3"/>
  <c r="C134" i="3"/>
  <c r="B134" i="3"/>
  <c r="A134" i="3"/>
  <c r="F133" i="3"/>
  <c r="E133" i="3"/>
  <c r="D133" i="3"/>
  <c r="C133" i="3"/>
  <c r="B133" i="3"/>
  <c r="A133" i="3"/>
  <c r="F132" i="3"/>
  <c r="E132" i="3"/>
  <c r="D132" i="3"/>
  <c r="C132" i="3"/>
  <c r="B132" i="3"/>
  <c r="A132" i="3"/>
  <c r="F131" i="3"/>
  <c r="E131" i="3"/>
  <c r="D131" i="3"/>
  <c r="C131" i="3"/>
  <c r="B131" i="3"/>
  <c r="A131" i="3"/>
  <c r="F130" i="3"/>
  <c r="E130" i="3"/>
  <c r="D130" i="3"/>
  <c r="C130" i="3"/>
  <c r="B130" i="3"/>
  <c r="A130" i="3"/>
  <c r="F129" i="3"/>
  <c r="E129" i="3"/>
  <c r="D129" i="3"/>
  <c r="C129" i="3"/>
  <c r="B129" i="3"/>
  <c r="A129" i="3"/>
  <c r="F128" i="3"/>
  <c r="E128" i="3"/>
  <c r="D128" i="3"/>
  <c r="C128" i="3"/>
  <c r="B128" i="3"/>
  <c r="A128" i="3"/>
  <c r="F127" i="3"/>
  <c r="E127" i="3"/>
  <c r="D127" i="3"/>
  <c r="C127" i="3"/>
  <c r="B127" i="3"/>
  <c r="A127" i="3"/>
  <c r="F126" i="3"/>
  <c r="E126" i="3"/>
  <c r="D126" i="3"/>
  <c r="C126" i="3"/>
  <c r="B126" i="3"/>
  <c r="A126" i="3"/>
  <c r="F125" i="3"/>
  <c r="E125" i="3"/>
  <c r="D125" i="3"/>
  <c r="C125" i="3"/>
  <c r="B125" i="3"/>
  <c r="A125" i="3"/>
  <c r="F124" i="3"/>
  <c r="E124" i="3"/>
  <c r="D124" i="3"/>
  <c r="C124" i="3"/>
  <c r="B124" i="3"/>
  <c r="A124" i="3"/>
  <c r="F123" i="3"/>
  <c r="E123" i="3"/>
  <c r="D123" i="3"/>
  <c r="C123" i="3"/>
  <c r="B123" i="3"/>
  <c r="A123" i="3"/>
  <c r="F122" i="3"/>
  <c r="E122" i="3"/>
  <c r="D122" i="3"/>
  <c r="C122" i="3"/>
  <c r="B122" i="3"/>
  <c r="A122" i="3"/>
  <c r="F121" i="3"/>
  <c r="E121" i="3"/>
  <c r="D121" i="3"/>
  <c r="C121" i="3"/>
  <c r="B121" i="3"/>
  <c r="A121" i="3"/>
  <c r="F120" i="3"/>
  <c r="E120" i="3"/>
  <c r="D120" i="3"/>
  <c r="C120" i="3"/>
  <c r="B120" i="3"/>
  <c r="A120" i="3"/>
  <c r="F119" i="3"/>
  <c r="E119" i="3"/>
  <c r="D119" i="3"/>
  <c r="C119" i="3"/>
  <c r="B119" i="3"/>
  <c r="A119" i="3"/>
  <c r="F118" i="3"/>
  <c r="E118" i="3"/>
  <c r="D118" i="3"/>
  <c r="C118" i="3"/>
  <c r="B118" i="3"/>
  <c r="A118" i="3"/>
  <c r="F117" i="3"/>
  <c r="E117" i="3"/>
  <c r="D117" i="3"/>
  <c r="C117" i="3"/>
  <c r="B117" i="3"/>
  <c r="A117" i="3"/>
  <c r="F116" i="3"/>
  <c r="E116" i="3"/>
  <c r="D116" i="3"/>
  <c r="C116" i="3"/>
  <c r="B116" i="3"/>
  <c r="A116" i="3"/>
  <c r="F115" i="3"/>
  <c r="E115" i="3"/>
  <c r="D115" i="3"/>
  <c r="C115" i="3"/>
  <c r="B115" i="3"/>
  <c r="A115" i="3"/>
  <c r="F114" i="3"/>
  <c r="E114" i="3"/>
  <c r="D114" i="3"/>
  <c r="C114" i="3"/>
  <c r="B114" i="3"/>
  <c r="A114" i="3"/>
  <c r="F113" i="3"/>
  <c r="E113" i="3"/>
  <c r="D113" i="3"/>
  <c r="C113" i="3"/>
  <c r="B113" i="3"/>
  <c r="A113" i="3"/>
  <c r="F112" i="3"/>
  <c r="E112" i="3"/>
  <c r="D112" i="3"/>
  <c r="C112" i="3"/>
  <c r="B112" i="3"/>
  <c r="A112" i="3"/>
  <c r="F111" i="3"/>
  <c r="E111" i="3"/>
  <c r="D111" i="3"/>
  <c r="C111" i="3"/>
  <c r="B111" i="3"/>
  <c r="A111" i="3"/>
  <c r="F110" i="3"/>
  <c r="E110" i="3"/>
  <c r="D110" i="3"/>
  <c r="C110" i="3"/>
  <c r="B110" i="3"/>
  <c r="A110" i="3"/>
  <c r="F109" i="3"/>
  <c r="E109" i="3"/>
  <c r="D109" i="3"/>
  <c r="C109" i="3"/>
  <c r="B109" i="3"/>
  <c r="A109" i="3"/>
  <c r="F108" i="3"/>
  <c r="E108" i="3"/>
  <c r="D108" i="3"/>
  <c r="C108" i="3"/>
  <c r="B108" i="3"/>
  <c r="A108" i="3"/>
  <c r="F107" i="3"/>
  <c r="E107" i="3"/>
  <c r="D107" i="3"/>
  <c r="C107" i="3"/>
  <c r="B107" i="3"/>
  <c r="A107" i="3"/>
  <c r="F106" i="3"/>
  <c r="E106" i="3"/>
  <c r="D106" i="3"/>
  <c r="C106" i="3"/>
  <c r="B106" i="3"/>
  <c r="A106" i="3"/>
  <c r="F105" i="3"/>
  <c r="E105" i="3"/>
  <c r="D105" i="3"/>
  <c r="C105" i="3"/>
  <c r="B105" i="3"/>
  <c r="A105" i="3"/>
  <c r="F104" i="3"/>
  <c r="E104" i="3"/>
  <c r="D104" i="3"/>
  <c r="C104" i="3"/>
  <c r="B104" i="3"/>
  <c r="A104" i="3"/>
  <c r="F103" i="3"/>
  <c r="E103" i="3"/>
  <c r="D103" i="3"/>
  <c r="C103" i="3"/>
  <c r="B103" i="3"/>
  <c r="A103" i="3"/>
  <c r="F102" i="3"/>
  <c r="E102" i="3"/>
  <c r="D102" i="3"/>
  <c r="C102" i="3"/>
  <c r="B102" i="3"/>
  <c r="A102" i="3"/>
  <c r="F101" i="3"/>
  <c r="E101" i="3"/>
  <c r="D101" i="3"/>
  <c r="C101" i="3"/>
  <c r="B101" i="3"/>
  <c r="A101" i="3"/>
  <c r="F100" i="3"/>
  <c r="E100" i="3"/>
  <c r="D100" i="3"/>
  <c r="C100" i="3"/>
  <c r="B100" i="3"/>
  <c r="A100" i="3"/>
  <c r="F99" i="3"/>
  <c r="E99" i="3"/>
  <c r="D99" i="3"/>
  <c r="C99" i="3"/>
  <c r="B99" i="3"/>
  <c r="A99" i="3"/>
  <c r="F98" i="3"/>
  <c r="E98" i="3"/>
  <c r="D98" i="3"/>
  <c r="C98" i="3"/>
  <c r="B98" i="3"/>
  <c r="A98" i="3"/>
  <c r="F97" i="3"/>
  <c r="E97" i="3"/>
  <c r="D97" i="3"/>
  <c r="C97" i="3"/>
  <c r="B97" i="3"/>
  <c r="A97" i="3"/>
  <c r="F96" i="3"/>
  <c r="E96" i="3"/>
  <c r="D96" i="3"/>
  <c r="C96" i="3"/>
  <c r="B96" i="3"/>
  <c r="A96" i="3"/>
  <c r="F95" i="3"/>
  <c r="E95" i="3"/>
  <c r="D95" i="3"/>
  <c r="C95" i="3"/>
  <c r="B95" i="3"/>
  <c r="A95" i="3"/>
  <c r="F94" i="3"/>
  <c r="E94" i="3"/>
  <c r="D94" i="3"/>
  <c r="C94" i="3"/>
  <c r="B94" i="3"/>
  <c r="A94" i="3"/>
  <c r="F93" i="3"/>
  <c r="E93" i="3"/>
  <c r="D93" i="3"/>
  <c r="C93" i="3"/>
  <c r="B93" i="3"/>
  <c r="A93" i="3"/>
  <c r="F92" i="3"/>
  <c r="E92" i="3"/>
  <c r="D92" i="3"/>
  <c r="C92" i="3"/>
  <c r="B92" i="3"/>
  <c r="A92" i="3"/>
  <c r="F91" i="3"/>
  <c r="E91" i="3"/>
  <c r="D91" i="3"/>
  <c r="C91" i="3"/>
  <c r="B91" i="3"/>
  <c r="A91" i="3"/>
  <c r="F90" i="3"/>
  <c r="E90" i="3"/>
  <c r="D90" i="3"/>
  <c r="C90" i="3"/>
  <c r="B90" i="3"/>
  <c r="A90" i="3"/>
  <c r="F89" i="3"/>
  <c r="E89" i="3"/>
  <c r="D89" i="3"/>
  <c r="C89" i="3"/>
  <c r="B89" i="3"/>
  <c r="A89" i="3"/>
  <c r="F88" i="3"/>
  <c r="E88" i="3"/>
  <c r="D88" i="3"/>
  <c r="C88" i="3"/>
  <c r="B88" i="3"/>
  <c r="A88" i="3"/>
  <c r="F87" i="3"/>
  <c r="E87" i="3"/>
  <c r="D87" i="3"/>
  <c r="C87" i="3"/>
  <c r="B87" i="3"/>
  <c r="A87" i="3"/>
  <c r="F86" i="3"/>
  <c r="E86" i="3"/>
  <c r="D86" i="3"/>
  <c r="C86" i="3"/>
  <c r="B86" i="3"/>
  <c r="A86" i="3"/>
  <c r="F85" i="3"/>
  <c r="E85" i="3"/>
  <c r="D85" i="3"/>
  <c r="C85" i="3"/>
  <c r="B85" i="3"/>
  <c r="A85" i="3"/>
  <c r="F84" i="3"/>
  <c r="E84" i="3"/>
  <c r="D84" i="3"/>
  <c r="C84" i="3"/>
  <c r="B84" i="3"/>
  <c r="A84" i="3"/>
  <c r="F83" i="3"/>
  <c r="E83" i="3"/>
  <c r="D83" i="3"/>
  <c r="C83" i="3"/>
  <c r="B83" i="3"/>
  <c r="A83" i="3"/>
  <c r="F82" i="3"/>
  <c r="E82" i="3"/>
  <c r="D82" i="3"/>
  <c r="C82" i="3"/>
  <c r="B82" i="3"/>
  <c r="A82" i="3"/>
  <c r="F81" i="3"/>
  <c r="E81" i="3"/>
  <c r="D81" i="3"/>
  <c r="C81" i="3"/>
  <c r="B81" i="3"/>
  <c r="A81" i="3"/>
  <c r="F80" i="3"/>
  <c r="E80" i="3"/>
  <c r="D80" i="3"/>
  <c r="C80" i="3"/>
  <c r="B80" i="3"/>
  <c r="A80" i="3"/>
  <c r="F79" i="3"/>
  <c r="E79" i="3"/>
  <c r="D79" i="3"/>
  <c r="C79" i="3"/>
  <c r="B79" i="3"/>
  <c r="A79" i="3"/>
  <c r="F78" i="3"/>
  <c r="E78" i="3"/>
  <c r="D78" i="3"/>
  <c r="C78" i="3"/>
  <c r="B78" i="3"/>
  <c r="A78" i="3"/>
  <c r="F77" i="3"/>
  <c r="E77" i="3"/>
  <c r="D77" i="3"/>
  <c r="C77" i="3"/>
  <c r="B77" i="3"/>
  <c r="A77" i="3"/>
  <c r="F76" i="3"/>
  <c r="E76" i="3"/>
  <c r="D76" i="3"/>
  <c r="C76" i="3"/>
  <c r="B76" i="3"/>
  <c r="A76" i="3"/>
  <c r="F75" i="3"/>
  <c r="E75" i="3"/>
  <c r="D75" i="3"/>
  <c r="C75" i="3"/>
  <c r="B75" i="3"/>
  <c r="A75" i="3"/>
  <c r="F74" i="3"/>
  <c r="E74" i="3"/>
  <c r="D74" i="3"/>
  <c r="C74" i="3"/>
  <c r="B74" i="3"/>
  <c r="A74" i="3"/>
  <c r="F73" i="3"/>
  <c r="E73" i="3"/>
  <c r="D73" i="3"/>
  <c r="C73" i="3"/>
  <c r="B73" i="3"/>
  <c r="A73" i="3"/>
  <c r="F72" i="3"/>
  <c r="E72" i="3"/>
  <c r="D72" i="3"/>
  <c r="C72" i="3"/>
  <c r="B72" i="3"/>
  <c r="A72" i="3"/>
  <c r="F71" i="3"/>
  <c r="E71" i="3"/>
  <c r="D71" i="3"/>
  <c r="C71" i="3"/>
  <c r="B71" i="3"/>
  <c r="A71" i="3"/>
  <c r="F70" i="3"/>
  <c r="E70" i="3"/>
  <c r="D70" i="3"/>
  <c r="C70" i="3"/>
  <c r="B70" i="3"/>
  <c r="A70" i="3"/>
  <c r="F69" i="3"/>
  <c r="E69" i="3"/>
  <c r="D69" i="3"/>
  <c r="C69" i="3"/>
  <c r="B69" i="3"/>
  <c r="A69" i="3"/>
  <c r="F68" i="3"/>
  <c r="E68" i="3"/>
  <c r="D68" i="3"/>
  <c r="C68" i="3"/>
  <c r="B68" i="3"/>
  <c r="A68" i="3"/>
  <c r="F67" i="3"/>
  <c r="E67" i="3"/>
  <c r="D67" i="3"/>
  <c r="C67" i="3"/>
  <c r="B67" i="3"/>
  <c r="A67" i="3"/>
  <c r="F66" i="3"/>
  <c r="E66" i="3"/>
  <c r="D66" i="3"/>
  <c r="C66" i="3"/>
  <c r="B66" i="3"/>
  <c r="A66" i="3"/>
  <c r="F65" i="3"/>
  <c r="E65" i="3"/>
  <c r="D65" i="3"/>
  <c r="C65" i="3"/>
  <c r="B65" i="3"/>
  <c r="A65" i="3"/>
  <c r="F64" i="3"/>
  <c r="E64" i="3"/>
  <c r="D64" i="3"/>
  <c r="C64" i="3"/>
  <c r="B64" i="3"/>
  <c r="A64" i="3"/>
  <c r="F63" i="3"/>
  <c r="E63" i="3"/>
  <c r="D63" i="3"/>
  <c r="C63" i="3"/>
  <c r="B63" i="3"/>
  <c r="A63" i="3"/>
  <c r="F62" i="3"/>
  <c r="E62" i="3"/>
  <c r="D62" i="3"/>
  <c r="C62" i="3"/>
  <c r="B62" i="3"/>
  <c r="A62" i="3"/>
  <c r="F61" i="3"/>
  <c r="E61" i="3"/>
  <c r="D61" i="3"/>
  <c r="C61" i="3"/>
  <c r="B61" i="3"/>
  <c r="A61" i="3"/>
  <c r="F60" i="3"/>
  <c r="E60" i="3"/>
  <c r="D60" i="3"/>
  <c r="C60" i="3"/>
  <c r="B60" i="3"/>
  <c r="A60" i="3"/>
  <c r="F59" i="3"/>
  <c r="E59" i="3"/>
  <c r="D59" i="3"/>
  <c r="C59" i="3"/>
  <c r="B59" i="3"/>
  <c r="A59" i="3"/>
  <c r="F58" i="3"/>
  <c r="E58" i="3"/>
  <c r="D58" i="3"/>
  <c r="C58" i="3"/>
  <c r="B58" i="3"/>
  <c r="A58" i="3"/>
  <c r="F57" i="3"/>
  <c r="E57" i="3"/>
  <c r="D57" i="3"/>
  <c r="C57" i="3"/>
  <c r="B57" i="3"/>
  <c r="A57" i="3"/>
  <c r="F56" i="3"/>
  <c r="E56" i="3"/>
  <c r="D56" i="3"/>
  <c r="C56" i="3"/>
  <c r="B56" i="3"/>
  <c r="A56" i="3"/>
  <c r="F55" i="3"/>
  <c r="E55" i="3"/>
  <c r="D55" i="3"/>
  <c r="C55" i="3"/>
  <c r="B55" i="3"/>
  <c r="A55" i="3"/>
  <c r="F54" i="3"/>
  <c r="E54" i="3"/>
  <c r="D54" i="3"/>
  <c r="C54" i="3"/>
  <c r="B54" i="3"/>
  <c r="A54" i="3"/>
  <c r="F53" i="3"/>
  <c r="E53" i="3"/>
  <c r="D53" i="3"/>
  <c r="C53" i="3"/>
  <c r="B53" i="3"/>
  <c r="A53" i="3"/>
  <c r="F52" i="3"/>
  <c r="E52" i="3"/>
  <c r="D52" i="3"/>
  <c r="C52" i="3"/>
  <c r="B52" i="3"/>
  <c r="A52" i="3"/>
  <c r="F51" i="3"/>
  <c r="E51" i="3"/>
  <c r="D51" i="3"/>
  <c r="C51" i="3"/>
  <c r="B51" i="3"/>
  <c r="A51" i="3"/>
  <c r="F50" i="3"/>
  <c r="E50" i="3"/>
  <c r="D50" i="3"/>
  <c r="C50" i="3"/>
  <c r="B50" i="3"/>
  <c r="A50" i="3"/>
  <c r="F49" i="3"/>
  <c r="E49" i="3"/>
  <c r="D49" i="3"/>
  <c r="C49" i="3"/>
  <c r="B49" i="3"/>
  <c r="A49" i="3"/>
  <c r="F48" i="3"/>
  <c r="E48" i="3"/>
  <c r="D48" i="3"/>
  <c r="C48" i="3"/>
  <c r="B48" i="3"/>
  <c r="A48" i="3"/>
  <c r="F47" i="3"/>
  <c r="E47" i="3"/>
  <c r="D47" i="3"/>
  <c r="C47" i="3"/>
  <c r="B47" i="3"/>
  <c r="A47" i="3"/>
  <c r="F46" i="3"/>
  <c r="E46" i="3"/>
  <c r="D46" i="3"/>
  <c r="C46" i="3"/>
  <c r="B46" i="3"/>
  <c r="A46" i="3"/>
  <c r="F45" i="3"/>
  <c r="E45" i="3"/>
  <c r="D45" i="3"/>
  <c r="C45" i="3"/>
  <c r="B45" i="3"/>
  <c r="A45" i="3"/>
  <c r="F44" i="3"/>
  <c r="E44" i="3"/>
  <c r="D44" i="3"/>
  <c r="C44" i="3"/>
  <c r="B44" i="3"/>
  <c r="A44" i="3"/>
  <c r="F43" i="3"/>
  <c r="E43" i="3"/>
  <c r="D43" i="3"/>
  <c r="C43" i="3"/>
  <c r="B43" i="3"/>
  <c r="A43" i="3"/>
  <c r="F42" i="3"/>
  <c r="E42" i="3"/>
  <c r="D42" i="3"/>
  <c r="C42" i="3"/>
  <c r="B42" i="3"/>
  <c r="A42" i="3"/>
  <c r="F41" i="3"/>
  <c r="E41" i="3"/>
  <c r="D41" i="3"/>
  <c r="C41" i="3"/>
  <c r="B41" i="3"/>
  <c r="A41" i="3"/>
  <c r="F40" i="3"/>
  <c r="E40" i="3"/>
  <c r="D40" i="3"/>
  <c r="C40" i="3"/>
  <c r="B40" i="3"/>
  <c r="A40" i="3"/>
  <c r="F39" i="3"/>
  <c r="E39" i="3"/>
  <c r="D39" i="3"/>
  <c r="C39" i="3"/>
  <c r="B39" i="3"/>
  <c r="A39" i="3"/>
  <c r="F38" i="3"/>
  <c r="E38" i="3"/>
  <c r="D38" i="3"/>
  <c r="C38" i="3"/>
  <c r="B38" i="3"/>
  <c r="A38" i="3"/>
  <c r="F37" i="3"/>
  <c r="E37" i="3"/>
  <c r="D37" i="3"/>
  <c r="C37" i="3"/>
  <c r="B37" i="3"/>
  <c r="A37" i="3"/>
  <c r="F36" i="3"/>
  <c r="E36" i="3"/>
  <c r="D36" i="3"/>
  <c r="C36" i="3"/>
  <c r="B36" i="3"/>
  <c r="A36" i="3"/>
  <c r="F35" i="3"/>
  <c r="E35" i="3"/>
  <c r="D35" i="3"/>
  <c r="C35" i="3"/>
  <c r="B35" i="3"/>
  <c r="A35" i="3"/>
  <c r="F34" i="3"/>
  <c r="E34" i="3"/>
  <c r="D34" i="3"/>
  <c r="C34" i="3"/>
  <c r="B34" i="3"/>
  <c r="A34" i="3"/>
  <c r="F33" i="3"/>
  <c r="E33" i="3"/>
  <c r="D33" i="3"/>
  <c r="C33" i="3"/>
  <c r="B33" i="3"/>
  <c r="A33" i="3"/>
  <c r="F32" i="3"/>
  <c r="E32" i="3"/>
  <c r="D32" i="3"/>
  <c r="C32" i="3"/>
  <c r="B32" i="3"/>
  <c r="A32" i="3"/>
  <c r="F31" i="3"/>
  <c r="E31" i="3"/>
  <c r="D31" i="3"/>
  <c r="C31" i="3"/>
  <c r="B31" i="3"/>
  <c r="A31" i="3"/>
  <c r="F30" i="3"/>
  <c r="E30" i="3"/>
  <c r="D30" i="3"/>
  <c r="C30" i="3"/>
  <c r="B30" i="3"/>
  <c r="A30" i="3"/>
  <c r="F29" i="3"/>
  <c r="E29" i="3"/>
  <c r="D29" i="3"/>
  <c r="C29" i="3"/>
  <c r="B29" i="3"/>
  <c r="A29" i="3"/>
  <c r="F28" i="3"/>
  <c r="E28" i="3"/>
  <c r="D28" i="3"/>
  <c r="C28" i="3"/>
  <c r="B28" i="3"/>
  <c r="A28" i="3"/>
  <c r="F27" i="3"/>
  <c r="E27" i="3"/>
  <c r="D27" i="3"/>
  <c r="C27" i="3"/>
  <c r="B27" i="3"/>
  <c r="A27" i="3"/>
  <c r="F26" i="3"/>
  <c r="E26" i="3"/>
  <c r="D26" i="3"/>
  <c r="C26" i="3"/>
  <c r="B26" i="3"/>
  <c r="A26" i="3"/>
  <c r="F25" i="3"/>
  <c r="E25" i="3"/>
  <c r="D25" i="3"/>
  <c r="C25" i="3"/>
  <c r="B25" i="3"/>
  <c r="A25" i="3"/>
  <c r="F24" i="3"/>
  <c r="E24" i="3"/>
  <c r="D24" i="3"/>
  <c r="C24" i="3"/>
  <c r="B24" i="3"/>
  <c r="A24" i="3"/>
  <c r="F23" i="3"/>
  <c r="E23" i="3"/>
  <c r="D23" i="3"/>
  <c r="C23" i="3"/>
  <c r="B23" i="3"/>
  <c r="A23" i="3"/>
  <c r="F22" i="3"/>
  <c r="E22" i="3"/>
  <c r="D22" i="3"/>
  <c r="C22" i="3"/>
  <c r="B22" i="3"/>
  <c r="A22" i="3"/>
  <c r="F21" i="3"/>
  <c r="E21" i="3"/>
  <c r="D21" i="3"/>
  <c r="C21" i="3"/>
  <c r="B21" i="3"/>
  <c r="A21" i="3"/>
  <c r="F20" i="3"/>
  <c r="E20" i="3"/>
  <c r="D20" i="3"/>
  <c r="C20" i="3"/>
  <c r="B20" i="3"/>
  <c r="A20" i="3"/>
  <c r="F19" i="3"/>
  <c r="E19" i="3"/>
  <c r="D19" i="3"/>
  <c r="C19" i="3"/>
  <c r="B19" i="3"/>
  <c r="A19" i="3"/>
  <c r="F18" i="3"/>
  <c r="E18" i="3"/>
  <c r="D18" i="3"/>
  <c r="C18" i="3"/>
  <c r="B18" i="3"/>
  <c r="A18" i="3"/>
  <c r="F17" i="3"/>
  <c r="E17" i="3"/>
  <c r="D17" i="3"/>
  <c r="C17" i="3"/>
  <c r="B17" i="3"/>
  <c r="A17" i="3"/>
  <c r="F16" i="3"/>
  <c r="E16" i="3"/>
  <c r="D16" i="3"/>
  <c r="C16" i="3"/>
  <c r="B16" i="3"/>
  <c r="A16" i="3"/>
  <c r="F15" i="3"/>
  <c r="E15" i="3"/>
  <c r="D15" i="3"/>
  <c r="C15" i="3"/>
  <c r="B15" i="3"/>
  <c r="A15" i="3"/>
  <c r="F14" i="3"/>
  <c r="E14" i="3"/>
  <c r="D14" i="3"/>
  <c r="C14" i="3"/>
  <c r="B14" i="3"/>
  <c r="A14" i="3"/>
  <c r="F13" i="3"/>
  <c r="E13" i="3"/>
  <c r="D13" i="3"/>
  <c r="C13" i="3"/>
  <c r="B13" i="3"/>
  <c r="A13" i="3"/>
  <c r="F12" i="3"/>
  <c r="E12" i="3"/>
  <c r="D12" i="3"/>
  <c r="C12" i="3"/>
  <c r="B12" i="3"/>
  <c r="A12" i="3"/>
  <c r="F11" i="3"/>
  <c r="E11" i="3"/>
  <c r="D11" i="3"/>
  <c r="C11" i="3"/>
  <c r="B11" i="3"/>
  <c r="A11" i="3"/>
  <c r="F10" i="3"/>
  <c r="E10" i="3"/>
  <c r="D10" i="3"/>
  <c r="C10" i="3"/>
  <c r="B10" i="3"/>
  <c r="A10" i="3"/>
  <c r="F9" i="3"/>
  <c r="E9" i="3"/>
  <c r="D9" i="3"/>
  <c r="C9" i="3"/>
  <c r="B9" i="3"/>
  <c r="A9" i="3"/>
  <c r="F8" i="3"/>
  <c r="E8" i="3"/>
  <c r="D8" i="3"/>
  <c r="C8" i="3"/>
  <c r="B8" i="3"/>
  <c r="A8" i="3"/>
  <c r="F7" i="3"/>
  <c r="E7" i="3"/>
  <c r="D7" i="3"/>
  <c r="C7" i="3"/>
  <c r="B7" i="3"/>
  <c r="A7" i="3"/>
  <c r="F6" i="3"/>
  <c r="E6" i="3"/>
  <c r="D6" i="3"/>
  <c r="C6" i="3"/>
  <c r="B6" i="3"/>
  <c r="A6" i="3"/>
  <c r="F5" i="3"/>
  <c r="E5" i="3"/>
  <c r="D5" i="3"/>
  <c r="C5" i="3"/>
  <c r="B5" i="3"/>
  <c r="A5" i="3"/>
  <c r="F4" i="3"/>
  <c r="E4" i="3"/>
  <c r="D4" i="3"/>
  <c r="C4" i="3"/>
  <c r="B4" i="3"/>
  <c r="A4" i="3"/>
  <c r="F3" i="3"/>
  <c r="E3" i="3"/>
  <c r="D3" i="3"/>
  <c r="C3" i="3"/>
  <c r="B3" i="3"/>
  <c r="A3" i="3"/>
  <c r="F2" i="3"/>
  <c r="E2" i="3"/>
  <c r="D2" i="3"/>
  <c r="C2" i="3"/>
  <c r="B2" i="3"/>
  <c r="A2" i="3"/>
  <c r="E1000" i="2"/>
  <c r="E999" i="2"/>
  <c r="E998" i="2"/>
  <c r="E997" i="2"/>
  <c r="E996" i="2"/>
  <c r="E995" i="2"/>
  <c r="E994" i="2"/>
  <c r="E993" i="2"/>
  <c r="E992" i="2"/>
  <c r="E991" i="2"/>
  <c r="E990" i="2"/>
  <c r="E989" i="2"/>
  <c r="E988" i="2"/>
  <c r="E987" i="2"/>
  <c r="E986" i="2"/>
  <c r="E985" i="2"/>
  <c r="E984" i="2"/>
  <c r="E983" i="2"/>
  <c r="E982" i="2"/>
  <c r="E981" i="2"/>
  <c r="E980" i="2"/>
  <c r="E979" i="2"/>
  <c r="E978" i="2"/>
  <c r="E977" i="2"/>
  <c r="E976" i="2"/>
  <c r="E975" i="2"/>
  <c r="E974" i="2"/>
  <c r="E973" i="2"/>
  <c r="E972" i="2"/>
  <c r="E971" i="2"/>
  <c r="E970" i="2"/>
  <c r="E969" i="2"/>
  <c r="E968" i="2"/>
  <c r="E967" i="2"/>
  <c r="E966" i="2"/>
  <c r="E965" i="2"/>
  <c r="E964" i="2"/>
  <c r="E963" i="2"/>
  <c r="E962" i="2"/>
  <c r="E961" i="2"/>
  <c r="E960" i="2"/>
  <c r="E959" i="2"/>
  <c r="E958" i="2"/>
  <c r="E957" i="2"/>
  <c r="E956" i="2"/>
  <c r="E955" i="2"/>
  <c r="E954" i="2"/>
  <c r="E953" i="2"/>
  <c r="E952" i="2"/>
  <c r="E951" i="2"/>
  <c r="E950" i="2"/>
  <c r="E949" i="2"/>
  <c r="E948" i="2"/>
  <c r="E947" i="2"/>
  <c r="E946" i="2"/>
  <c r="E945" i="2"/>
  <c r="E944" i="2"/>
  <c r="E943" i="2"/>
  <c r="E942" i="2"/>
  <c r="E941" i="2"/>
  <c r="E940" i="2"/>
  <c r="E939" i="2"/>
  <c r="E938" i="2"/>
  <c r="E937" i="2"/>
  <c r="E936" i="2"/>
  <c r="E935" i="2"/>
  <c r="E934" i="2"/>
  <c r="E933" i="2"/>
  <c r="E932" i="2"/>
  <c r="E931" i="2"/>
  <c r="E930" i="2"/>
  <c r="E929" i="2"/>
  <c r="E928" i="2"/>
  <c r="E927" i="2"/>
  <c r="E926" i="2"/>
  <c r="E925" i="2"/>
  <c r="E924" i="2"/>
  <c r="E923" i="2"/>
  <c r="E922" i="2"/>
  <c r="E921" i="2"/>
  <c r="E920" i="2"/>
  <c r="E919" i="2"/>
  <c r="E918" i="2"/>
  <c r="E917" i="2"/>
  <c r="E916" i="2"/>
  <c r="E915" i="2"/>
  <c r="E914" i="2"/>
  <c r="E913" i="2"/>
  <c r="E912" i="2"/>
  <c r="E911" i="2"/>
  <c r="E910" i="2"/>
  <c r="E909" i="2"/>
  <c r="E908" i="2"/>
  <c r="E907" i="2"/>
  <c r="E906" i="2"/>
  <c r="E905" i="2"/>
  <c r="E904" i="2"/>
  <c r="E903" i="2"/>
  <c r="E902" i="2"/>
  <c r="E901" i="2"/>
  <c r="E900" i="2"/>
  <c r="E899" i="2"/>
  <c r="E898" i="2"/>
  <c r="E897" i="2"/>
  <c r="E896" i="2"/>
  <c r="E895" i="2"/>
  <c r="E894" i="2"/>
  <c r="E893" i="2"/>
  <c r="E892" i="2"/>
  <c r="E891" i="2"/>
  <c r="E890" i="2"/>
  <c r="E889" i="2"/>
  <c r="E888" i="2"/>
  <c r="E887" i="2"/>
  <c r="E886" i="2"/>
  <c r="E885" i="2"/>
  <c r="E884" i="2"/>
  <c r="E883" i="2"/>
  <c r="E882" i="2"/>
  <c r="E881" i="2"/>
  <c r="E880" i="2"/>
  <c r="E879" i="2"/>
  <c r="E878" i="2"/>
  <c r="E877" i="2"/>
  <c r="E876" i="2"/>
  <c r="E875" i="2"/>
  <c r="E874" i="2"/>
  <c r="E873" i="2"/>
  <c r="E872" i="2"/>
  <c r="E871" i="2"/>
  <c r="E870" i="2"/>
  <c r="E869" i="2"/>
  <c r="E868" i="2"/>
  <c r="E867" i="2"/>
  <c r="E866" i="2"/>
  <c r="E865" i="2"/>
  <c r="E864" i="2"/>
  <c r="E863" i="2"/>
  <c r="E862" i="2"/>
  <c r="E861" i="2"/>
  <c r="E860" i="2"/>
  <c r="E859" i="2"/>
  <c r="E858" i="2"/>
  <c r="E857" i="2"/>
  <c r="E856" i="2"/>
  <c r="E855" i="2"/>
  <c r="E854" i="2"/>
  <c r="E853" i="2"/>
  <c r="E852" i="2"/>
  <c r="E851" i="2"/>
  <c r="E850" i="2"/>
  <c r="E849" i="2"/>
  <c r="E848" i="2"/>
  <c r="E847" i="2"/>
  <c r="E846" i="2"/>
  <c r="E845" i="2"/>
  <c r="E844" i="2"/>
  <c r="E843" i="2"/>
  <c r="E842" i="2"/>
  <c r="E841" i="2"/>
  <c r="E840" i="2"/>
  <c r="E839" i="2"/>
  <c r="E838" i="2"/>
  <c r="E837" i="2"/>
  <c r="E836" i="2"/>
  <c r="E835" i="2"/>
  <c r="E834" i="2"/>
  <c r="E833" i="2"/>
  <c r="E832" i="2"/>
  <c r="E831" i="2"/>
  <c r="E830" i="2"/>
  <c r="E829" i="2"/>
  <c r="E828" i="2"/>
  <c r="E827" i="2"/>
  <c r="E826" i="2"/>
  <c r="E825" i="2"/>
  <c r="E824" i="2"/>
  <c r="E823" i="2"/>
  <c r="E822" i="2"/>
  <c r="E821" i="2"/>
  <c r="E820" i="2"/>
  <c r="E819" i="2"/>
  <c r="E818" i="2"/>
  <c r="E817" i="2"/>
  <c r="E816" i="2"/>
  <c r="E815" i="2"/>
  <c r="E814" i="2"/>
  <c r="E813" i="2"/>
  <c r="E812" i="2"/>
  <c r="E811" i="2"/>
  <c r="E810" i="2"/>
  <c r="E809" i="2"/>
  <c r="E808" i="2"/>
  <c r="E807" i="2"/>
  <c r="E806" i="2"/>
  <c r="E805" i="2"/>
  <c r="E804" i="2"/>
  <c r="E803" i="2"/>
  <c r="E802" i="2"/>
  <c r="E801" i="2"/>
  <c r="E800" i="2"/>
  <c r="E799" i="2"/>
  <c r="E798" i="2"/>
  <c r="E797" i="2"/>
  <c r="E796" i="2"/>
  <c r="E795" i="2"/>
  <c r="E794" i="2"/>
  <c r="E793" i="2"/>
  <c r="E792" i="2"/>
  <c r="E791" i="2"/>
  <c r="E790" i="2"/>
  <c r="E789" i="2"/>
  <c r="E788" i="2"/>
  <c r="E787" i="2"/>
  <c r="E786" i="2"/>
  <c r="E785" i="2"/>
  <c r="E784" i="2"/>
  <c r="E783" i="2"/>
  <c r="E782" i="2"/>
  <c r="E781" i="2"/>
  <c r="E780" i="2"/>
  <c r="E779" i="2"/>
  <c r="E778" i="2"/>
  <c r="E777" i="2"/>
  <c r="E776" i="2"/>
  <c r="E775" i="2"/>
  <c r="E774" i="2"/>
  <c r="E773" i="2"/>
  <c r="E772" i="2"/>
  <c r="E771" i="2"/>
  <c r="E770" i="2"/>
  <c r="E769" i="2"/>
  <c r="E768" i="2"/>
  <c r="E767" i="2"/>
  <c r="E766" i="2"/>
  <c r="E765" i="2"/>
  <c r="E764" i="2"/>
  <c r="E763" i="2"/>
  <c r="E762" i="2"/>
  <c r="E761" i="2"/>
  <c r="E760" i="2"/>
  <c r="E759" i="2"/>
  <c r="E758" i="2"/>
  <c r="E757" i="2"/>
  <c r="E756" i="2"/>
  <c r="E755" i="2"/>
  <c r="E754" i="2"/>
  <c r="E753" i="2"/>
  <c r="E752" i="2"/>
  <c r="E751" i="2"/>
  <c r="E750" i="2"/>
  <c r="E749" i="2"/>
  <c r="E748" i="2"/>
  <c r="E747" i="2"/>
  <c r="E746" i="2"/>
  <c r="E745" i="2"/>
  <c r="E744" i="2"/>
  <c r="E743" i="2"/>
  <c r="E742" i="2"/>
  <c r="E741" i="2"/>
  <c r="E740" i="2"/>
  <c r="E739" i="2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E536" i="2"/>
  <c r="E535" i="2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D405" i="2" s="1"/>
  <c r="B405" i="2"/>
  <c r="A405" i="2"/>
  <c r="E404" i="2"/>
  <c r="D404" i="2" s="1"/>
  <c r="B404" i="2"/>
  <c r="A404" i="2"/>
  <c r="E403" i="2"/>
  <c r="D403" i="2" s="1"/>
  <c r="B403" i="2"/>
  <c r="A403" i="2"/>
  <c r="E402" i="2"/>
  <c r="D402" i="2" s="1"/>
  <c r="B402" i="2"/>
  <c r="A402" i="2"/>
  <c r="E401" i="2"/>
  <c r="D401" i="2" s="1"/>
  <c r="B401" i="2"/>
  <c r="A401" i="2"/>
  <c r="E400" i="2"/>
  <c r="D400" i="2" s="1"/>
  <c r="B400" i="2"/>
  <c r="A400" i="2"/>
  <c r="E399" i="2"/>
  <c r="D399" i="2" s="1"/>
  <c r="B399" i="2"/>
  <c r="A399" i="2"/>
  <c r="E398" i="2"/>
  <c r="D398" i="2" s="1"/>
  <c r="B398" i="2"/>
  <c r="A398" i="2"/>
  <c r="E397" i="2"/>
  <c r="D397" i="2" s="1"/>
  <c r="B397" i="2"/>
  <c r="A397" i="2"/>
  <c r="E396" i="2"/>
  <c r="D396" i="2" s="1"/>
  <c r="B396" i="2"/>
  <c r="A396" i="2"/>
  <c r="E395" i="2"/>
  <c r="D395" i="2" s="1"/>
  <c r="B395" i="2"/>
  <c r="A395" i="2"/>
  <c r="E394" i="2"/>
  <c r="D394" i="2" s="1"/>
  <c r="B394" i="2"/>
  <c r="A394" i="2"/>
  <c r="E393" i="2"/>
  <c r="D393" i="2" s="1"/>
  <c r="B393" i="2"/>
  <c r="A393" i="2"/>
  <c r="E392" i="2"/>
  <c r="D392" i="2" s="1"/>
  <c r="B392" i="2"/>
  <c r="A392" i="2"/>
  <c r="E391" i="2"/>
  <c r="D391" i="2" s="1"/>
  <c r="B391" i="2"/>
  <c r="A391" i="2"/>
  <c r="E390" i="2"/>
  <c r="D390" i="2" s="1"/>
  <c r="B390" i="2"/>
  <c r="A390" i="2"/>
  <c r="E389" i="2"/>
  <c r="D389" i="2" s="1"/>
  <c r="B389" i="2"/>
  <c r="A389" i="2"/>
  <c r="E388" i="2"/>
  <c r="D388" i="2" s="1"/>
  <c r="B388" i="2"/>
  <c r="A388" i="2"/>
  <c r="E387" i="2"/>
  <c r="D387" i="2"/>
  <c r="B387" i="2"/>
  <c r="A387" i="2"/>
  <c r="E386" i="2"/>
  <c r="D386" i="2" s="1"/>
  <c r="B386" i="2"/>
  <c r="A386" i="2"/>
  <c r="E385" i="2"/>
  <c r="D385" i="2" s="1"/>
  <c r="B385" i="2"/>
  <c r="A385" i="2"/>
  <c r="E384" i="2"/>
  <c r="D384" i="2" s="1"/>
  <c r="B384" i="2"/>
  <c r="A384" i="2"/>
  <c r="E383" i="2"/>
  <c r="D383" i="2" s="1"/>
  <c r="B383" i="2"/>
  <c r="A383" i="2"/>
  <c r="E382" i="2"/>
  <c r="D382" i="2" s="1"/>
  <c r="B382" i="2"/>
  <c r="A382" i="2"/>
  <c r="E381" i="2"/>
  <c r="D381" i="2" s="1"/>
  <c r="B381" i="2"/>
  <c r="A381" i="2"/>
  <c r="E380" i="2"/>
  <c r="D380" i="2" s="1"/>
  <c r="B380" i="2"/>
  <c r="A380" i="2"/>
  <c r="E379" i="2"/>
  <c r="D379" i="2" s="1"/>
  <c r="B379" i="2"/>
  <c r="A379" i="2"/>
  <c r="E378" i="2"/>
  <c r="D378" i="2" s="1"/>
  <c r="B378" i="2"/>
  <c r="A378" i="2"/>
  <c r="E377" i="2"/>
  <c r="D377" i="2" s="1"/>
  <c r="B377" i="2"/>
  <c r="A377" i="2"/>
  <c r="E376" i="2"/>
  <c r="D376" i="2" s="1"/>
  <c r="B376" i="2"/>
  <c r="A376" i="2"/>
  <c r="E375" i="2"/>
  <c r="D375" i="2" s="1"/>
  <c r="B375" i="2"/>
  <c r="A375" i="2"/>
  <c r="E374" i="2"/>
  <c r="D374" i="2" s="1"/>
  <c r="B374" i="2"/>
  <c r="A374" i="2"/>
  <c r="E373" i="2"/>
  <c r="D373" i="2" s="1"/>
  <c r="B373" i="2"/>
  <c r="A373" i="2"/>
  <c r="E372" i="2"/>
  <c r="D372" i="2" s="1"/>
  <c r="B372" i="2"/>
  <c r="A372" i="2"/>
  <c r="E371" i="2"/>
  <c r="D371" i="2" s="1"/>
  <c r="B371" i="2"/>
  <c r="A371" i="2"/>
  <c r="E370" i="2"/>
  <c r="D370" i="2" s="1"/>
  <c r="B370" i="2"/>
  <c r="A370" i="2"/>
  <c r="E369" i="2"/>
  <c r="D369" i="2" s="1"/>
  <c r="B369" i="2"/>
  <c r="A369" i="2"/>
  <c r="E368" i="2"/>
  <c r="D368" i="2" s="1"/>
  <c r="B368" i="2"/>
  <c r="A368" i="2"/>
  <c r="E367" i="2"/>
  <c r="D367" i="2" s="1"/>
  <c r="B367" i="2"/>
  <c r="A367" i="2"/>
  <c r="E366" i="2"/>
  <c r="D366" i="2" s="1"/>
  <c r="B366" i="2"/>
  <c r="A366" i="2"/>
  <c r="E365" i="2"/>
  <c r="D365" i="2" s="1"/>
  <c r="B365" i="2"/>
  <c r="A365" i="2"/>
  <c r="E364" i="2"/>
  <c r="D364" i="2" s="1"/>
  <c r="B364" i="2"/>
  <c r="A364" i="2"/>
  <c r="E363" i="2"/>
  <c r="D363" i="2" s="1"/>
  <c r="B363" i="2"/>
  <c r="A363" i="2"/>
  <c r="E362" i="2"/>
  <c r="D362" i="2" s="1"/>
  <c r="B362" i="2"/>
  <c r="A362" i="2"/>
  <c r="E361" i="2"/>
  <c r="D361" i="2" s="1"/>
  <c r="B361" i="2"/>
  <c r="A361" i="2"/>
  <c r="E360" i="2"/>
  <c r="D360" i="2" s="1"/>
  <c r="B360" i="2"/>
  <c r="A360" i="2"/>
  <c r="E359" i="2"/>
  <c r="D359" i="2" s="1"/>
  <c r="B359" i="2"/>
  <c r="A359" i="2"/>
  <c r="E358" i="2"/>
  <c r="D358" i="2" s="1"/>
  <c r="B358" i="2"/>
  <c r="A358" i="2"/>
  <c r="E357" i="2"/>
  <c r="D357" i="2" s="1"/>
  <c r="B357" i="2"/>
  <c r="A357" i="2"/>
  <c r="E356" i="2"/>
  <c r="D356" i="2" s="1"/>
  <c r="B356" i="2"/>
  <c r="A356" i="2"/>
  <c r="E355" i="2"/>
  <c r="D355" i="2" s="1"/>
  <c r="B355" i="2"/>
  <c r="A355" i="2"/>
  <c r="E354" i="2"/>
  <c r="D354" i="2" s="1"/>
  <c r="B354" i="2"/>
  <c r="A354" i="2"/>
  <c r="E353" i="2"/>
  <c r="D353" i="2" s="1"/>
  <c r="B353" i="2"/>
  <c r="A353" i="2"/>
  <c r="E352" i="2"/>
  <c r="D352" i="2" s="1"/>
  <c r="B352" i="2"/>
  <c r="A352" i="2"/>
  <c r="E351" i="2"/>
  <c r="D351" i="2" s="1"/>
  <c r="B351" i="2"/>
  <c r="A351" i="2"/>
  <c r="E350" i="2"/>
  <c r="D350" i="2" s="1"/>
  <c r="B350" i="2"/>
  <c r="A350" i="2"/>
  <c r="E349" i="2"/>
  <c r="D349" i="2" s="1"/>
  <c r="B349" i="2"/>
  <c r="A349" i="2"/>
  <c r="E348" i="2"/>
  <c r="D348" i="2" s="1"/>
  <c r="B348" i="2"/>
  <c r="A348" i="2"/>
  <c r="E347" i="2"/>
  <c r="D347" i="2" s="1"/>
  <c r="B347" i="2"/>
  <c r="A347" i="2"/>
  <c r="E346" i="2"/>
  <c r="D346" i="2" s="1"/>
  <c r="B346" i="2"/>
  <c r="A346" i="2"/>
  <c r="E345" i="2"/>
  <c r="D345" i="2" s="1"/>
  <c r="B345" i="2"/>
  <c r="A345" i="2"/>
  <c r="E344" i="2"/>
  <c r="D344" i="2" s="1"/>
  <c r="B344" i="2"/>
  <c r="A344" i="2"/>
  <c r="E343" i="2"/>
  <c r="D343" i="2" s="1"/>
  <c r="B343" i="2"/>
  <c r="A343" i="2"/>
  <c r="E342" i="2"/>
  <c r="D342" i="2" s="1"/>
  <c r="B342" i="2"/>
  <c r="A342" i="2"/>
  <c r="E341" i="2"/>
  <c r="D341" i="2" s="1"/>
  <c r="B341" i="2"/>
  <c r="A341" i="2"/>
  <c r="E340" i="2"/>
  <c r="D340" i="2" s="1"/>
  <c r="B340" i="2"/>
  <c r="A340" i="2"/>
  <c r="E339" i="2"/>
  <c r="D339" i="2" s="1"/>
  <c r="B339" i="2"/>
  <c r="A339" i="2"/>
  <c r="E338" i="2"/>
  <c r="D338" i="2" s="1"/>
  <c r="B338" i="2"/>
  <c r="A338" i="2"/>
  <c r="E337" i="2"/>
  <c r="D337" i="2" s="1"/>
  <c r="B337" i="2"/>
  <c r="A337" i="2"/>
  <c r="E336" i="2"/>
  <c r="D336" i="2" s="1"/>
  <c r="B336" i="2"/>
  <c r="A336" i="2"/>
  <c r="E335" i="2"/>
  <c r="D335" i="2" s="1"/>
  <c r="B335" i="2"/>
  <c r="A335" i="2"/>
  <c r="E334" i="2"/>
  <c r="D334" i="2" s="1"/>
  <c r="B334" i="2"/>
  <c r="A334" i="2"/>
  <c r="E333" i="2"/>
  <c r="D333" i="2" s="1"/>
  <c r="B333" i="2"/>
  <c r="A333" i="2"/>
  <c r="E332" i="2"/>
  <c r="D332" i="2" s="1"/>
  <c r="B332" i="2"/>
  <c r="A332" i="2"/>
  <c r="E331" i="2"/>
  <c r="D331" i="2" s="1"/>
  <c r="B331" i="2"/>
  <c r="A331" i="2"/>
  <c r="E330" i="2"/>
  <c r="D330" i="2" s="1"/>
  <c r="B330" i="2"/>
  <c r="A330" i="2"/>
  <c r="E329" i="2"/>
  <c r="D329" i="2" s="1"/>
  <c r="B329" i="2"/>
  <c r="A329" i="2"/>
  <c r="E328" i="2"/>
  <c r="D328" i="2" s="1"/>
  <c r="B328" i="2"/>
  <c r="A328" i="2"/>
  <c r="E327" i="2"/>
  <c r="D327" i="2" s="1"/>
  <c r="B327" i="2"/>
  <c r="A327" i="2"/>
  <c r="E326" i="2"/>
  <c r="D326" i="2" s="1"/>
  <c r="B326" i="2"/>
  <c r="A326" i="2"/>
  <c r="E325" i="2"/>
  <c r="D325" i="2" s="1"/>
  <c r="B325" i="2"/>
  <c r="A325" i="2"/>
  <c r="E324" i="2"/>
  <c r="D324" i="2" s="1"/>
  <c r="B324" i="2"/>
  <c r="A324" i="2"/>
  <c r="E323" i="2"/>
  <c r="D323" i="2" s="1"/>
  <c r="B323" i="2"/>
  <c r="A323" i="2"/>
  <c r="E322" i="2"/>
  <c r="D322" i="2" s="1"/>
  <c r="B322" i="2"/>
  <c r="A322" i="2"/>
  <c r="E321" i="2"/>
  <c r="D321" i="2" s="1"/>
  <c r="B321" i="2"/>
  <c r="A321" i="2"/>
  <c r="E320" i="2"/>
  <c r="D320" i="2" s="1"/>
  <c r="B320" i="2"/>
  <c r="A320" i="2"/>
  <c r="E319" i="2"/>
  <c r="D319" i="2" s="1"/>
  <c r="B319" i="2"/>
  <c r="A319" i="2"/>
  <c r="E318" i="2"/>
  <c r="D318" i="2" s="1"/>
  <c r="B318" i="2"/>
  <c r="A318" i="2"/>
  <c r="E317" i="2"/>
  <c r="D317" i="2" s="1"/>
  <c r="B317" i="2"/>
  <c r="A317" i="2"/>
  <c r="E316" i="2"/>
  <c r="D316" i="2" s="1"/>
  <c r="B316" i="2"/>
  <c r="A316" i="2"/>
  <c r="E315" i="2"/>
  <c r="D315" i="2" s="1"/>
  <c r="B315" i="2"/>
  <c r="A315" i="2"/>
  <c r="E314" i="2"/>
  <c r="D314" i="2" s="1"/>
  <c r="B314" i="2"/>
  <c r="A314" i="2"/>
  <c r="E313" i="2"/>
  <c r="D313" i="2" s="1"/>
  <c r="B313" i="2"/>
  <c r="A313" i="2"/>
  <c r="E312" i="2"/>
  <c r="D312" i="2" s="1"/>
  <c r="B312" i="2"/>
  <c r="A312" i="2"/>
  <c r="E311" i="2"/>
  <c r="D311" i="2" s="1"/>
  <c r="B311" i="2"/>
  <c r="A311" i="2"/>
  <c r="E310" i="2"/>
  <c r="D310" i="2" s="1"/>
  <c r="B310" i="2"/>
  <c r="A310" i="2"/>
  <c r="E309" i="2"/>
  <c r="D309" i="2" s="1"/>
  <c r="B309" i="2"/>
  <c r="A309" i="2"/>
  <c r="E308" i="2"/>
  <c r="D308" i="2" s="1"/>
  <c r="B308" i="2"/>
  <c r="A308" i="2"/>
  <c r="E307" i="2"/>
  <c r="D307" i="2" s="1"/>
  <c r="B307" i="2"/>
  <c r="A307" i="2"/>
  <c r="E306" i="2"/>
  <c r="D306" i="2" s="1"/>
  <c r="B306" i="2"/>
  <c r="A306" i="2"/>
  <c r="E305" i="2"/>
  <c r="D305" i="2" s="1"/>
  <c r="B305" i="2"/>
  <c r="A305" i="2"/>
  <c r="E304" i="2"/>
  <c r="D304" i="2" s="1"/>
  <c r="B304" i="2"/>
  <c r="A304" i="2"/>
  <c r="E303" i="2"/>
  <c r="D303" i="2" s="1"/>
  <c r="B303" i="2"/>
  <c r="A303" i="2"/>
  <c r="E302" i="2"/>
  <c r="D302" i="2" s="1"/>
  <c r="B302" i="2"/>
  <c r="A302" i="2"/>
  <c r="E301" i="2"/>
  <c r="D301" i="2" s="1"/>
  <c r="B301" i="2"/>
  <c r="A301" i="2"/>
  <c r="E300" i="2"/>
  <c r="D300" i="2" s="1"/>
  <c r="B300" i="2"/>
  <c r="A300" i="2"/>
  <c r="E299" i="2"/>
  <c r="D299" i="2" s="1"/>
  <c r="B299" i="2"/>
  <c r="A299" i="2"/>
  <c r="E298" i="2"/>
  <c r="D298" i="2" s="1"/>
  <c r="B298" i="2"/>
  <c r="A298" i="2"/>
  <c r="E297" i="2"/>
  <c r="D297" i="2" s="1"/>
  <c r="B297" i="2"/>
  <c r="A297" i="2"/>
  <c r="E296" i="2"/>
  <c r="D296" i="2" s="1"/>
  <c r="B296" i="2"/>
  <c r="A296" i="2"/>
  <c r="E295" i="2"/>
  <c r="D295" i="2" s="1"/>
  <c r="B295" i="2"/>
  <c r="A295" i="2"/>
  <c r="E294" i="2"/>
  <c r="D294" i="2" s="1"/>
  <c r="B294" i="2"/>
  <c r="A294" i="2"/>
  <c r="E293" i="2"/>
  <c r="D293" i="2" s="1"/>
  <c r="B293" i="2"/>
  <c r="A293" i="2"/>
  <c r="E292" i="2"/>
  <c r="D292" i="2" s="1"/>
  <c r="B292" i="2"/>
  <c r="A292" i="2"/>
  <c r="E291" i="2"/>
  <c r="D291" i="2" s="1"/>
  <c r="B291" i="2"/>
  <c r="A291" i="2"/>
  <c r="E290" i="2"/>
  <c r="D290" i="2" s="1"/>
  <c r="B290" i="2"/>
  <c r="A290" i="2"/>
  <c r="E289" i="2"/>
  <c r="D289" i="2" s="1"/>
  <c r="B289" i="2"/>
  <c r="A289" i="2"/>
  <c r="E288" i="2"/>
  <c r="D288" i="2" s="1"/>
  <c r="B288" i="2"/>
  <c r="A288" i="2"/>
  <c r="E287" i="2"/>
  <c r="D287" i="2" s="1"/>
  <c r="B287" i="2"/>
  <c r="A287" i="2"/>
  <c r="E286" i="2"/>
  <c r="D286" i="2" s="1"/>
  <c r="B286" i="2"/>
  <c r="A286" i="2"/>
  <c r="E285" i="2"/>
  <c r="D285" i="2" s="1"/>
  <c r="B285" i="2"/>
  <c r="A285" i="2"/>
  <c r="E284" i="2"/>
  <c r="D284" i="2" s="1"/>
  <c r="B284" i="2"/>
  <c r="A284" i="2"/>
  <c r="E283" i="2"/>
  <c r="D283" i="2" s="1"/>
  <c r="B283" i="2"/>
  <c r="A283" i="2"/>
  <c r="E282" i="2"/>
  <c r="D282" i="2" s="1"/>
  <c r="B282" i="2"/>
  <c r="A282" i="2"/>
  <c r="E281" i="2"/>
  <c r="D281" i="2" s="1"/>
  <c r="B281" i="2"/>
  <c r="A281" i="2"/>
  <c r="E280" i="2"/>
  <c r="D280" i="2" s="1"/>
  <c r="B280" i="2"/>
  <c r="A280" i="2"/>
  <c r="E279" i="2"/>
  <c r="D279" i="2" s="1"/>
  <c r="B279" i="2"/>
  <c r="A279" i="2"/>
  <c r="E278" i="2"/>
  <c r="D278" i="2" s="1"/>
  <c r="B278" i="2"/>
  <c r="A278" i="2"/>
  <c r="E277" i="2"/>
  <c r="D277" i="2" s="1"/>
  <c r="B277" i="2"/>
  <c r="A277" i="2"/>
  <c r="E276" i="2"/>
  <c r="D276" i="2" s="1"/>
  <c r="B276" i="2"/>
  <c r="A276" i="2"/>
  <c r="E275" i="2"/>
  <c r="D275" i="2" s="1"/>
  <c r="B275" i="2"/>
  <c r="A275" i="2"/>
  <c r="E274" i="2"/>
  <c r="D274" i="2" s="1"/>
  <c r="B274" i="2"/>
  <c r="A274" i="2"/>
  <c r="E273" i="2"/>
  <c r="D273" i="2" s="1"/>
  <c r="B273" i="2"/>
  <c r="A273" i="2"/>
  <c r="E272" i="2"/>
  <c r="D272" i="2" s="1"/>
  <c r="B272" i="2"/>
  <c r="A272" i="2"/>
  <c r="E271" i="2"/>
  <c r="D271" i="2" s="1"/>
  <c r="B271" i="2"/>
  <c r="A271" i="2"/>
  <c r="E270" i="2"/>
  <c r="D270" i="2" s="1"/>
  <c r="B270" i="2"/>
  <c r="A270" i="2"/>
  <c r="E269" i="2"/>
  <c r="D269" i="2" s="1"/>
  <c r="B269" i="2"/>
  <c r="A269" i="2"/>
  <c r="E268" i="2"/>
  <c r="D268" i="2" s="1"/>
  <c r="B268" i="2"/>
  <c r="A268" i="2"/>
  <c r="E267" i="2"/>
  <c r="D267" i="2" s="1"/>
  <c r="B267" i="2"/>
  <c r="A267" i="2"/>
  <c r="E266" i="2"/>
  <c r="D266" i="2" s="1"/>
  <c r="B266" i="2"/>
  <c r="A266" i="2"/>
  <c r="E265" i="2"/>
  <c r="D265" i="2" s="1"/>
  <c r="B265" i="2"/>
  <c r="A265" i="2"/>
  <c r="E264" i="2"/>
  <c r="D264" i="2" s="1"/>
  <c r="B264" i="2"/>
  <c r="A264" i="2"/>
  <c r="E263" i="2"/>
  <c r="D263" i="2" s="1"/>
  <c r="B263" i="2"/>
  <c r="A263" i="2"/>
  <c r="E262" i="2"/>
  <c r="D262" i="2" s="1"/>
  <c r="B262" i="2"/>
  <c r="A262" i="2"/>
  <c r="E261" i="2"/>
  <c r="D261" i="2" s="1"/>
  <c r="B261" i="2"/>
  <c r="A261" i="2"/>
  <c r="E260" i="2"/>
  <c r="D260" i="2" s="1"/>
  <c r="B260" i="2"/>
  <c r="A260" i="2"/>
  <c r="E259" i="2"/>
  <c r="D259" i="2" s="1"/>
  <c r="B259" i="2"/>
  <c r="A259" i="2"/>
  <c r="E258" i="2"/>
  <c r="D258" i="2" s="1"/>
  <c r="B258" i="2"/>
  <c r="A258" i="2"/>
  <c r="E257" i="2"/>
  <c r="D257" i="2" s="1"/>
  <c r="B257" i="2"/>
  <c r="A257" i="2"/>
  <c r="E256" i="2"/>
  <c r="D256" i="2" s="1"/>
  <c r="B256" i="2"/>
  <c r="A256" i="2"/>
  <c r="E255" i="2"/>
  <c r="D255" i="2" s="1"/>
  <c r="B255" i="2"/>
  <c r="A255" i="2"/>
  <c r="E254" i="2"/>
  <c r="D254" i="2" s="1"/>
  <c r="B254" i="2"/>
  <c r="A254" i="2"/>
  <c r="E253" i="2"/>
  <c r="D253" i="2" s="1"/>
  <c r="B253" i="2"/>
  <c r="A253" i="2"/>
  <c r="E252" i="2"/>
  <c r="D252" i="2" s="1"/>
  <c r="B252" i="2"/>
  <c r="A252" i="2"/>
  <c r="E251" i="2"/>
  <c r="D251" i="2" s="1"/>
  <c r="B251" i="2"/>
  <c r="A251" i="2"/>
  <c r="E250" i="2"/>
  <c r="D250" i="2" s="1"/>
  <c r="B250" i="2"/>
  <c r="A250" i="2"/>
  <c r="E249" i="2"/>
  <c r="D249" i="2" s="1"/>
  <c r="B249" i="2"/>
  <c r="A249" i="2"/>
  <c r="E248" i="2"/>
  <c r="D248" i="2" s="1"/>
  <c r="B248" i="2"/>
  <c r="A248" i="2"/>
  <c r="E247" i="2"/>
  <c r="D247" i="2" s="1"/>
  <c r="B247" i="2"/>
  <c r="A247" i="2"/>
  <c r="E246" i="2"/>
  <c r="D246" i="2" s="1"/>
  <c r="B246" i="2"/>
  <c r="A246" i="2"/>
  <c r="E245" i="2"/>
  <c r="D245" i="2" s="1"/>
  <c r="B245" i="2"/>
  <c r="A245" i="2"/>
  <c r="E244" i="2"/>
  <c r="D244" i="2" s="1"/>
  <c r="B244" i="2"/>
  <c r="A244" i="2"/>
  <c r="E243" i="2"/>
  <c r="D243" i="2" s="1"/>
  <c r="B243" i="2"/>
  <c r="A243" i="2"/>
  <c r="E242" i="2"/>
  <c r="D242" i="2" s="1"/>
  <c r="B242" i="2"/>
  <c r="A242" i="2"/>
  <c r="E241" i="2"/>
  <c r="D241" i="2" s="1"/>
  <c r="B241" i="2"/>
  <c r="A241" i="2"/>
  <c r="E240" i="2"/>
  <c r="D240" i="2" s="1"/>
  <c r="B240" i="2"/>
  <c r="A240" i="2"/>
  <c r="E239" i="2"/>
  <c r="D239" i="2" s="1"/>
  <c r="B239" i="2"/>
  <c r="A239" i="2"/>
  <c r="E238" i="2"/>
  <c r="D238" i="2" s="1"/>
  <c r="B238" i="2"/>
  <c r="A238" i="2"/>
  <c r="E237" i="2"/>
  <c r="D237" i="2" s="1"/>
  <c r="B237" i="2"/>
  <c r="A237" i="2"/>
  <c r="E236" i="2"/>
  <c r="D236" i="2" s="1"/>
  <c r="B236" i="2"/>
  <c r="A236" i="2"/>
  <c r="E235" i="2"/>
  <c r="D235" i="2" s="1"/>
  <c r="B235" i="2"/>
  <c r="A235" i="2"/>
  <c r="E234" i="2"/>
  <c r="D234" i="2" s="1"/>
  <c r="B234" i="2"/>
  <c r="A234" i="2"/>
  <c r="E233" i="2"/>
  <c r="D233" i="2" s="1"/>
  <c r="B233" i="2"/>
  <c r="A233" i="2"/>
  <c r="E232" i="2"/>
  <c r="D232" i="2" s="1"/>
  <c r="B232" i="2"/>
  <c r="A232" i="2"/>
  <c r="E231" i="2"/>
  <c r="D231" i="2" s="1"/>
  <c r="B231" i="2"/>
  <c r="A231" i="2"/>
  <c r="E230" i="2"/>
  <c r="D230" i="2" s="1"/>
  <c r="B230" i="2"/>
  <c r="A230" i="2"/>
  <c r="E229" i="2"/>
  <c r="D229" i="2" s="1"/>
  <c r="B229" i="2"/>
  <c r="A229" i="2"/>
  <c r="E228" i="2"/>
  <c r="D228" i="2" s="1"/>
  <c r="B228" i="2"/>
  <c r="A228" i="2"/>
  <c r="E227" i="2"/>
  <c r="D227" i="2" s="1"/>
  <c r="B227" i="2"/>
  <c r="A227" i="2"/>
  <c r="E226" i="2"/>
  <c r="D226" i="2" s="1"/>
  <c r="A226" i="2"/>
  <c r="A450" i="5" s="1" a="1"/>
  <c r="A450" i="5" s="1"/>
  <c r="E225" i="2"/>
  <c r="D225" i="2" s="1"/>
  <c r="A225" i="2"/>
  <c r="A447" i="5" s="1" a="1"/>
  <c r="A447" i="5" s="1"/>
  <c r="E224" i="2"/>
  <c r="D224" i="2" s="1"/>
  <c r="A224" i="2"/>
  <c r="E223" i="2"/>
  <c r="D223" i="2" s="1"/>
  <c r="A223" i="2"/>
  <c r="E222" i="2"/>
  <c r="D222" i="2" s="1"/>
  <c r="A222" i="2"/>
  <c r="E221" i="2"/>
  <c r="D221" i="2" s="1"/>
  <c r="A221" i="2"/>
  <c r="E220" i="2"/>
  <c r="D220" i="2" s="1"/>
  <c r="A220" i="2"/>
  <c r="E219" i="2"/>
  <c r="D219" i="2" s="1"/>
  <c r="A219" i="2"/>
  <c r="E218" i="2"/>
  <c r="D218" i="2" s="1"/>
  <c r="A218" i="2"/>
  <c r="E217" i="2"/>
  <c r="D217" i="2" s="1"/>
  <c r="A217" i="2"/>
  <c r="A423" i="5" s="1" a="1"/>
  <c r="A423" i="5" s="1"/>
  <c r="E216" i="2"/>
  <c r="D216" i="2" s="1"/>
  <c r="A216" i="2"/>
  <c r="A1111" i="5" s="1" a="1"/>
  <c r="A1111" i="5" s="1"/>
  <c r="E215" i="2"/>
  <c r="D215" i="2" s="1"/>
  <c r="A215" i="2"/>
  <c r="E214" i="2"/>
  <c r="D214" i="2" s="1"/>
  <c r="A214" i="2"/>
  <c r="E213" i="2"/>
  <c r="D213" i="2" s="1"/>
  <c r="A213" i="2"/>
  <c r="E212" i="2"/>
  <c r="D212" i="2" s="1"/>
  <c r="A212" i="2"/>
  <c r="E211" i="2"/>
  <c r="D211" i="2" s="1"/>
  <c r="A211" i="2"/>
  <c r="E210" i="2"/>
  <c r="D210" i="2" s="1"/>
  <c r="A210" i="2"/>
  <c r="E209" i="2"/>
  <c r="D209" i="2" s="1"/>
  <c r="A209" i="2"/>
  <c r="A399" i="5" s="1" a="1"/>
  <c r="A399" i="5" s="1"/>
  <c r="E208" i="2"/>
  <c r="D208" i="2" s="1"/>
  <c r="A208" i="2"/>
  <c r="A397" i="5" s="1" a="1"/>
  <c r="A397" i="5" s="1"/>
  <c r="E207" i="2"/>
  <c r="D207" i="2" s="1"/>
  <c r="A207" i="2"/>
  <c r="E206" i="2"/>
  <c r="D206" i="2" s="1"/>
  <c r="A206" i="2"/>
  <c r="A1468" i="5" s="1" a="1"/>
  <c r="A1468" i="5" s="1"/>
  <c r="E205" i="2"/>
  <c r="D205" i="2" s="1"/>
  <c r="A205" i="2"/>
  <c r="A319" i="5" s="1" a="1"/>
  <c r="A319" i="5" s="1"/>
  <c r="E204" i="2"/>
  <c r="D204" i="2" s="1"/>
  <c r="A204" i="2"/>
  <c r="E203" i="2"/>
  <c r="D203" i="2" s="1"/>
  <c r="A203" i="2"/>
  <c r="A131" i="5" s="1" a="1"/>
  <c r="A131" i="5" s="1"/>
  <c r="E202" i="2"/>
  <c r="D202" i="2" s="1"/>
  <c r="A202" i="2"/>
  <c r="E201" i="2"/>
  <c r="D201" i="2" s="1"/>
  <c r="A201" i="2"/>
  <c r="E200" i="2"/>
  <c r="D200" i="2" s="1"/>
  <c r="A200" i="2"/>
  <c r="E199" i="2"/>
  <c r="D199" i="2" s="1"/>
  <c r="A199" i="2"/>
  <c r="E198" i="2"/>
  <c r="D198" i="2" s="1"/>
  <c r="A198" i="2"/>
  <c r="A268" i="5" s="1" a="1"/>
  <c r="A268" i="5" s="1"/>
  <c r="E197" i="2"/>
  <c r="D197" i="2" s="1"/>
  <c r="A197" i="2"/>
  <c r="A140" i="5" s="1" a="1"/>
  <c r="A140" i="5" s="1"/>
  <c r="E196" i="2"/>
  <c r="D196" i="2" s="1"/>
  <c r="A196" i="2"/>
  <c r="A24" i="5" s="1" a="1"/>
  <c r="A24" i="5" s="1"/>
  <c r="E195" i="2"/>
  <c r="D195" i="2" s="1"/>
  <c r="A195" i="2"/>
  <c r="A418" i="5" s="1" a="1"/>
  <c r="A418" i="5" s="1"/>
  <c r="E194" i="2"/>
  <c r="D194" i="2" s="1"/>
  <c r="A194" i="2"/>
  <c r="E193" i="2"/>
  <c r="D193" i="2" s="1"/>
  <c r="A193" i="2"/>
  <c r="A32" i="5" s="1" a="1"/>
  <c r="A32" i="5" s="1"/>
  <c r="E192" i="2"/>
  <c r="D192" i="2" s="1"/>
  <c r="A192" i="2"/>
  <c r="A130" i="5" s="1" a="1"/>
  <c r="A130" i="5" s="1"/>
  <c r="E191" i="2"/>
  <c r="D191" i="2" s="1"/>
  <c r="A191" i="2"/>
  <c r="E190" i="2"/>
  <c r="D190" i="2" s="1"/>
  <c r="A190" i="2"/>
  <c r="A292" i="5" s="1" a="1"/>
  <c r="A292" i="5" s="1"/>
  <c r="E189" i="2"/>
  <c r="D189" i="2" s="1"/>
  <c r="A189" i="2"/>
  <c r="E188" i="2"/>
  <c r="D188" i="2" s="1"/>
  <c r="A188" i="2"/>
  <c r="A233" i="5" s="1" a="1"/>
  <c r="A233" i="5" s="1"/>
  <c r="E187" i="2"/>
  <c r="D187" i="2" s="1"/>
  <c r="A187" i="2"/>
  <c r="A12" i="5" s="1" a="1"/>
  <c r="A12" i="5" s="1"/>
  <c r="E186" i="2"/>
  <c r="D186" i="2" s="1"/>
  <c r="A186" i="2"/>
  <c r="E185" i="2"/>
  <c r="D185" i="2" s="1"/>
  <c r="A185" i="2"/>
  <c r="E184" i="2"/>
  <c r="D184" i="2" s="1"/>
  <c r="A184" i="2"/>
  <c r="E183" i="2"/>
  <c r="D183" i="2" s="1"/>
  <c r="A183" i="2"/>
  <c r="A27" i="5" s="1" a="1"/>
  <c r="A27" i="5" s="1"/>
  <c r="E182" i="2"/>
  <c r="D182" i="2" s="1"/>
  <c r="A182" i="2"/>
  <c r="A64" i="5" s="1" a="1"/>
  <c r="A64" i="5" s="1"/>
  <c r="E181" i="2"/>
  <c r="D181" i="2" s="1"/>
  <c r="A181" i="2"/>
  <c r="E180" i="2"/>
  <c r="D180" i="2" s="1"/>
  <c r="A180" i="2"/>
  <c r="A223" i="5" s="1" a="1"/>
  <c r="A223" i="5" s="1"/>
  <c r="E179" i="2"/>
  <c r="D179" i="2" s="1"/>
  <c r="A179" i="2"/>
  <c r="A122" i="5" s="1" a="1"/>
  <c r="A122" i="5" s="1"/>
  <c r="E178" i="2"/>
  <c r="D178" i="2" s="1"/>
  <c r="A178" i="2"/>
  <c r="A237" i="5" s="1" a="1"/>
  <c r="A237" i="5" s="1"/>
  <c r="E177" i="2"/>
  <c r="D177" i="2" s="1"/>
  <c r="A177" i="2"/>
  <c r="A39" i="5" s="1" a="1"/>
  <c r="A39" i="5" s="1"/>
  <c r="E176" i="2"/>
  <c r="D176" i="2" s="1"/>
  <c r="A176" i="2"/>
  <c r="A836" i="5" s="1" a="1"/>
  <c r="A836" i="5" s="1"/>
  <c r="E175" i="2"/>
  <c r="D175" i="2" s="1"/>
  <c r="A175" i="2"/>
  <c r="A114" i="5" s="1" a="1"/>
  <c r="A114" i="5" s="1"/>
  <c r="E174" i="2"/>
  <c r="D174" i="2" s="1"/>
  <c r="A174" i="2"/>
  <c r="E173" i="2"/>
  <c r="D173" i="2" s="1"/>
  <c r="A173" i="2"/>
  <c r="E172" i="2"/>
  <c r="D172" i="2" s="1"/>
  <c r="A172" i="2"/>
  <c r="A1061" i="5" s="1" a="1"/>
  <c r="A1061" i="5" s="1"/>
  <c r="E171" i="2"/>
  <c r="D171" i="2" s="1"/>
  <c r="A171" i="2"/>
  <c r="E170" i="2"/>
  <c r="D170" i="2" s="1"/>
  <c r="A170" i="2"/>
  <c r="E169" i="2"/>
  <c r="D169" i="2" s="1"/>
  <c r="A169" i="2"/>
  <c r="E168" i="2"/>
  <c r="D168" i="2" s="1"/>
  <c r="A168" i="2"/>
  <c r="A175" i="5" s="1" a="1"/>
  <c r="A175" i="5" s="1"/>
  <c r="E167" i="2"/>
  <c r="D167" i="2" s="1"/>
  <c r="A167" i="2"/>
  <c r="E166" i="2"/>
  <c r="D166" i="2" s="1"/>
  <c r="A166" i="2"/>
  <c r="A230" i="5" s="1" a="1"/>
  <c r="A230" i="5" s="1"/>
  <c r="E165" i="2"/>
  <c r="D165" i="2" s="1"/>
  <c r="A165" i="2"/>
  <c r="A105" i="5" s="1" a="1"/>
  <c r="A105" i="5" s="1"/>
  <c r="E164" i="2"/>
  <c r="D164" i="2" s="1"/>
  <c r="A164" i="2"/>
  <c r="A326" i="5" s="1" a="1"/>
  <c r="A326" i="5" s="1"/>
  <c r="E163" i="2"/>
  <c r="D163" i="2" s="1"/>
  <c r="A163" i="2"/>
  <c r="E162" i="2"/>
  <c r="D162" i="2" s="1"/>
  <c r="A162" i="2"/>
  <c r="E161" i="2"/>
  <c r="D161" i="2" s="1"/>
  <c r="A161" i="2"/>
  <c r="E160" i="2"/>
  <c r="D160" i="2" s="1"/>
  <c r="A160" i="2"/>
  <c r="A53" i="5" s="1" a="1"/>
  <c r="A53" i="5" s="1"/>
  <c r="E159" i="2"/>
  <c r="D159" i="2" s="1"/>
  <c r="A159" i="2"/>
  <c r="E158" i="2"/>
  <c r="D158" i="2" s="1"/>
  <c r="A158" i="2"/>
  <c r="E157" i="2"/>
  <c r="D157" i="2" s="1"/>
  <c r="A157" i="2"/>
  <c r="E156" i="2"/>
  <c r="D156" i="2" s="1"/>
  <c r="A156" i="2"/>
  <c r="A76" i="5" s="1" a="1"/>
  <c r="A76" i="5" s="1"/>
  <c r="E155" i="2"/>
  <c r="D155" i="2" s="1"/>
  <c r="A155" i="2"/>
  <c r="E154" i="2"/>
  <c r="D154" i="2" s="1"/>
  <c r="A154" i="2"/>
  <c r="E153" i="2"/>
  <c r="D153" i="2" s="1"/>
  <c r="A153" i="2"/>
  <c r="A66" i="5" s="1" a="1"/>
  <c r="A66" i="5" s="1"/>
  <c r="E152" i="2"/>
  <c r="D152" i="2" s="1"/>
  <c r="A152" i="2"/>
  <c r="E151" i="2"/>
  <c r="D151" i="2" s="1"/>
  <c r="A151" i="2"/>
  <c r="E150" i="2"/>
  <c r="D150" i="2" s="1"/>
  <c r="A150" i="2"/>
  <c r="E149" i="2"/>
  <c r="D149" i="2" s="1"/>
  <c r="A149" i="2"/>
  <c r="E148" i="2"/>
  <c r="D148" i="2" s="1"/>
  <c r="A148" i="2"/>
  <c r="E147" i="2"/>
  <c r="D147" i="2" s="1"/>
  <c r="A147" i="2"/>
  <c r="A311" i="5" s="1" a="1"/>
  <c r="E146" i="2"/>
  <c r="D146" i="2" s="1"/>
  <c r="A146" i="2"/>
  <c r="E145" i="2"/>
  <c r="D145" i="2" s="1"/>
  <c r="A145" i="2"/>
  <c r="E144" i="2"/>
  <c r="D144" i="2" s="1"/>
  <c r="A144" i="2"/>
  <c r="E143" i="2"/>
  <c r="D143" i="2"/>
  <c r="A143" i="2"/>
  <c r="E142" i="2"/>
  <c r="D142" i="2" s="1"/>
  <c r="A142" i="2"/>
  <c r="E141" i="2"/>
  <c r="D141" i="2" s="1"/>
  <c r="A141" i="2"/>
  <c r="A189" i="5" s="1" a="1"/>
  <c r="A189" i="5" s="1"/>
  <c r="E140" i="2"/>
  <c r="D140" i="2" s="1"/>
  <c r="A140" i="2"/>
  <c r="A320" i="5" s="1" a="1"/>
  <c r="A320" i="5" s="1"/>
  <c r="E139" i="2"/>
  <c r="D139" i="2" s="1"/>
  <c r="A139" i="2"/>
  <c r="E138" i="2"/>
  <c r="D138" i="2" s="1"/>
  <c r="A138" i="2"/>
  <c r="E137" i="2"/>
  <c r="D137" i="2" s="1"/>
  <c r="A137" i="2"/>
  <c r="A170" i="5" s="1" a="1"/>
  <c r="A170" i="5" s="1"/>
  <c r="E136" i="2"/>
  <c r="D136" i="2" s="1"/>
  <c r="A136" i="2"/>
  <c r="E135" i="2"/>
  <c r="D135" i="2" s="1"/>
  <c r="A135" i="2"/>
  <c r="E134" i="2"/>
  <c r="D134" i="2" s="1"/>
  <c r="A134" i="2"/>
  <c r="A248" i="5" s="1" a="1"/>
  <c r="A248" i="5" s="1"/>
  <c r="E133" i="2"/>
  <c r="D133" i="2" s="1"/>
  <c r="A133" i="2"/>
  <c r="E132" i="2"/>
  <c r="D132" i="2" s="1"/>
  <c r="A132" i="2"/>
  <c r="E131" i="2"/>
  <c r="D131" i="2" s="1"/>
  <c r="A131" i="2"/>
  <c r="A362" i="5" s="1" a="1"/>
  <c r="A362" i="5" s="1"/>
  <c r="E130" i="2"/>
  <c r="D130" i="2" s="1"/>
  <c r="A130" i="2"/>
  <c r="E129" i="2"/>
  <c r="D129" i="2" s="1"/>
  <c r="A129" i="2"/>
  <c r="A228" i="5" s="1" a="1"/>
  <c r="A228" i="5" s="1"/>
  <c r="E128" i="2"/>
  <c r="D128" i="2" s="1"/>
  <c r="A128" i="2"/>
  <c r="E127" i="2"/>
  <c r="D127" i="2" s="1"/>
  <c r="A127" i="2"/>
  <c r="A119" i="5" s="1" a="1"/>
  <c r="A119" i="5" s="1"/>
  <c r="E126" i="2"/>
  <c r="D126" i="2" s="1"/>
  <c r="A126" i="2"/>
  <c r="A121" i="5" s="1" a="1"/>
  <c r="A121" i="5" s="1"/>
  <c r="E125" i="2"/>
  <c r="D125" i="2" s="1"/>
  <c r="A125" i="2"/>
  <c r="E124" i="2"/>
  <c r="D124" i="2" s="1"/>
  <c r="A124" i="2"/>
  <c r="A191" i="5" s="1" a="1"/>
  <c r="A191" i="5" s="1"/>
  <c r="E123" i="2"/>
  <c r="D123" i="2" s="1"/>
  <c r="A123" i="2"/>
  <c r="E122" i="2"/>
  <c r="D122" i="2" s="1"/>
  <c r="A122" i="2"/>
  <c r="A360" i="5" s="1" a="1"/>
  <c r="A360" i="5" s="1"/>
  <c r="E121" i="2"/>
  <c r="D121" i="2" s="1"/>
  <c r="A121" i="2"/>
  <c r="A65" i="5" s="1" a="1"/>
  <c r="A65" i="5" s="1"/>
  <c r="E120" i="2"/>
  <c r="D120" i="2" s="1"/>
  <c r="A120" i="2"/>
  <c r="E119" i="2"/>
  <c r="D119" i="2" s="1"/>
  <c r="A119" i="2"/>
  <c r="A63" i="5" s="1" a="1"/>
  <c r="A63" i="5" s="1"/>
  <c r="E118" i="2"/>
  <c r="D118" i="2" s="1"/>
  <c r="A118" i="2"/>
  <c r="A14" i="5" s="1" a="1"/>
  <c r="A14" i="5" s="1"/>
  <c r="E117" i="2"/>
  <c r="D117" i="2" s="1"/>
  <c r="A117" i="2"/>
  <c r="E116" i="2"/>
  <c r="D116" i="2" s="1"/>
  <c r="A116" i="2"/>
  <c r="E115" i="2"/>
  <c r="D115" i="2" s="1"/>
  <c r="A115" i="2"/>
  <c r="E114" i="2"/>
  <c r="D114" i="2" s="1"/>
  <c r="A114" i="2"/>
  <c r="E113" i="2"/>
  <c r="D113" i="2" s="1"/>
  <c r="A113" i="2"/>
  <c r="A81" i="5" s="1" a="1"/>
  <c r="A81" i="5" s="1"/>
  <c r="E112" i="2"/>
  <c r="D112" i="2" s="1"/>
  <c r="A112" i="2"/>
  <c r="E111" i="2"/>
  <c r="D111" i="2" s="1"/>
  <c r="A111" i="2"/>
  <c r="E110" i="2"/>
  <c r="D110" i="2" s="1"/>
  <c r="A110" i="2"/>
  <c r="A36" i="5" s="1" a="1"/>
  <c r="A36" i="5" s="1"/>
  <c r="E109" i="2"/>
  <c r="D109" i="2" s="1"/>
  <c r="A109" i="2"/>
  <c r="E108" i="2"/>
  <c r="D108" i="2" s="1"/>
  <c r="A108" i="2"/>
  <c r="E107" i="2"/>
  <c r="D107" i="2" s="1"/>
  <c r="A107" i="2"/>
  <c r="A297" i="5" s="1" a="1"/>
  <c r="A297" i="5" s="1"/>
  <c r="E106" i="2"/>
  <c r="D106" i="2" s="1"/>
  <c r="A106" i="2"/>
  <c r="A69" i="5" s="1" a="1"/>
  <c r="A69" i="5" s="1"/>
  <c r="E105" i="2"/>
  <c r="D105" i="2" s="1"/>
  <c r="A105" i="2"/>
  <c r="A337" i="5" s="1" a="1"/>
  <c r="A337" i="5" s="1"/>
  <c r="E104" i="2"/>
  <c r="D104" i="2" s="1"/>
  <c r="A104" i="2"/>
  <c r="E103" i="2"/>
  <c r="D103" i="2" s="1"/>
  <c r="A103" i="2"/>
  <c r="E102" i="2"/>
  <c r="D102" i="2" s="1"/>
  <c r="A102" i="2"/>
  <c r="A180" i="5" s="1" a="1"/>
  <c r="A180" i="5" s="1"/>
  <c r="E101" i="2"/>
  <c r="D101" i="2" s="1"/>
  <c r="A101" i="2"/>
  <c r="E100" i="2"/>
  <c r="D100" i="2" s="1"/>
  <c r="A100" i="2"/>
  <c r="A160" i="5" s="1" a="1"/>
  <c r="A160" i="5" s="1"/>
  <c r="E99" i="2"/>
  <c r="D99" i="2" s="1"/>
  <c r="A99" i="2"/>
  <c r="E98" i="2"/>
  <c r="D98" i="2" s="1"/>
  <c r="A98" i="2"/>
  <c r="E97" i="2"/>
  <c r="D97" i="2" s="1"/>
  <c r="A97" i="2"/>
  <c r="E96" i="2"/>
  <c r="D96" i="2" s="1"/>
  <c r="A96" i="2"/>
  <c r="E95" i="2"/>
  <c r="D95" i="2" s="1"/>
  <c r="A95" i="2"/>
  <c r="E94" i="2"/>
  <c r="D94" i="2" s="1"/>
  <c r="A94" i="2"/>
  <c r="E93" i="2"/>
  <c r="D93" i="2" s="1"/>
  <c r="A93" i="2"/>
  <c r="A1851" i="5" s="1" a="1"/>
  <c r="A1851" i="5" s="1"/>
  <c r="E92" i="2"/>
  <c r="D92" i="2" s="1"/>
  <c r="A92" i="2"/>
  <c r="E91" i="2"/>
  <c r="D91" i="2" s="1"/>
  <c r="A91" i="2"/>
  <c r="A41" i="5" s="1" a="1"/>
  <c r="A41" i="5" s="1"/>
  <c r="E90" i="2"/>
  <c r="D90" i="2" s="1"/>
  <c r="A90" i="2"/>
  <c r="A50" i="5" s="1" a="1"/>
  <c r="A50" i="5" s="1"/>
  <c r="E89" i="2"/>
  <c r="D89" i="2" s="1"/>
  <c r="A89" i="2"/>
  <c r="A59" i="5" s="1" a="1"/>
  <c r="A59" i="5" s="1"/>
  <c r="E88" i="2"/>
  <c r="D88" i="2" s="1"/>
  <c r="A88" i="2"/>
  <c r="E87" i="2"/>
  <c r="D87" i="2" s="1"/>
  <c r="A87" i="2"/>
  <c r="E86" i="2"/>
  <c r="D86" i="2" s="1"/>
  <c r="A86" i="2"/>
  <c r="A184" i="5" s="1" a="1"/>
  <c r="A184" i="5" s="1"/>
  <c r="E85" i="2"/>
  <c r="D85" i="2" s="1"/>
  <c r="A85" i="2"/>
  <c r="A132" i="5" s="1" a="1"/>
  <c r="A132" i="5" s="1"/>
  <c r="E84" i="2"/>
  <c r="D84" i="2" s="1"/>
  <c r="A84" i="2"/>
  <c r="A62" i="5" s="1" a="1"/>
  <c r="A62" i="5" s="1"/>
  <c r="E83" i="2"/>
  <c r="D83" i="2" s="1"/>
  <c r="A83" i="2"/>
  <c r="E82" i="2"/>
  <c r="D82" i="2" s="1"/>
  <c r="A82" i="2"/>
  <c r="E81" i="2"/>
  <c r="D81" i="2" s="1"/>
  <c r="A81" i="2"/>
  <c r="E80" i="2"/>
  <c r="D80" i="2" s="1"/>
  <c r="A80" i="2"/>
  <c r="A149" i="5" s="1" a="1"/>
  <c r="A149" i="5" s="1"/>
  <c r="E79" i="2"/>
  <c r="D79" i="2" s="1"/>
  <c r="A79" i="2"/>
  <c r="E78" i="2"/>
  <c r="D78" i="2" s="1"/>
  <c r="A78" i="2"/>
  <c r="E77" i="2"/>
  <c r="D77" i="2" s="1"/>
  <c r="A77" i="2"/>
  <c r="E76" i="2"/>
  <c r="D76" i="2" s="1"/>
  <c r="A76" i="2"/>
  <c r="E75" i="2"/>
  <c r="D75" i="2" s="1"/>
  <c r="A75" i="2"/>
  <c r="E74" i="2"/>
  <c r="D74" i="2" s="1"/>
  <c r="A74" i="2"/>
  <c r="E73" i="2"/>
  <c r="D73" i="2" s="1"/>
  <c r="A73" i="2"/>
  <c r="A324" i="5" s="1" a="1"/>
  <c r="A324" i="5" s="1"/>
  <c r="E72" i="2"/>
  <c r="D72" i="2" s="1"/>
  <c r="A72" i="2"/>
  <c r="E71" i="2"/>
  <c r="D71" i="2" s="1"/>
  <c r="A71" i="2"/>
  <c r="A364" i="5" s="1" a="1"/>
  <c r="A364" i="5" s="1"/>
  <c r="E70" i="2"/>
  <c r="D70" i="2" s="1"/>
  <c r="A70" i="2"/>
  <c r="A89" i="5" s="1" a="1"/>
  <c r="A89" i="5" s="1"/>
  <c r="E69" i="2"/>
  <c r="D69" i="2" s="1"/>
  <c r="A69" i="2"/>
  <c r="A227" i="5" s="1" a="1"/>
  <c r="E68" i="2"/>
  <c r="D68" i="2" s="1"/>
  <c r="A68" i="2"/>
  <c r="A108" i="5" s="1" a="1"/>
  <c r="A108" i="5" s="1"/>
  <c r="E67" i="2"/>
  <c r="D67" i="2" s="1"/>
  <c r="A67" i="2"/>
  <c r="E66" i="2"/>
  <c r="D66" i="2" s="1"/>
  <c r="A66" i="2"/>
  <c r="A111" i="5" s="1" a="1"/>
  <c r="A111" i="5" s="1"/>
  <c r="E65" i="2"/>
  <c r="D65" i="2" s="1"/>
  <c r="A65" i="2"/>
  <c r="E64" i="2"/>
  <c r="D64" i="2" s="1"/>
  <c r="A64" i="2"/>
  <c r="E63" i="2"/>
  <c r="D63" i="2"/>
  <c r="A63" i="2"/>
  <c r="A332" i="5" s="1" a="1"/>
  <c r="A332" i="5" s="1"/>
  <c r="E62" i="2"/>
  <c r="D62" i="2" s="1"/>
  <c r="A62" i="2"/>
  <c r="A323" i="5" s="1" a="1"/>
  <c r="A323" i="5" s="1"/>
  <c r="E61" i="2"/>
  <c r="D61" i="2" s="1"/>
  <c r="A61" i="2"/>
  <c r="E60" i="2"/>
  <c r="D60" i="2" s="1"/>
  <c r="A60" i="2"/>
  <c r="A98" i="5" s="1" a="1"/>
  <c r="A98" i="5" s="1"/>
  <c r="E59" i="2"/>
  <c r="D59" i="2" s="1"/>
  <c r="A59" i="2"/>
  <c r="A244" i="5" s="1" a="1"/>
  <c r="A244" i="5" s="1"/>
  <c r="E58" i="2"/>
  <c r="D58" i="2" s="1"/>
  <c r="A58" i="2"/>
  <c r="A96" i="5" s="1" a="1"/>
  <c r="A96" i="5" s="1"/>
  <c r="E57" i="2"/>
  <c r="D57" i="2" s="1"/>
  <c r="A57" i="2"/>
  <c r="E56" i="2"/>
  <c r="D56" i="2" s="1"/>
  <c r="A56" i="2"/>
  <c r="E55" i="2"/>
  <c r="D55" i="2" s="1"/>
  <c r="A55" i="2"/>
  <c r="A25" i="5" s="1" a="1"/>
  <c r="A25" i="5" s="1"/>
  <c r="E54" i="2"/>
  <c r="D54" i="2" s="1"/>
  <c r="A54" i="2"/>
  <c r="A73" i="5" s="1" a="1"/>
  <c r="A73" i="5" s="1"/>
  <c r="E53" i="2"/>
  <c r="D53" i="2" s="1"/>
  <c r="A53" i="2"/>
  <c r="A94" i="5" s="1" a="1"/>
  <c r="A94" i="5" s="1"/>
  <c r="E52" i="2"/>
  <c r="D52" i="2" s="1"/>
  <c r="A52" i="2"/>
  <c r="E51" i="2"/>
  <c r="D51" i="2" s="1"/>
  <c r="A51" i="2"/>
  <c r="E50" i="2"/>
  <c r="D50" i="2" s="1"/>
  <c r="A50" i="2"/>
  <c r="E49" i="2"/>
  <c r="D49" i="2" s="1"/>
  <c r="A49" i="2"/>
  <c r="A29" i="5" s="1" a="1"/>
  <c r="A29" i="5" s="1"/>
  <c r="E48" i="2"/>
  <c r="D48" i="2" s="1"/>
  <c r="A48" i="2"/>
  <c r="E47" i="2"/>
  <c r="D47" i="2" s="1"/>
  <c r="A47" i="2"/>
  <c r="E46" i="2"/>
  <c r="D46" i="2" s="1"/>
  <c r="A46" i="2"/>
  <c r="E45" i="2"/>
  <c r="D45" i="2" s="1"/>
  <c r="A45" i="2"/>
  <c r="E44" i="2"/>
  <c r="D44" i="2" s="1"/>
  <c r="A44" i="2"/>
  <c r="E43" i="2"/>
  <c r="D43" i="2" s="1"/>
  <c r="A43" i="2"/>
  <c r="E42" i="2"/>
  <c r="D42" i="2" s="1"/>
  <c r="A42" i="2"/>
  <c r="E41" i="2"/>
  <c r="D41" i="2" s="1"/>
  <c r="A41" i="2"/>
  <c r="A92" i="5" s="1" a="1"/>
  <c r="A92" i="5" s="1"/>
  <c r="E40" i="2"/>
  <c r="D40" i="2" s="1"/>
  <c r="A40" i="2"/>
  <c r="A341" i="5" s="1" a="1"/>
  <c r="A341" i="5" s="1"/>
  <c r="E39" i="2"/>
  <c r="D39" i="2" s="1"/>
  <c r="A39" i="2"/>
  <c r="E38" i="2"/>
  <c r="D38" i="2" s="1"/>
  <c r="A38" i="2"/>
  <c r="E37" i="2"/>
  <c r="D37" i="2" s="1"/>
  <c r="A37" i="2"/>
  <c r="E36" i="2"/>
  <c r="D36" i="2" s="1"/>
  <c r="A36" i="2"/>
  <c r="A372" i="5" s="1" a="1"/>
  <c r="A372" i="5" s="1"/>
  <c r="E35" i="2"/>
  <c r="D35" i="2" s="1"/>
  <c r="A35" i="2"/>
  <c r="A116" i="5" s="1" a="1"/>
  <c r="A116" i="5" s="1"/>
  <c r="E34" i="2"/>
  <c r="D34" i="2" s="1"/>
  <c r="A34" i="2"/>
  <c r="E33" i="2"/>
  <c r="D33" i="2" s="1"/>
  <c r="A33" i="2"/>
  <c r="E32" i="2"/>
  <c r="D32" i="2" s="1"/>
  <c r="A32" i="2"/>
  <c r="A193" i="5" s="1" a="1"/>
  <c r="A193" i="5" s="1"/>
  <c r="E31" i="2"/>
  <c r="D31" i="2" s="1"/>
  <c r="A31" i="2"/>
  <c r="E30" i="2"/>
  <c r="D30" i="2" s="1"/>
  <c r="A30" i="2"/>
  <c r="A224" i="5" s="1" a="1"/>
  <c r="A224" i="5" s="1"/>
  <c r="E29" i="2"/>
  <c r="D29" i="2" s="1"/>
  <c r="A29" i="2"/>
  <c r="E28" i="2"/>
  <c r="D28" i="2" s="1"/>
  <c r="A28" i="2"/>
  <c r="E27" i="2"/>
  <c r="D27" i="2" s="1"/>
  <c r="A27" i="2"/>
  <c r="E26" i="2"/>
  <c r="D26" i="2" s="1"/>
  <c r="A26" i="2"/>
  <c r="A304" i="5" s="1" a="1"/>
  <c r="A304" i="5" s="1"/>
  <c r="E25" i="2"/>
  <c r="D25" i="2" s="1"/>
  <c r="A25" i="2"/>
  <c r="A21" i="5" s="1" a="1"/>
  <c r="A21" i="5" s="1"/>
  <c r="E24" i="2"/>
  <c r="D24" i="2" s="1"/>
  <c r="A24" i="2"/>
  <c r="E23" i="2"/>
  <c r="D23" i="2" s="1"/>
  <c r="A23" i="2"/>
  <c r="E22" i="2"/>
  <c r="D22" i="2" s="1"/>
  <c r="A22" i="2"/>
  <c r="E21" i="2"/>
  <c r="D21" i="2" s="1"/>
  <c r="A21" i="2"/>
  <c r="A192" i="5" s="1" a="1"/>
  <c r="A192" i="5" s="1"/>
  <c r="E20" i="2"/>
  <c r="D20" i="2" s="1"/>
  <c r="A20" i="2"/>
  <c r="E19" i="2"/>
  <c r="D19" i="2" s="1"/>
  <c r="A19" i="2"/>
  <c r="A330" i="5" s="1" a="1"/>
  <c r="A330" i="5" s="1"/>
  <c r="E18" i="2"/>
  <c r="D18" i="2" s="1"/>
  <c r="A18" i="2"/>
  <c r="A45" i="5" s="1" a="1"/>
  <c r="A45" i="5" s="1"/>
  <c r="E17" i="2"/>
  <c r="D17" i="2" s="1"/>
  <c r="A17" i="2"/>
  <c r="E16" i="2"/>
  <c r="D16" i="2" s="1"/>
  <c r="A16" i="2"/>
  <c r="E15" i="2"/>
  <c r="D15" i="2" s="1"/>
  <c r="A15" i="2"/>
  <c r="E14" i="2"/>
  <c r="D14" i="2" s="1"/>
  <c r="A14" i="2"/>
  <c r="E13" i="2"/>
  <c r="D13" i="2" s="1"/>
  <c r="A13" i="2"/>
  <c r="E12" i="2"/>
  <c r="D12" i="2" s="1"/>
  <c r="A12" i="2"/>
  <c r="A692" i="5" s="1" a="1"/>
  <c r="A692" i="5" s="1"/>
  <c r="E11" i="2"/>
  <c r="D11" i="2" s="1"/>
  <c r="A11" i="2"/>
  <c r="A190" i="5" s="1" a="1"/>
  <c r="A190" i="5" s="1"/>
  <c r="E10" i="2"/>
  <c r="D10" i="2" s="1"/>
  <c r="A10" i="2"/>
  <c r="E9" i="2"/>
  <c r="D9" i="2" s="1"/>
  <c r="A9" i="2"/>
  <c r="E8" i="2"/>
  <c r="D8" i="2" s="1"/>
  <c r="A8" i="2"/>
  <c r="E7" i="2"/>
  <c r="D7" i="2" s="1"/>
  <c r="A7" i="2"/>
  <c r="E6" i="2"/>
  <c r="D6" i="2" s="1"/>
  <c r="A6" i="2"/>
  <c r="A17" i="5" s="1" a="1"/>
  <c r="A17" i="5" s="1"/>
  <c r="E5" i="2"/>
  <c r="D5" i="2" s="1"/>
  <c r="A5" i="2"/>
  <c r="E4" i="2"/>
  <c r="D4" i="2" s="1"/>
  <c r="A4" i="2"/>
  <c r="A68" i="5" s="1" a="1"/>
  <c r="A68" i="5" s="1"/>
  <c r="E3" i="2"/>
  <c r="D3" i="2" s="1"/>
  <c r="A3" i="2"/>
  <c r="E2" i="2"/>
  <c r="D2" i="2" s="1"/>
  <c r="A2" i="2"/>
  <c r="A142" i="5" s="1" a="1"/>
  <c r="A142" i="5" s="1"/>
  <c r="A1651" i="5" l="1" a="1"/>
  <c r="A1651" i="5" s="1"/>
  <c r="A1411" i="5" a="1"/>
  <c r="A1411" i="5" s="1"/>
  <c r="A421" i="5" a="1"/>
  <c r="A421" i="5" s="1"/>
  <c r="A1733" i="5" a="1"/>
  <c r="A1733" i="5" s="1"/>
  <c r="A1641" i="5" a="1"/>
  <c r="A1641" i="5" s="1"/>
  <c r="A1089" i="5" a="1"/>
  <c r="A1089" i="5" s="1"/>
  <c r="A171" i="5" a="1"/>
  <c r="A171" i="5" s="1"/>
  <c r="A384" i="5" a="1"/>
  <c r="A384" i="5" s="1"/>
  <c r="A351" i="5" a="1"/>
  <c r="A351" i="5" s="1"/>
  <c r="A668" i="5" a="1"/>
  <c r="A668" i="5" s="1"/>
  <c r="A1925" i="5" a="1"/>
  <c r="A1925" i="5" s="1"/>
  <c r="A1747" i="5" a="1"/>
  <c r="A1747" i="5" s="1"/>
  <c r="A1583" i="5" a="1"/>
  <c r="A1583" i="5" s="1"/>
  <c r="A1683" i="5" a="1"/>
  <c r="A1683" i="5" s="1"/>
  <c r="A1326" i="5" a="1"/>
  <c r="A1326" i="5" s="1"/>
  <c r="A359" i="5" a="1"/>
  <c r="A359" i="5" s="1"/>
  <c r="A866" i="5" a="1"/>
  <c r="A866" i="5" s="1"/>
  <c r="A702" i="5" a="1"/>
  <c r="A702" i="5" s="1"/>
  <c r="A103" i="5" a="1"/>
  <c r="A103" i="5" s="1"/>
  <c r="A1531" i="5" a="1"/>
  <c r="A1531" i="5" s="1"/>
  <c r="A1473" i="5" a="1"/>
  <c r="A1473" i="5" s="1"/>
  <c r="A1324" i="5" a="1"/>
  <c r="A1324" i="5" s="1"/>
  <c r="A1272" i="5" a="1"/>
  <c r="A1272" i="5" s="1"/>
  <c r="A182" i="5" a="1"/>
  <c r="A182" i="5" s="1"/>
  <c r="A573" i="5" a="1"/>
  <c r="A573" i="5" s="1"/>
  <c r="A115" i="5" a="1"/>
  <c r="A115" i="5" s="1"/>
  <c r="A274" i="5" a="1"/>
  <c r="A274" i="5" s="1"/>
  <c r="A321" i="5" a="1"/>
  <c r="A321" i="5" s="1"/>
  <c r="A216" i="5" a="1"/>
  <c r="A216" i="5" s="1"/>
  <c r="A1444" i="5" a="1"/>
  <c r="A1444" i="5" s="1"/>
  <c r="A262" i="5" a="1"/>
  <c r="A262" i="5" s="1"/>
  <c r="A195" i="5" a="1"/>
  <c r="A195" i="5" s="1"/>
  <c r="A892" i="5" a="1"/>
  <c r="A892" i="5" s="1"/>
  <c r="A715" i="5" a="1"/>
  <c r="A715" i="5" s="1"/>
  <c r="A381" i="5" a="1"/>
  <c r="A381" i="5" s="1"/>
  <c r="A481" i="5" a="1"/>
  <c r="A481" i="5" s="1"/>
  <c r="A453" i="5" a="1"/>
  <c r="A453" i="5" s="1"/>
  <c r="A156" i="5" a="1"/>
  <c r="A156" i="5" s="1"/>
  <c r="A4" i="5" a="1"/>
  <c r="A4" i="5" s="1"/>
  <c r="A1749" i="5" a="1"/>
  <c r="A1749" i="5" s="1"/>
  <c r="A1276" i="5" a="1"/>
  <c r="A1276" i="5" s="1"/>
  <c r="A929" i="5" a="1"/>
  <c r="A929" i="5" s="1"/>
  <c r="A864" i="5" a="1"/>
  <c r="A864" i="5" s="1"/>
  <c r="A117" i="5" a="1"/>
  <c r="A117" i="5" s="1"/>
  <c r="A833" i="5" a="1"/>
  <c r="A833" i="5" s="1"/>
  <c r="A825" i="5" a="1"/>
  <c r="A825" i="5" s="1"/>
  <c r="A817" i="5" a="1"/>
  <c r="A817" i="5" s="1"/>
  <c r="A266" i="5" a="1"/>
  <c r="A266" i="5" s="1"/>
  <c r="A1586" i="5" a="1"/>
  <c r="A1586" i="5" s="1"/>
  <c r="A1390" i="5" a="1"/>
  <c r="A1390" i="5" s="1"/>
  <c r="A1172" i="5" a="1"/>
  <c r="A1172" i="5" s="1"/>
  <c r="A1039" i="5" a="1"/>
  <c r="A1039" i="5" s="1"/>
  <c r="A174" i="5" a="1"/>
  <c r="A174" i="5" s="1"/>
  <c r="A139" i="5" a="1"/>
  <c r="A139" i="5" s="1"/>
  <c r="A599" i="5" a="1"/>
  <c r="A599" i="5" s="1"/>
  <c r="A489" i="5" a="1"/>
  <c r="A489" i="5" s="1"/>
  <c r="A79" i="5" a="1"/>
  <c r="A79" i="5" s="1"/>
  <c r="A393" i="5" a="1"/>
  <c r="A393" i="5" s="1"/>
  <c r="A281" i="5" a="1"/>
  <c r="A281" i="5" s="1"/>
  <c r="A1685" i="5" a="1"/>
  <c r="A1685" i="5" s="1"/>
  <c r="A1805" i="5" a="1"/>
  <c r="A1805" i="5" s="1"/>
  <c r="A1625" i="5" a="1"/>
  <c r="A1625" i="5" s="1"/>
  <c r="A1387" i="5" a="1"/>
  <c r="A1387" i="5" s="1"/>
  <c r="A1483" i="5" a="1"/>
  <c r="A1483" i="5" s="1"/>
  <c r="A1358" i="5" a="1"/>
  <c r="A1358" i="5" s="1"/>
  <c r="A1100" i="5" a="1"/>
  <c r="A1100" i="5" s="1"/>
  <c r="A1023" i="5" a="1"/>
  <c r="A1023" i="5" s="1"/>
  <c r="A1029" i="5" a="1"/>
  <c r="A1029" i="5" s="1"/>
  <c r="A302" i="5" a="1"/>
  <c r="A302" i="5" s="1"/>
  <c r="A239" i="5" a="1"/>
  <c r="A239" i="5" s="1"/>
  <c r="A57" i="5" a="1"/>
  <c r="A57" i="5" s="1"/>
  <c r="A920" i="5" a="1"/>
  <c r="A920" i="5" s="1"/>
  <c r="A804" i="5" a="1"/>
  <c r="A804" i="5" s="1"/>
  <c r="A100" i="5" a="1"/>
  <c r="A100" i="5" s="1"/>
  <c r="A1694" i="5" a="1"/>
  <c r="A1694" i="5" s="1"/>
  <c r="A1577" i="5" a="1"/>
  <c r="A1577" i="5" s="1"/>
  <c r="A1629" i="5" a="1"/>
  <c r="A1629" i="5" s="1"/>
  <c r="A1282" i="5" a="1"/>
  <c r="A1282" i="5" s="1"/>
  <c r="A1101" i="5" a="1"/>
  <c r="A1101" i="5" s="1"/>
  <c r="A401" i="5" a="1"/>
  <c r="A401" i="5" s="1"/>
  <c r="A348" i="5" a="1"/>
  <c r="A348" i="5" s="1"/>
  <c r="A60" i="5" a="1"/>
  <c r="A60" i="5" s="1"/>
  <c r="A1915" i="5" a="1"/>
  <c r="A1915" i="5" s="1"/>
  <c r="A1292" i="5" a="1"/>
  <c r="A1292" i="5" s="1"/>
  <c r="A887" i="5" a="1"/>
  <c r="A887" i="5" s="1"/>
  <c r="A491" i="5" a="1"/>
  <c r="A491" i="5" s="1"/>
  <c r="A331" i="5" a="1"/>
  <c r="A331" i="5" s="1"/>
  <c r="A563" i="5" a="1"/>
  <c r="A563" i="5" s="1"/>
  <c r="A660" i="5" a="1"/>
  <c r="A660" i="5" s="1"/>
  <c r="A18" i="5" a="1"/>
  <c r="A18" i="5" s="1"/>
  <c r="A7" i="5" a="1"/>
  <c r="A7" i="5" s="1"/>
  <c r="A1437" i="5" a="1"/>
  <c r="A1437" i="5" s="1"/>
  <c r="A407" i="5" a="1"/>
  <c r="A407" i="5" s="1"/>
  <c r="A985" i="5" a="1"/>
  <c r="A985" i="5" s="1"/>
  <c r="A183" i="5" a="1"/>
  <c r="A183" i="5" s="1"/>
  <c r="A1305" i="5" a="1"/>
  <c r="A1305" i="5" s="1"/>
  <c r="A959" i="5" a="1"/>
  <c r="A959" i="5" s="1"/>
  <c r="A305" i="5" a="1"/>
  <c r="A305" i="5" s="1"/>
  <c r="A162" i="5" a="1"/>
  <c r="A162" i="5" s="1"/>
  <c r="A340" i="5" a="1"/>
  <c r="A340" i="5" s="1"/>
  <c r="A106" i="5" a="1"/>
  <c r="A106" i="5" s="1"/>
  <c r="A1869" i="5" a="1"/>
  <c r="A1869" i="5" s="1"/>
  <c r="A1334" i="5" a="1"/>
  <c r="A1334" i="5" s="1"/>
  <c r="A251" i="5" a="1"/>
  <c r="A251" i="5" s="1"/>
  <c r="A61" i="5" a="1"/>
  <c r="A61" i="5" s="1"/>
  <c r="A34" i="5" a="1"/>
  <c r="A34" i="5" s="1"/>
  <c r="A1885" i="5" a="1"/>
  <c r="A1885" i="5" s="1"/>
  <c r="A1619" i="5" a="1"/>
  <c r="A1619" i="5" s="1"/>
  <c r="A1562" i="5" a="1"/>
  <c r="A1562" i="5" s="1"/>
  <c r="A2" i="5" a="1"/>
  <c r="A2" i="5" s="1"/>
  <c r="A336" i="5" a="1"/>
  <c r="A336" i="5" s="1"/>
  <c r="A680" i="5" a="1"/>
  <c r="A680" i="5" s="1"/>
  <c r="A1493" i="5" a="1"/>
  <c r="A1493" i="5" s="1"/>
  <c r="A1245" i="5" a="1"/>
  <c r="A1245" i="5" s="1"/>
  <c r="A1318" i="5" a="1"/>
  <c r="A1318" i="5" s="1"/>
  <c r="A965" i="5" a="1"/>
  <c r="A965" i="5" s="1"/>
  <c r="A855" i="5" a="1"/>
  <c r="A855" i="5" s="1"/>
  <c r="A475" i="5" a="1"/>
  <c r="A475" i="5" s="1"/>
  <c r="A307" i="5" a="1"/>
  <c r="A307" i="5" s="1"/>
  <c r="A312" i="5" a="1"/>
  <c r="A312" i="5" s="1"/>
  <c r="A699" i="5" a="1"/>
  <c r="A699" i="5" s="1"/>
  <c r="A617" i="5" a="1"/>
  <c r="A617" i="5" s="1"/>
  <c r="A583" i="5" a="1"/>
  <c r="A583" i="5" s="1"/>
  <c r="A404" i="5" a="1"/>
  <c r="A404" i="5" s="1"/>
  <c r="A49" i="5" a="1"/>
  <c r="A49" i="5" s="1"/>
  <c r="A9" i="5" a="1"/>
  <c r="A9" i="5" s="1"/>
  <c r="A1433" i="5" a="1"/>
  <c r="A1433" i="5" s="1"/>
  <c r="A356" i="5" a="1"/>
  <c r="A356" i="5" s="1"/>
  <c r="A1611" i="5" a="1"/>
  <c r="A1611" i="5" s="1"/>
  <c r="A918" i="5" a="1"/>
  <c r="A918" i="5" s="1"/>
  <c r="A754" i="5" a="1"/>
  <c r="A754" i="5" s="1"/>
  <c r="A586" i="5" a="1"/>
  <c r="A586" i="5" s="1"/>
  <c r="A296" i="5" a="1"/>
  <c r="A296" i="5" s="1"/>
  <c r="A95" i="5" a="1"/>
  <c r="A95" i="5" s="1"/>
  <c r="A551" i="5" a="1"/>
  <c r="A551" i="5" s="1"/>
  <c r="A1927" i="5" a="1"/>
  <c r="A1927" i="5" s="1"/>
  <c r="A365" i="5" a="1"/>
  <c r="A365" i="5" s="1"/>
  <c r="A1459" i="5" a="1"/>
  <c r="A1459" i="5" s="1"/>
  <c r="A1222" i="5" a="1"/>
  <c r="A1222" i="5" s="1"/>
  <c r="A997" i="5" a="1"/>
  <c r="A997" i="5" s="1"/>
  <c r="A194" i="5" a="1"/>
  <c r="A194" i="5" s="1"/>
  <c r="A555" i="5" a="1"/>
  <c r="A555" i="5" s="1"/>
  <c r="A263" i="5" a="1"/>
  <c r="A263" i="5" s="1"/>
  <c r="A1918" i="5" a="1"/>
  <c r="A1918" i="5" s="1"/>
  <c r="A1322" i="5" a="1"/>
  <c r="A1322" i="5" s="1"/>
  <c r="A953" i="5" a="1"/>
  <c r="A953" i="5" s="1"/>
  <c r="A109" i="5" a="1"/>
  <c r="A109" i="5" s="1"/>
  <c r="A226" i="5" a="1"/>
  <c r="A226" i="5" s="1"/>
  <c r="A840" i="5" a="1"/>
  <c r="A840" i="5" s="1"/>
  <c r="A110" i="5" a="1"/>
  <c r="A110" i="5" s="1"/>
  <c r="A389" i="5" a="1"/>
  <c r="A389" i="5" s="1"/>
  <c r="A202" i="5" a="1"/>
  <c r="A202" i="5" s="1"/>
  <c r="A1983" i="5" a="1"/>
  <c r="A1983" i="5" s="1"/>
  <c r="A1336" i="5" a="1"/>
  <c r="A1336" i="5" s="1"/>
  <c r="A1184" i="5" a="1"/>
  <c r="A1184" i="5" s="1"/>
  <c r="A736" i="5" a="1"/>
  <c r="A736" i="5" s="1"/>
  <c r="A342" i="5" a="1"/>
  <c r="A342" i="5" s="1"/>
  <c r="A87" i="5" a="1"/>
  <c r="A87" i="5" s="1"/>
  <c r="A1939" i="5" a="1"/>
  <c r="A1939" i="5" s="1"/>
  <c r="A1894" i="5" a="1"/>
  <c r="A1894" i="5" s="1"/>
  <c r="A1193" i="5" a="1"/>
  <c r="A1193" i="5" s="1"/>
  <c r="A1059" i="5" a="1"/>
  <c r="A1059" i="5" s="1"/>
  <c r="A343" i="5" a="1"/>
  <c r="A343" i="5" s="1"/>
  <c r="A46" i="5" a="1"/>
  <c r="A46" i="5" s="1"/>
  <c r="A1773" i="5" a="1"/>
  <c r="A1773" i="5" s="1"/>
  <c r="A1484" i="5" a="1"/>
  <c r="A1484" i="5" s="1"/>
  <c r="A1545" i="5" a="1"/>
  <c r="A1545" i="5" s="1"/>
  <c r="A1136" i="5" a="1"/>
  <c r="A1136" i="5" s="1"/>
  <c r="A940" i="5" a="1"/>
  <c r="A940" i="5" s="1"/>
  <c r="A366" i="5" a="1"/>
  <c r="A366" i="5" s="1"/>
  <c r="A35" i="5" a="1"/>
  <c r="A35" i="5" s="1"/>
  <c r="A437" i="5" a="1"/>
  <c r="A437" i="5" s="1"/>
  <c r="A412" i="5" a="1"/>
  <c r="A412" i="5" s="1"/>
  <c r="A82" i="5" a="1"/>
  <c r="A82" i="5" s="1"/>
  <c r="A1371" i="5" a="1"/>
  <c r="A1371" i="5" s="1"/>
  <c r="A1152" i="5" a="1"/>
  <c r="A1152" i="5" s="1"/>
  <c r="A567" i="5" a="1"/>
  <c r="A567" i="5" s="1"/>
  <c r="A314" i="5" a="1"/>
  <c r="A314" i="5" s="1"/>
  <c r="A553" i="5" a="1"/>
  <c r="A553" i="5" s="1"/>
  <c r="A1210" i="5" a="1"/>
  <c r="A1210" i="5" s="1"/>
  <c r="A943" i="5" a="1"/>
  <c r="A943" i="5" s="1"/>
  <c r="A283" i="5" a="1"/>
  <c r="A283" i="5" s="1"/>
  <c r="A99" i="5" a="1"/>
  <c r="A99" i="5" s="1"/>
  <c r="A529" i="5" a="1"/>
  <c r="A529" i="5" s="1"/>
  <c r="A58" i="5" a="1"/>
  <c r="A58" i="5" s="1"/>
  <c r="A54" i="5" a="1"/>
  <c r="A54" i="5" s="1"/>
  <c r="A23" i="5" a="1"/>
  <c r="A23" i="5" s="1"/>
  <c r="A1719" i="5" a="1"/>
  <c r="A1719" i="5" s="1"/>
  <c r="A30" i="5" a="1"/>
  <c r="A30" i="5" s="1"/>
  <c r="A158" i="5" a="1"/>
  <c r="A158" i="5" s="1"/>
  <c r="A732" i="5" a="1"/>
  <c r="A732" i="5" s="1"/>
  <c r="A1438" i="5" a="1"/>
  <c r="A1438" i="5" s="1"/>
  <c r="A335" i="5" a="1"/>
  <c r="A335" i="5" s="1"/>
  <c r="A398" i="5" a="1"/>
  <c r="A398" i="5" s="1"/>
  <c r="A363" i="5" a="1"/>
  <c r="A363" i="5" s="1"/>
  <c r="A235" i="5" a="1"/>
  <c r="A235" i="5" s="1"/>
  <c r="A93" i="5" a="1"/>
  <c r="A93" i="5" s="1"/>
  <c r="A1835" i="5" a="1"/>
  <c r="A1835" i="5" s="1"/>
  <c r="A1452" i="5" a="1"/>
  <c r="A1452" i="5" s="1"/>
  <c r="A1610" i="5" a="1"/>
  <c r="A1610" i="5" s="1"/>
  <c r="A1553" i="5" a="1"/>
  <c r="A1553" i="5" s="1"/>
  <c r="A1325" i="5" a="1"/>
  <c r="A1325" i="5" s="1"/>
  <c r="A981" i="5" a="1"/>
  <c r="A981" i="5" s="1"/>
  <c r="A764" i="5" a="1"/>
  <c r="A764" i="5" s="1"/>
  <c r="A650" i="5" a="1"/>
  <c r="A650" i="5" s="1"/>
  <c r="A445" i="5" a="1"/>
  <c r="A445" i="5" s="1"/>
  <c r="A128" i="5" a="1"/>
  <c r="A128" i="5" s="1"/>
  <c r="A1783" i="5" a="1"/>
  <c r="A1783" i="5" s="1"/>
  <c r="A123" i="5" a="1"/>
  <c r="A123" i="5" s="1"/>
  <c r="A91" i="5" a="1"/>
  <c r="A91" i="5" s="1"/>
  <c r="A601" i="5" a="1"/>
  <c r="A601" i="5" s="1"/>
  <c r="A499" i="5" a="1"/>
  <c r="A499" i="5" s="1"/>
  <c r="A410" i="5" a="1"/>
  <c r="A410" i="5" s="1"/>
  <c r="A258" i="5" a="1"/>
  <c r="A258" i="5" s="1"/>
  <c r="A1081" i="5" a="1"/>
  <c r="A1081" i="5" s="1"/>
  <c r="A48" i="5" a="1"/>
  <c r="A48" i="5" s="1"/>
  <c r="A146" i="5" a="1"/>
  <c r="A146" i="5" s="1"/>
  <c r="A1071" i="5" a="1"/>
  <c r="A1071" i="5" s="1"/>
  <c r="A523" i="5" a="1"/>
  <c r="A523" i="5" s="1"/>
  <c r="A426" i="5" a="1"/>
  <c r="A426" i="5" s="1"/>
  <c r="A1679" i="5" a="1"/>
  <c r="A1679" i="5" s="1"/>
  <c r="A852" i="5" a="1"/>
  <c r="A852" i="5" s="1"/>
  <c r="A102" i="5" a="1"/>
  <c r="A102" i="5" s="1"/>
  <c r="A267" i="5" a="1"/>
  <c r="A267" i="5" s="1"/>
  <c r="A442" i="5" a="1"/>
  <c r="A442" i="5" s="1"/>
  <c r="A1982" i="5" a="1"/>
  <c r="A1982" i="5" s="1"/>
  <c r="A1950" i="5" a="1"/>
  <c r="A1950" i="5" s="1"/>
  <c r="A1821" i="5" a="1"/>
  <c r="A1821" i="5" s="1"/>
  <c r="A1530" i="5" a="1"/>
  <c r="A1530" i="5" s="1"/>
  <c r="A904" i="5" a="1"/>
  <c r="A904" i="5" s="1"/>
  <c r="A507" i="5" a="1"/>
  <c r="A507" i="5" s="1"/>
  <c r="A521" i="5" a="1"/>
  <c r="A521" i="5" s="1"/>
  <c r="A256" i="5" a="1"/>
  <c r="A256" i="5" s="1"/>
  <c r="A593" i="5" a="1"/>
  <c r="A593" i="5" s="1"/>
  <c r="A1460" i="5" a="1"/>
  <c r="A1460" i="5" s="1"/>
  <c r="A225" i="5" a="1"/>
  <c r="A225" i="5" s="1"/>
  <c r="A1661" i="5" a="1"/>
  <c r="A1661" i="5" s="1"/>
  <c r="A1707" i="5" a="1"/>
  <c r="A1707" i="5" s="1"/>
  <c r="A1388" i="5" a="1"/>
  <c r="A1388" i="5" s="1"/>
  <c r="A1192" i="5" a="1"/>
  <c r="A1192" i="5" s="1"/>
  <c r="A1009" i="5" a="1"/>
  <c r="A1009" i="5" s="1"/>
  <c r="A406" i="5" a="1"/>
  <c r="A406" i="5" s="1"/>
  <c r="A299" i="5" a="1"/>
  <c r="A299" i="5" s="1"/>
  <c r="A431" i="5" a="1"/>
  <c r="A431" i="5" s="1"/>
  <c r="A153" i="5" a="1"/>
  <c r="A153" i="5" s="1"/>
  <c r="A1243" i="5" a="1"/>
  <c r="A1243" i="5" s="1"/>
  <c r="A539" i="5" a="1"/>
  <c r="A539" i="5" s="1"/>
  <c r="A371" i="5" a="1"/>
  <c r="A371" i="5" s="1"/>
  <c r="A85" i="5" a="1"/>
  <c r="A85" i="5" s="1"/>
  <c r="A1775" i="5" a="1"/>
  <c r="A1775" i="5" s="1"/>
  <c r="A198" i="5" a="1"/>
  <c r="A198" i="5" s="1"/>
  <c r="A229" i="5" a="1"/>
  <c r="A229" i="5" s="1"/>
  <c r="A383" i="5" a="1"/>
  <c r="A383" i="5" s="1"/>
  <c r="A271" i="5" a="1"/>
  <c r="A271" i="5" s="1"/>
  <c r="A207" i="5" a="1"/>
  <c r="A207" i="5" s="1"/>
  <c r="A1410" i="5" a="1"/>
  <c r="A1410" i="5" s="1"/>
  <c r="A205" i="5" a="1"/>
  <c r="A205" i="5" s="1"/>
  <c r="A1669" i="5" a="1"/>
  <c r="A1669" i="5" s="1"/>
  <c r="A1609" i="5" a="1"/>
  <c r="A1609" i="5" s="1"/>
  <c r="A1633" i="5" a="1"/>
  <c r="A1633" i="5" s="1"/>
  <c r="A1500" i="5" a="1"/>
  <c r="A1500" i="5" s="1"/>
  <c r="A1270" i="5" a="1"/>
  <c r="A1270" i="5" s="1"/>
  <c r="A876" i="5" a="1"/>
  <c r="A876" i="5" s="1"/>
  <c r="A1057" i="5" a="1"/>
  <c r="A1057" i="5" s="1"/>
  <c r="A411" i="5" a="1"/>
  <c r="A411" i="5" s="1"/>
  <c r="A627" i="5" a="1"/>
  <c r="A627" i="5" s="1"/>
  <c r="A349" i="5" a="1"/>
  <c r="A349" i="5" s="1"/>
  <c r="A644" i="5" a="1"/>
  <c r="A644" i="5" s="1"/>
  <c r="A1863" i="5" a="1"/>
  <c r="A1863" i="5" s="1"/>
  <c r="A609" i="5" a="1"/>
  <c r="A609" i="5" s="1"/>
  <c r="A537" i="5" a="1"/>
  <c r="A537" i="5" s="1"/>
  <c r="A1966" i="5" a="1"/>
  <c r="A1966" i="5" s="1"/>
  <c r="A1771" i="5" a="1"/>
  <c r="A1771" i="5" s="1"/>
  <c r="A1726" i="5" a="1"/>
  <c r="A1726" i="5" s="1"/>
  <c r="A1650" i="5" a="1"/>
  <c r="A1650" i="5" s="1"/>
  <c r="A1084" i="5" a="1"/>
  <c r="A1084" i="5" s="1"/>
  <c r="A913" i="5" a="1"/>
  <c r="A913" i="5" s="1"/>
  <c r="A405" i="5" a="1"/>
  <c r="A405" i="5" s="1"/>
  <c r="A485" i="5" a="1"/>
  <c r="A485" i="5" s="1"/>
  <c r="A250" i="5" a="1"/>
  <c r="A250" i="5" s="1"/>
  <c r="A327" i="5" a="1"/>
  <c r="A327" i="5" s="1"/>
  <c r="A1847" i="5" a="1"/>
  <c r="A1847" i="5" s="1"/>
  <c r="A1517" i="5" a="1"/>
  <c r="A1517" i="5" s="1"/>
  <c r="A1518" i="5" a="1"/>
  <c r="A1518" i="5" s="1"/>
  <c r="A255" i="5" a="1"/>
  <c r="A255" i="5" s="1"/>
  <c r="A1949" i="5" a="1"/>
  <c r="A1949" i="5" s="1"/>
  <c r="A603" i="5" a="1"/>
  <c r="A603" i="5" s="1"/>
  <c r="A234" i="5" a="1"/>
  <c r="A234" i="5" s="1"/>
  <c r="A257" i="5" a="1"/>
  <c r="A257" i="5" s="1"/>
  <c r="A1974" i="5" a="1"/>
  <c r="A1974" i="5" s="1"/>
  <c r="A1813" i="5" a="1"/>
  <c r="A1813" i="5" s="1"/>
  <c r="A1687" i="5" a="1"/>
  <c r="A1687" i="5" s="1"/>
  <c r="A1743" i="5" a="1"/>
  <c r="A1743" i="5" s="1"/>
  <c r="A197" i="5" a="1"/>
  <c r="A197" i="5" s="1"/>
  <c r="A501" i="5" a="1"/>
  <c r="A501" i="5" s="1"/>
  <c r="A1891" i="5" a="1"/>
  <c r="A1891" i="5" s="1"/>
  <c r="A1693" i="5" a="1"/>
  <c r="A1693" i="5" s="1"/>
  <c r="A1164" i="5" a="1"/>
  <c r="A1164" i="5" s="1"/>
  <c r="A993" i="5" a="1"/>
  <c r="A993" i="5" s="1"/>
  <c r="A738" i="5" a="1"/>
  <c r="A738" i="5" s="1"/>
  <c r="A844" i="5" a="1"/>
  <c r="A844" i="5" s="1"/>
  <c r="A293" i="5" a="1"/>
  <c r="A293" i="5" s="1"/>
  <c r="A346" i="5" a="1"/>
  <c r="A346" i="5" s="1"/>
  <c r="A458" i="5" a="1"/>
  <c r="A458" i="5" s="1"/>
  <c r="A1859" i="5" a="1"/>
  <c r="A1859" i="5" s="1"/>
  <c r="A1420" i="5" a="1"/>
  <c r="A1420" i="5" s="1"/>
  <c r="A505" i="5" a="1"/>
  <c r="A505" i="5" s="1"/>
  <c r="A561" i="5" a="1"/>
  <c r="A561" i="5" s="1"/>
  <c r="A771" i="5" a="1"/>
  <c r="A771" i="5" s="1"/>
  <c r="A439" i="5" a="1"/>
  <c r="A439" i="5" s="1"/>
  <c r="A318" i="5" a="1"/>
  <c r="A318" i="5" s="1"/>
  <c r="A631" i="5" a="1"/>
  <c r="A631" i="5" s="1"/>
  <c r="A221" i="5" a="1"/>
  <c r="A221" i="5" s="1"/>
  <c r="A531" i="5" a="1"/>
  <c r="A531" i="5" s="1"/>
  <c r="A465" i="5" a="1"/>
  <c r="A465" i="5" s="1"/>
  <c r="A658" i="5" a="1"/>
  <c r="A658" i="5" s="1"/>
  <c r="A1855" i="5" a="1"/>
  <c r="A1855" i="5" s="1"/>
  <c r="A282" i="5" a="1"/>
  <c r="A282" i="5" s="1"/>
  <c r="A1686" i="5" a="1"/>
  <c r="A1686" i="5" s="1"/>
  <c r="A1951" i="5" a="1"/>
  <c r="A1951" i="5" s="1"/>
  <c r="A1815" i="5" a="1"/>
  <c r="A1815" i="5" s="1"/>
  <c r="A1443" i="5" a="1"/>
  <c r="A1443" i="5" s="1"/>
  <c r="A1489" i="5" a="1"/>
  <c r="A1489" i="5" s="1"/>
  <c r="A1382" i="5" a="1"/>
  <c r="A1382" i="5" s="1"/>
  <c r="A1103" i="5" a="1"/>
  <c r="A1103" i="5" s="1"/>
  <c r="A1217" i="5" a="1"/>
  <c r="A1217" i="5" s="1"/>
  <c r="A858" i="5" a="1"/>
  <c r="A858" i="5" s="1"/>
  <c r="A347" i="5" a="1"/>
  <c r="A347" i="5" s="1"/>
  <c r="A569" i="5" a="1"/>
  <c r="A569" i="5" s="1"/>
  <c r="A413" i="5" a="1"/>
  <c r="A413" i="5" s="1"/>
  <c r="A285" i="5" a="1"/>
  <c r="A285" i="5" s="1"/>
  <c r="A619" i="5" a="1"/>
  <c r="A619" i="5" s="1"/>
  <c r="A55" i="5" a="1"/>
  <c r="A55" i="5" s="1"/>
  <c r="A495" i="5" a="1"/>
  <c r="A495" i="5" s="1"/>
  <c r="A177" i="5" a="1"/>
  <c r="A177" i="5" s="1"/>
  <c r="A1779" i="5" a="1"/>
  <c r="A1779" i="5" s="1"/>
  <c r="A666" i="5" a="1"/>
  <c r="A666" i="5" s="1"/>
  <c r="A222" i="5" a="1"/>
  <c r="A222" i="5" s="1"/>
  <c r="A1917" i="5" a="1"/>
  <c r="A1917" i="5" s="1"/>
  <c r="A1861" i="5" a="1"/>
  <c r="A1861" i="5" s="1"/>
  <c r="A1049" i="5" a="1"/>
  <c r="A1049" i="5" s="1"/>
  <c r="A238" i="5" a="1"/>
  <c r="A238" i="5" s="1"/>
  <c r="A126" i="5" a="1"/>
  <c r="A126" i="5" s="1"/>
  <c r="A647" i="5" a="1"/>
  <c r="A647" i="5" s="1"/>
  <c r="A469" i="5" a="1"/>
  <c r="A469" i="5" s="1"/>
  <c r="A511" i="5" a="1"/>
  <c r="A511" i="5" s="1"/>
  <c r="A1406" i="5" a="1"/>
  <c r="A1406" i="5" s="1"/>
  <c r="A357" i="5" a="1"/>
  <c r="A357" i="5" s="1"/>
  <c r="A850" i="5" a="1"/>
  <c r="A850" i="5" s="1"/>
  <c r="A70" i="5" a="1"/>
  <c r="A70" i="5" s="1"/>
  <c r="A559" i="5" a="1"/>
  <c r="A559" i="5" s="1"/>
  <c r="A369" i="5" a="1"/>
  <c r="A369" i="5" s="1"/>
  <c r="A1004" i="5" a="1"/>
  <c r="A1004" i="5" s="1"/>
  <c r="A923" i="5" a="1"/>
  <c r="A923" i="5" s="1"/>
  <c r="A6" i="5" a="1"/>
  <c r="A6" i="5" s="1"/>
  <c r="A37" i="5" a="1"/>
  <c r="A37" i="5" s="1"/>
  <c r="A154" i="5" a="1"/>
  <c r="A154" i="5" s="1"/>
  <c r="A419" i="5" a="1"/>
  <c r="A419" i="5" s="1"/>
  <c r="A427" i="5" a="1"/>
  <c r="A427" i="5" s="1"/>
  <c r="A435" i="5" a="1"/>
  <c r="A435" i="5" s="1"/>
  <c r="A443" i="5" a="1"/>
  <c r="A443" i="5" s="1"/>
  <c r="A451" i="5" a="1"/>
  <c r="A451" i="5" s="1"/>
  <c r="A459" i="5" a="1"/>
  <c r="A459" i="5" s="1"/>
  <c r="A651" i="5" a="1"/>
  <c r="A651" i="5" s="1"/>
  <c r="A675" i="5" a="1"/>
  <c r="A675" i="5" s="1"/>
  <c r="A691" i="5" a="1"/>
  <c r="A691" i="5" s="1"/>
  <c r="A707" i="5" a="1"/>
  <c r="A707" i="5" s="1"/>
  <c r="A388" i="5" a="1"/>
  <c r="A388" i="5" s="1"/>
  <c r="A422" i="5" a="1"/>
  <c r="A422" i="5" s="1"/>
  <c r="A430" i="5" a="1"/>
  <c r="A430" i="5" s="1"/>
  <c r="A438" i="5" a="1"/>
  <c r="A438" i="5" s="1"/>
  <c r="A446" i="5" a="1"/>
  <c r="A446" i="5" s="1"/>
  <c r="A454" i="5" a="1"/>
  <c r="A454" i="5" s="1"/>
  <c r="A462" i="5" a="1"/>
  <c r="A462" i="5" s="1"/>
  <c r="A470" i="5" a="1"/>
  <c r="A470" i="5" s="1"/>
  <c r="A478" i="5" a="1"/>
  <c r="A478" i="5" s="1"/>
  <c r="A486" i="5" a="1"/>
  <c r="A486" i="5" s="1"/>
  <c r="A494" i="5" a="1"/>
  <c r="A494" i="5" s="1"/>
  <c r="A502" i="5" a="1"/>
  <c r="A502" i="5" s="1"/>
  <c r="A510" i="5" a="1"/>
  <c r="A510" i="5" s="1"/>
  <c r="A518" i="5" a="1"/>
  <c r="A518" i="5" s="1"/>
  <c r="A526" i="5" a="1"/>
  <c r="A526" i="5" s="1"/>
  <c r="A534" i="5" a="1"/>
  <c r="A534" i="5" s="1"/>
  <c r="A646" i="5" a="1"/>
  <c r="A646" i="5" s="1"/>
  <c r="A670" i="5" a="1"/>
  <c r="A670" i="5" s="1"/>
  <c r="A686" i="5" a="1"/>
  <c r="A686" i="5" s="1"/>
  <c r="A200" i="5" a="1"/>
  <c r="A200" i="5" s="1"/>
  <c r="A1871" i="5" a="1"/>
  <c r="A1871" i="5" s="1"/>
  <c r="A1735" i="5" a="1"/>
  <c r="A1735" i="5" s="1"/>
  <c r="A1461" i="5" a="1"/>
  <c r="A1461" i="5" s="1"/>
  <c r="A1125" i="5" a="1"/>
  <c r="A1125" i="5" s="1"/>
  <c r="A163" i="5" a="1"/>
  <c r="A163" i="5" s="1"/>
  <c r="A135" i="5" a="1"/>
  <c r="A135" i="5" s="1"/>
  <c r="A385" i="5" a="1"/>
  <c r="A385" i="5" s="1"/>
  <c r="A329" i="5" a="1"/>
  <c r="A329" i="5" s="1"/>
  <c r="A1605" i="5" a="1"/>
  <c r="A1605" i="5" s="1"/>
  <c r="A1173" i="5" a="1"/>
  <c r="A1173" i="5" s="1"/>
  <c r="A896" i="5" a="1"/>
  <c r="A896" i="5" s="1"/>
  <c r="A1751" i="5" a="1"/>
  <c r="A1751" i="5" s="1"/>
  <c r="A1445" i="5" a="1"/>
  <c r="A1445" i="5" s="1"/>
  <c r="A1113" i="5" a="1"/>
  <c r="A1113" i="5" s="1"/>
  <c r="A1803" i="5" a="1"/>
  <c r="A1803" i="5" s="1"/>
  <c r="A1623" i="5" a="1"/>
  <c r="A1623" i="5" s="1"/>
  <c r="A571" i="5" a="1"/>
  <c r="A571" i="5" s="1"/>
  <c r="A51" i="5" a="1"/>
  <c r="A51" i="5" s="1"/>
  <c r="A280" i="5" a="1"/>
  <c r="A280" i="5" s="1"/>
  <c r="A1718" i="5" a="1"/>
  <c r="A1718" i="5" s="1"/>
  <c r="A1781" i="5" a="1"/>
  <c r="A1781" i="5" s="1"/>
  <c r="A1807" i="5" a="1"/>
  <c r="A1807" i="5" s="1"/>
  <c r="A1501" i="5" a="1"/>
  <c r="A1501" i="5" s="1"/>
  <c r="A910" i="5" a="1"/>
  <c r="A910" i="5" s="1"/>
  <c r="A241" i="5" a="1"/>
  <c r="A241" i="5" s="1"/>
  <c r="A1958" i="5" a="1"/>
  <c r="A1958" i="5" s="1"/>
  <c r="A1021" i="5" a="1"/>
  <c r="A1021" i="5" s="1"/>
  <c r="A1145" i="5" a="1"/>
  <c r="A1145" i="5" s="1"/>
  <c r="A206" i="5" a="1"/>
  <c r="A206" i="5" s="1"/>
  <c r="A387" i="5" a="1"/>
  <c r="A387" i="5" s="1"/>
  <c r="A322" i="5" a="1"/>
  <c r="A322" i="5" s="1"/>
  <c r="A1599" i="5" a="1"/>
  <c r="A1599" i="5" s="1"/>
  <c r="A1240" i="5" a="1"/>
  <c r="A1240" i="5" s="1"/>
  <c r="A247" i="5" a="1"/>
  <c r="A247" i="5" s="1"/>
  <c r="A1137" i="5" a="1"/>
  <c r="A1137" i="5" s="1"/>
  <c r="A842" i="5" a="1"/>
  <c r="A842" i="5" s="1"/>
  <c r="A1505" i="5" a="1"/>
  <c r="A1505" i="5" s="1"/>
  <c r="A75" i="5" a="1"/>
  <c r="A75" i="5" s="1"/>
  <c r="A1310" i="5" a="1"/>
  <c r="A1310" i="5" s="1"/>
  <c r="A210" i="5" a="1"/>
  <c r="A210" i="5" s="1"/>
  <c r="A1617" i="5" a="1"/>
  <c r="A1617" i="5" s="1"/>
  <c r="A1435" i="5" a="1"/>
  <c r="A1435" i="5" s="1"/>
  <c r="A1405" i="5" a="1"/>
  <c r="A1405" i="5" s="1"/>
  <c r="A1093" i="5" a="1"/>
  <c r="A1093" i="5" s="1"/>
  <c r="A898" i="5" a="1"/>
  <c r="A898" i="5" s="1"/>
  <c r="A674" i="5" a="1"/>
  <c r="A674" i="5" s="1"/>
  <c r="A688" i="5" a="1"/>
  <c r="A688" i="5" s="1"/>
  <c r="A245" i="5" a="1"/>
  <c r="A245" i="5" s="1"/>
  <c r="A303" i="5" a="1"/>
  <c r="A303" i="5" s="1"/>
  <c r="A1902" i="5" a="1"/>
  <c r="A1902" i="5" s="1"/>
  <c r="A1587" i="5" a="1"/>
  <c r="A1587" i="5" s="1"/>
  <c r="A1763" i="5" a="1"/>
  <c r="A1763" i="5" s="1"/>
  <c r="A1363" i="5" a="1"/>
  <c r="A1363" i="5" s="1"/>
  <c r="A849" i="5" a="1"/>
  <c r="A849" i="5" s="1"/>
  <c r="A618" i="5" a="1"/>
  <c r="A618" i="5" s="1"/>
  <c r="A473" i="5" a="1"/>
  <c r="A473" i="5" s="1"/>
  <c r="A288" i="5" a="1"/>
  <c r="A288" i="5" s="1"/>
  <c r="A345" i="5" a="1"/>
  <c r="A345" i="5" s="1"/>
  <c r="A217" i="5" a="1"/>
  <c r="A217" i="5" s="1"/>
  <c r="A1677" i="5" a="1"/>
  <c r="A1677" i="5" s="1"/>
  <c r="A1547" i="5" a="1"/>
  <c r="A1547" i="5" s="1"/>
  <c r="A1091" i="5" a="1"/>
  <c r="A1091" i="5" s="1"/>
  <c r="A1212" i="5" a="1"/>
  <c r="A1212" i="5" s="1"/>
  <c r="A977" i="5" a="1"/>
  <c r="A977" i="5" s="1"/>
  <c r="A872" i="5" a="1"/>
  <c r="A872" i="5" s="1"/>
  <c r="A535" i="5" a="1"/>
  <c r="A535" i="5" s="1"/>
  <c r="A328" i="5" a="1"/>
  <c r="A328" i="5" s="1"/>
  <c r="A373" i="5" a="1"/>
  <c r="A373" i="5" s="1"/>
  <c r="A479" i="5" a="1"/>
  <c r="A479" i="5" s="1"/>
  <c r="A137" i="5" a="1"/>
  <c r="A137" i="5" s="1"/>
  <c r="A1129" i="5" a="1"/>
  <c r="A1129" i="5" s="1"/>
  <c r="A155" i="5" a="1"/>
  <c r="A155" i="5" s="1"/>
  <c r="A1678" i="5" a="1"/>
  <c r="A1678" i="5" s="1"/>
  <c r="A1374" i="5" a="1"/>
  <c r="A1374" i="5" s="1"/>
  <c r="A1275" i="5" a="1"/>
  <c r="A1275" i="5" s="1"/>
  <c r="A932" i="5" a="1"/>
  <c r="A932" i="5" s="1"/>
  <c r="A881" i="5" a="1"/>
  <c r="A881" i="5" s="1"/>
  <c r="A700" i="5" a="1"/>
  <c r="A700" i="5" s="1"/>
  <c r="A325" i="5" a="1"/>
  <c r="A325" i="5" s="1"/>
  <c r="A367" i="5" a="1"/>
  <c r="A367" i="5" s="1"/>
  <c r="A1879" i="5" a="1"/>
  <c r="A1879" i="5" s="1"/>
  <c r="A1149" i="5" a="1"/>
  <c r="A1149" i="5" s="1"/>
  <c r="A863" i="5" a="1"/>
  <c r="A863" i="5" s="1"/>
  <c r="A718" i="5" a="1"/>
  <c r="A718" i="5" s="1"/>
  <c r="A1895" i="5" a="1"/>
  <c r="A1895" i="5" s="1"/>
  <c r="A1699" i="5" a="1"/>
  <c r="A1699" i="5" s="1"/>
  <c r="A1579" i="5" a="1"/>
  <c r="A1579" i="5" s="1"/>
  <c r="A1451" i="5" a="1"/>
  <c r="A1451" i="5" s="1"/>
  <c r="A1153" i="5" a="1"/>
  <c r="A1153" i="5" s="1"/>
  <c r="A1055" i="5" a="1"/>
  <c r="A1055" i="5" s="1"/>
  <c r="A906" i="5" a="1"/>
  <c r="A906" i="5" s="1"/>
  <c r="A414" i="5" a="1"/>
  <c r="A414" i="5" s="1"/>
  <c r="A545" i="5" a="1"/>
  <c r="A545" i="5" s="1"/>
  <c r="A270" i="5" a="1"/>
  <c r="A270" i="5" s="1"/>
  <c r="A77" i="5" a="1"/>
  <c r="A77" i="5" s="1"/>
  <c r="A1077" i="5" a="1"/>
  <c r="A1077" i="5" s="1"/>
  <c r="A623" i="5" a="1"/>
  <c r="A623" i="5" s="1"/>
  <c r="A209" i="5" a="1"/>
  <c r="A209" i="5" s="1"/>
  <c r="A26" i="5" a="1"/>
  <c r="A26" i="5" s="1"/>
  <c r="A38" i="5" a="1"/>
  <c r="A38" i="5" s="1"/>
  <c r="A44" i="5" a="1"/>
  <c r="A44" i="5" s="1"/>
  <c r="A84" i="5" a="1"/>
  <c r="A84" i="5" s="1"/>
  <c r="A124" i="5" a="1"/>
  <c r="A124" i="5" s="1"/>
  <c r="A164" i="5" a="1"/>
  <c r="A164" i="5" s="1"/>
  <c r="A417" i="5" a="1"/>
  <c r="A417" i="5" s="1"/>
  <c r="A425" i="5" a="1"/>
  <c r="A425" i="5" s="1"/>
  <c r="A433" i="5" a="1"/>
  <c r="A433" i="5" s="1"/>
  <c r="A441" i="5" a="1"/>
  <c r="A441" i="5" s="1"/>
  <c r="A449" i="5" a="1"/>
  <c r="A449" i="5" s="1"/>
  <c r="A457" i="5" a="1"/>
  <c r="A457" i="5" s="1"/>
  <c r="A905" i="5" a="1"/>
  <c r="A905" i="5" s="1"/>
  <c r="A334" i="5" a="1"/>
  <c r="A334" i="5" s="1"/>
  <c r="A15" i="5" a="1"/>
  <c r="A15" i="5" s="1"/>
  <c r="A97" i="5" a="1"/>
  <c r="A97" i="5" s="1"/>
  <c r="A113" i="5" a="1"/>
  <c r="A113" i="5" s="1"/>
  <c r="A129" i="5" a="1"/>
  <c r="A129" i="5" s="1"/>
  <c r="A196" i="5" a="1"/>
  <c r="A196" i="5" s="1"/>
  <c r="A212" i="5" a="1"/>
  <c r="A212" i="5" s="1"/>
  <c r="A300" i="5" a="1"/>
  <c r="A300" i="5" s="1"/>
  <c r="A396" i="5" a="1"/>
  <c r="A396" i="5" s="1"/>
  <c r="A1877" i="5" a="1"/>
  <c r="A1877" i="5" s="1"/>
  <c r="A1591" i="5" a="1"/>
  <c r="A1591" i="5" s="1"/>
  <c r="A1197" i="5" a="1"/>
  <c r="A1197" i="5" s="1"/>
  <c r="A1036" i="5" a="1"/>
  <c r="A1036" i="5" s="1"/>
  <c r="A310" i="5" a="1"/>
  <c r="A310" i="5" s="1"/>
  <c r="A43" i="5" a="1"/>
  <c r="A43" i="5" s="1"/>
  <c r="A264" i="5" a="1"/>
  <c r="A264" i="5" s="1"/>
  <c r="A611" i="5" a="1"/>
  <c r="A611" i="5" s="1"/>
  <c r="A1787" i="5" a="1"/>
  <c r="A1787" i="5" s="1"/>
  <c r="A1087" i="5" a="1"/>
  <c r="A1087" i="5" s="1"/>
  <c r="A888" i="5" a="1"/>
  <c r="A888" i="5" s="1"/>
  <c r="A939" i="5" a="1"/>
  <c r="A939" i="5" s="1"/>
  <c r="A86" i="5" a="1"/>
  <c r="A86" i="5" s="1"/>
  <c r="A358" i="5" a="1"/>
  <c r="A358" i="5" s="1"/>
  <c r="A394" i="5" a="1"/>
  <c r="A394" i="5" s="1"/>
  <c r="A1670" i="5" a="1"/>
  <c r="A1670" i="5" s="1"/>
  <c r="A211" i="5" a="1"/>
  <c r="A211" i="5" s="1"/>
  <c r="A1935" i="5" a="1"/>
  <c r="A1935" i="5" s="1"/>
  <c r="A1659" i="5" a="1"/>
  <c r="A1659" i="5" s="1"/>
  <c r="A1635" i="5" a="1"/>
  <c r="A1635" i="5" s="1"/>
  <c r="A1702" i="5" a="1"/>
  <c r="A1702" i="5" s="1"/>
  <c r="A1499" i="5" a="1"/>
  <c r="A1499" i="5" s="1"/>
  <c r="A1242" i="5" a="1"/>
  <c r="A1242" i="5" s="1"/>
  <c r="A1025" i="5" a="1"/>
  <c r="A1025" i="5" s="1"/>
  <c r="A831" i="5" a="1"/>
  <c r="A831" i="5" s="1"/>
  <c r="A823" i="5" a="1"/>
  <c r="A823" i="5" s="1"/>
  <c r="A815" i="5" a="1"/>
  <c r="A815" i="5" s="1"/>
  <c r="A286" i="5" a="1"/>
  <c r="A286" i="5" s="1"/>
  <c r="A166" i="5" a="1"/>
  <c r="A166" i="5" s="1"/>
  <c r="A187" i="5" a="1"/>
  <c r="A187" i="5" s="1"/>
  <c r="A215" i="5" a="1"/>
  <c r="A215" i="5" s="1"/>
  <c r="A1910" i="5" a="1"/>
  <c r="A1910" i="5" s="1"/>
  <c r="A1308" i="5" a="1"/>
  <c r="A1308" i="5" s="1"/>
  <c r="A682" i="5" a="1"/>
  <c r="A682" i="5" s="1"/>
  <c r="A355" i="5" a="1"/>
  <c r="A355" i="5" s="1"/>
  <c r="A107" i="5" a="1"/>
  <c r="A107" i="5" s="1"/>
  <c r="A279" i="5" a="1"/>
  <c r="A279" i="5" s="1"/>
  <c r="A1875" i="5" a="1"/>
  <c r="A1875" i="5" s="1"/>
  <c r="A1637" i="5" a="1"/>
  <c r="A1637" i="5" s="1"/>
  <c r="A395" i="5" a="1"/>
  <c r="A395" i="5" s="1"/>
  <c r="A290" i="5" a="1"/>
  <c r="A290" i="5" s="1"/>
  <c r="A1901" i="5" a="1"/>
  <c r="A1901" i="5" s="1"/>
  <c r="A1618" i="5" a="1"/>
  <c r="A1618" i="5" s="1"/>
  <c r="A1767" i="5" a="1"/>
  <c r="A1767" i="5" s="1"/>
  <c r="A921" i="5" a="1"/>
  <c r="A921" i="5" s="1"/>
  <c r="A400" i="5" a="1"/>
  <c r="A400" i="5" s="1"/>
  <c r="A483" i="5" a="1"/>
  <c r="A483" i="5" s="1"/>
  <c r="A706" i="5" a="1"/>
  <c r="A706" i="5" s="1"/>
  <c r="A181" i="5" a="1"/>
  <c r="A181" i="5" s="1"/>
  <c r="A517" i="5" a="1"/>
  <c r="A517" i="5" s="1"/>
  <c r="A167" i="5" a="1"/>
  <c r="A167" i="5" s="1"/>
  <c r="A1765" i="5" a="1"/>
  <c r="A1765" i="5" s="1"/>
  <c r="A1741" i="5" a="1"/>
  <c r="A1741" i="5" s="1"/>
  <c r="A1306" i="5" a="1"/>
  <c r="A1306" i="5" s="1"/>
  <c r="A1109" i="5" a="1"/>
  <c r="A1109" i="5" s="1"/>
  <c r="A948" i="5" a="1"/>
  <c r="A948" i="5" s="1"/>
  <c r="A1092" i="5" a="1"/>
  <c r="A1092" i="5" s="1"/>
  <c r="A294" i="5" a="1"/>
  <c r="A294" i="5" s="1"/>
  <c r="A408" i="5" a="1"/>
  <c r="A408" i="5" s="1"/>
  <c r="A253" i="5" a="1"/>
  <c r="A253" i="5" s="1"/>
  <c r="A455" i="5" a="1"/>
  <c r="A455" i="5" s="1"/>
  <c r="A375" i="5" a="1"/>
  <c r="A375" i="5" s="1"/>
  <c r="A151" i="5" a="1"/>
  <c r="A151" i="5" s="1"/>
  <c r="A1725" i="5" a="1"/>
  <c r="A1725" i="5" s="1"/>
  <c r="A1615" i="5" a="1"/>
  <c r="A1615" i="5" s="1"/>
  <c r="A1519" i="5" a="1"/>
  <c r="A1519" i="5" s="1"/>
  <c r="A1522" i="5" a="1"/>
  <c r="A1522" i="5" s="1"/>
  <c r="A1520" i="5" a="1"/>
  <c r="A1520" i="5" s="1"/>
  <c r="A1485" i="5" a="1"/>
  <c r="A1485" i="5" s="1"/>
  <c r="A1202" i="5" a="1"/>
  <c r="A1202" i="5" s="1"/>
  <c r="A860" i="5" a="1"/>
  <c r="A860" i="5" s="1"/>
  <c r="A1893" i="5" a="1"/>
  <c r="A1893" i="5" s="1"/>
  <c r="A1799" i="5" a="1"/>
  <c r="A1799" i="5" s="1"/>
  <c r="A1643" i="5" a="1"/>
  <c r="A1643" i="5" s="1"/>
  <c r="A1662" i="5" a="1"/>
  <c r="A1662" i="5" s="1"/>
  <c r="A1819" i="5" a="1"/>
  <c r="A1819" i="5" s="1"/>
  <c r="A1302" i="5" a="1"/>
  <c r="A1302" i="5" s="1"/>
  <c r="A1377" i="5" a="1"/>
  <c r="A1377" i="5" s="1"/>
  <c r="A1060" i="5" a="1"/>
  <c r="A1060" i="5" s="1"/>
  <c r="A816" i="5" a="1"/>
  <c r="A816" i="5" s="1"/>
  <c r="A1121" i="5" a="1"/>
  <c r="A1121" i="5" s="1"/>
  <c r="A824" i="5" a="1"/>
  <c r="A824" i="5" s="1"/>
  <c r="A832" i="5" a="1"/>
  <c r="A832" i="5" s="1"/>
  <c r="A377" i="5" a="1"/>
  <c r="A377" i="5" s="1"/>
  <c r="A169" i="5" a="1"/>
  <c r="A169" i="5" s="1"/>
  <c r="A1675" i="5" a="1"/>
  <c r="A1675" i="5" s="1"/>
  <c r="A333" i="5" a="1"/>
  <c r="A333" i="5" s="1"/>
  <c r="A1845" i="5" a="1"/>
  <c r="A1845" i="5" s="1"/>
  <c r="A1514" i="5" a="1"/>
  <c r="A1514" i="5" s="1"/>
  <c r="A1757" i="5" a="1"/>
  <c r="A1757" i="5" s="1"/>
  <c r="A991" i="5" a="1"/>
  <c r="A991" i="5" s="1"/>
  <c r="A704" i="5" a="1"/>
  <c r="A704" i="5" s="1"/>
  <c r="A615" i="5" a="1"/>
  <c r="A615" i="5" s="1"/>
  <c r="A1585" i="5" a="1"/>
  <c r="A1585" i="5" s="1"/>
  <c r="A763" i="5" a="1"/>
  <c r="A763" i="5" s="1"/>
  <c r="A141" i="5" a="1"/>
  <c r="A141" i="5" s="1"/>
  <c r="A1415" i="5" a="1"/>
  <c r="A1415" i="5" s="1"/>
  <c r="A201" i="5" a="1"/>
  <c r="A201" i="5" s="1"/>
  <c r="A1853" i="5" a="1"/>
  <c r="A1853" i="5" s="1"/>
  <c r="A839" i="5" a="1"/>
  <c r="A839" i="5" s="1"/>
  <c r="A287" i="5" a="1"/>
  <c r="A287" i="5" s="1"/>
  <c r="A1975" i="5" a="1"/>
  <c r="A1975" i="5" s="1"/>
  <c r="A1550" i="5" a="1"/>
  <c r="A1550" i="5" s="1"/>
  <c r="A1208" i="5" a="1"/>
  <c r="A1208" i="5" s="1"/>
  <c r="A919" i="5" a="1"/>
  <c r="A919" i="5" s="1"/>
  <c r="A173" i="5" a="1"/>
  <c r="A173" i="5" s="1"/>
  <c r="A467" i="5" a="1"/>
  <c r="A467" i="5" s="1"/>
  <c r="A734" i="5" a="1"/>
  <c r="A734" i="5" s="1"/>
  <c r="A1789" i="5" a="1"/>
  <c r="A1789" i="5" s="1"/>
  <c r="A1475" i="5" a="1"/>
  <c r="A1475" i="5" s="1"/>
  <c r="A676" i="5" a="1"/>
  <c r="A676" i="5" s="1"/>
  <c r="A409" i="5" a="1"/>
  <c r="A409" i="5" s="1"/>
  <c r="A1286" i="5" a="1"/>
  <c r="A1286" i="5" s="1"/>
  <c r="A1097" i="5" a="1"/>
  <c r="A1097" i="5" s="1"/>
  <c r="A889" i="5" a="1"/>
  <c r="A889" i="5" s="1"/>
  <c r="A10" i="5" a="1"/>
  <c r="A10" i="5" s="1"/>
  <c r="A138" i="5" a="1"/>
  <c r="A138" i="5" s="1"/>
  <c r="A639" i="5" a="1"/>
  <c r="A639" i="5" s="1"/>
  <c r="A924" i="5" a="1"/>
  <c r="A924" i="5" s="1"/>
  <c r="A756" i="5" a="1"/>
  <c r="A756" i="5" s="1"/>
  <c r="A386" i="5" a="1"/>
  <c r="A386" i="5" s="1"/>
  <c r="A186" i="5" a="1"/>
  <c r="A186" i="5" s="1"/>
  <c r="A684" i="5" a="1"/>
  <c r="A684" i="5" s="1"/>
  <c r="A1867" i="5" a="1"/>
  <c r="A1867" i="5" s="1"/>
  <c r="A1715" i="5" a="1"/>
  <c r="A1715" i="5" s="1"/>
  <c r="A352" i="5" a="1"/>
  <c r="A352" i="5" s="1"/>
  <c r="A1919" i="5" a="1"/>
  <c r="A1919" i="5" s="1"/>
  <c r="A1346" i="5" a="1"/>
  <c r="A1346" i="5" s="1"/>
  <c r="A1379" i="5" a="1"/>
  <c r="A1379" i="5" s="1"/>
  <c r="A714" i="5" a="1"/>
  <c r="A714" i="5" s="1"/>
  <c r="A150" i="5" a="1"/>
  <c r="A150" i="5" s="1"/>
  <c r="A503" i="5" a="1"/>
  <c r="A503" i="5" s="1"/>
  <c r="A471" i="5" a="1"/>
  <c r="A471" i="5" s="1"/>
  <c r="A301" i="5" a="1"/>
  <c r="A301" i="5" s="1"/>
  <c r="A157" i="5" a="1"/>
  <c r="A157" i="5" s="1"/>
  <c r="A199" i="5" a="1"/>
  <c r="A199" i="5" s="1"/>
  <c r="A185" i="5" a="1"/>
  <c r="A185" i="5" s="1"/>
  <c r="A1250" i="5" a="1"/>
  <c r="A1250" i="5" s="1"/>
  <c r="A890" i="5" a="1"/>
  <c r="A890" i="5" s="1"/>
  <c r="A828" i="5" a="1"/>
  <c r="A828" i="5" s="1"/>
  <c r="A820" i="5" a="1"/>
  <c r="A820" i="5" s="1"/>
  <c r="A812" i="5" a="1"/>
  <c r="A812" i="5" s="1"/>
  <c r="A161" i="5" a="1"/>
  <c r="A161" i="5" s="1"/>
  <c r="A1911" i="5" a="1"/>
  <c r="A1911" i="5" s="1"/>
  <c r="A1627" i="5" a="1"/>
  <c r="A1627" i="5" s="1"/>
  <c r="A134" i="5" a="1"/>
  <c r="A134" i="5" s="1"/>
  <c r="A272" i="5" a="1"/>
  <c r="A272" i="5" s="1"/>
  <c r="A317" i="5" a="1"/>
  <c r="A317" i="5" s="1"/>
  <c r="A750" i="5" a="1"/>
  <c r="A750" i="5" s="1"/>
  <c r="A259" i="5" a="1"/>
  <c r="A259" i="5" s="1"/>
  <c r="A127" i="5" a="1"/>
  <c r="A127" i="5" s="1"/>
  <c r="A13" i="5" a="1"/>
  <c r="A13" i="5" s="1"/>
  <c r="A33" i="5" a="1"/>
  <c r="A33" i="5" s="1"/>
  <c r="A42" i="5" a="1"/>
  <c r="A42" i="5" s="1"/>
  <c r="A74" i="5" a="1"/>
  <c r="A74" i="5" s="1"/>
  <c r="A90" i="5" a="1"/>
  <c r="A90" i="5" s="1"/>
  <c r="A152" i="5" a="1"/>
  <c r="A152" i="5" s="1"/>
  <c r="A176" i="5" a="1"/>
  <c r="A176" i="5" s="1"/>
  <c r="A208" i="5" a="1"/>
  <c r="A208" i="5" s="1"/>
  <c r="A240" i="5" a="1"/>
  <c r="A240" i="5" s="1"/>
  <c r="A276" i="5" a="1"/>
  <c r="A276" i="5" s="1"/>
  <c r="A308" i="5" a="1"/>
  <c r="A308" i="5" s="1"/>
  <c r="A434" i="5" a="1"/>
  <c r="A434" i="5" s="1"/>
  <c r="A466" i="5" a="1"/>
  <c r="A466" i="5" s="1"/>
  <c r="A474" i="5" a="1"/>
  <c r="A474" i="5" s="1"/>
  <c r="A482" i="5" a="1"/>
  <c r="A482" i="5" s="1"/>
  <c r="A490" i="5" a="1"/>
  <c r="A490" i="5" s="1"/>
  <c r="A498" i="5" a="1"/>
  <c r="A498" i="5" s="1"/>
  <c r="A506" i="5" a="1"/>
  <c r="A506" i="5" s="1"/>
  <c r="A514" i="5" a="1"/>
  <c r="A514" i="5" s="1"/>
  <c r="A522" i="5" a="1"/>
  <c r="A522" i="5" s="1"/>
  <c r="A530" i="5" a="1"/>
  <c r="A530" i="5" s="1"/>
  <c r="A538" i="5" a="1"/>
  <c r="A538" i="5" s="1"/>
  <c r="A546" i="5" a="1"/>
  <c r="A546" i="5" s="1"/>
  <c r="A562" i="5" a="1"/>
  <c r="A562" i="5" s="1"/>
  <c r="A570" i="5" a="1"/>
  <c r="A570" i="5" s="1"/>
  <c r="A578" i="5" a="1"/>
  <c r="A578" i="5" s="1"/>
  <c r="A594" i="5" a="1"/>
  <c r="A594" i="5" s="1"/>
  <c r="A602" i="5" a="1"/>
  <c r="A602" i="5" s="1"/>
  <c r="A610" i="5" a="1"/>
  <c r="A610" i="5" s="1"/>
  <c r="A626" i="5" a="1"/>
  <c r="A626" i="5" s="1"/>
  <c r="A634" i="5" a="1"/>
  <c r="A634" i="5" s="1"/>
  <c r="A1926" i="5" a="1"/>
  <c r="A1926" i="5" s="1"/>
  <c r="A1839" i="5" a="1"/>
  <c r="A1839" i="5" s="1"/>
  <c r="A1469" i="5" a="1"/>
  <c r="A1469" i="5" s="1"/>
  <c r="A897" i="5" a="1"/>
  <c r="A897" i="5" s="1"/>
  <c r="A350" i="5" a="1"/>
  <c r="A350" i="5" s="1"/>
  <c r="A289" i="5" a="1"/>
  <c r="A289" i="5" s="1"/>
  <c r="A1639" i="5" a="1"/>
  <c r="A1639" i="5" s="1"/>
  <c r="A1157" i="5" a="1"/>
  <c r="A1157" i="5" s="1"/>
  <c r="A1350" i="5" a="1"/>
  <c r="A1350" i="5" s="1"/>
  <c r="A1028" i="5" a="1"/>
  <c r="A1028" i="5" s="1"/>
  <c r="A246" i="5" a="1"/>
  <c r="A246" i="5" s="1"/>
  <c r="A147" i="5" a="1"/>
  <c r="A147" i="5" s="1"/>
  <c r="A203" i="5" a="1"/>
  <c r="A203" i="5" s="1"/>
  <c r="A515" i="5" a="1"/>
  <c r="A515" i="5" s="1"/>
  <c r="A988" i="5" a="1"/>
  <c r="A988" i="5" s="1"/>
  <c r="A903" i="5" a="1"/>
  <c r="A903" i="5" s="1"/>
  <c r="A1206" i="5" a="1"/>
  <c r="A1206" i="5" s="1"/>
  <c r="A874" i="5" a="1"/>
  <c r="A874" i="5" s="1"/>
  <c r="A291" i="5" a="1"/>
  <c r="A291" i="5" s="1"/>
  <c r="A353" i="5" a="1"/>
  <c r="A353" i="5" s="1"/>
  <c r="A746" i="5" a="1"/>
  <c r="A746" i="5" s="1"/>
  <c r="A361" i="5" a="1"/>
  <c r="A361" i="5" s="1"/>
  <c r="A1886" i="5" a="1"/>
  <c r="A1886" i="5" s="1"/>
  <c r="A1791" i="5" a="1"/>
  <c r="A1791" i="5" s="1"/>
  <c r="A1218" i="5" a="1"/>
  <c r="A1218" i="5" s="1"/>
  <c r="A1017" i="5" a="1"/>
  <c r="A1017" i="5" s="1"/>
  <c r="A101" i="5" a="1"/>
  <c r="A101" i="5" s="1"/>
  <c r="A579" i="5" a="1"/>
  <c r="A579" i="5" s="1"/>
  <c r="A1595" i="5" a="1"/>
  <c r="A1595" i="5" s="1"/>
  <c r="A880" i="5" a="1"/>
  <c r="A880" i="5" s="1"/>
  <c r="A261" i="5" a="1"/>
  <c r="A261" i="5" s="1"/>
  <c r="A642" i="5" a="1"/>
  <c r="A642" i="5" s="1"/>
  <c r="A249" i="5" a="1"/>
  <c r="A249" i="5" s="1"/>
  <c r="A1631" i="5" a="1"/>
  <c r="A1631" i="5" s="1"/>
  <c r="A972" i="5" a="1"/>
  <c r="A972" i="5" s="1"/>
  <c r="A1989" i="5" a="1"/>
  <c r="A1989" i="5" s="1"/>
  <c r="A1933" i="5" a="1"/>
  <c r="A1933" i="5" s="1"/>
  <c r="A1947" i="5" a="1"/>
  <c r="A1947" i="5" s="1"/>
  <c r="A1931" i="5" a="1"/>
  <c r="A1931" i="5" s="1"/>
  <c r="A1907" i="5" a="1"/>
  <c r="A1907" i="5" s="1"/>
  <c r="A1883" i="5" a="1"/>
  <c r="A1883" i="5" s="1"/>
  <c r="A1942" i="5" a="1"/>
  <c r="A1942" i="5" s="1"/>
  <c r="A1959" i="5" a="1"/>
  <c r="A1959" i="5" s="1"/>
  <c r="A1887" i="5" a="1"/>
  <c r="A1887" i="5" s="1"/>
  <c r="A1943" i="5" a="1"/>
  <c r="A1943" i="5" s="1"/>
  <c r="A1797" i="5" a="1"/>
  <c r="A1797" i="5" s="1"/>
  <c r="A1759" i="5" a="1"/>
  <c r="A1759" i="5" s="1"/>
  <c r="A1727" i="5" a="1"/>
  <c r="A1727" i="5" s="1"/>
  <c r="A1723" i="5" a="1"/>
  <c r="A1723" i="5" s="1"/>
  <c r="A1731" i="5" a="1"/>
  <c r="A1731" i="5" s="1"/>
  <c r="A1563" i="5" a="1"/>
  <c r="A1563" i="5" s="1"/>
  <c r="A1829" i="5" a="1"/>
  <c r="A1829" i="5" s="1"/>
  <c r="A1739" i="5" a="1"/>
  <c r="A1739" i="5" s="1"/>
  <c r="A1711" i="5" a="1"/>
  <c r="A1711" i="5" s="1"/>
  <c r="A1709" i="5" a="1"/>
  <c r="A1709" i="5" s="1"/>
  <c r="A1656" i="5" a="1"/>
  <c r="A1656" i="5" s="1"/>
  <c r="A1575" i="5" a="1"/>
  <c r="A1575" i="5" s="1"/>
  <c r="A1831" i="5" a="1"/>
  <c r="A1831" i="5" s="1"/>
  <c r="A1601" i="5" a="1"/>
  <c r="A1601" i="5" s="1"/>
  <c r="A1795" i="5" a="1"/>
  <c r="A1795" i="5" s="1"/>
  <c r="A1561" i="5" a="1"/>
  <c r="A1561" i="5" s="1"/>
  <c r="A1477" i="5" a="1"/>
  <c r="A1477" i="5" s="1"/>
  <c r="A1491" i="5" a="1"/>
  <c r="A1491" i="5" s="1"/>
  <c r="A1441" i="5" a="1"/>
  <c r="A1441" i="5" s="1"/>
  <c r="A1555" i="5" a="1"/>
  <c r="A1555" i="5" s="1"/>
  <c r="A1539" i="5" a="1"/>
  <c r="A1539" i="5" s="1"/>
  <c r="A1476" i="5" a="1"/>
  <c r="A1476" i="5" s="1"/>
  <c r="A1422" i="5" a="1"/>
  <c r="A1422" i="5" s="1"/>
  <c r="A1417" i="5" a="1"/>
  <c r="A1417" i="5" s="1"/>
  <c r="A1559" i="5" a="1"/>
  <c r="A1559" i="5" s="1"/>
  <c r="A1551" i="5" a="1"/>
  <c r="A1551" i="5" s="1"/>
  <c r="A1543" i="5" a="1"/>
  <c r="A1543" i="5" s="1"/>
  <c r="A1541" i="5" a="1"/>
  <c r="A1541" i="5" s="1"/>
  <c r="A1537" i="5" a="1"/>
  <c r="A1537" i="5" s="1"/>
  <c r="A1535" i="5" a="1"/>
  <c r="A1535" i="5" s="1"/>
  <c r="A1529" i="5" a="1"/>
  <c r="A1529" i="5" s="1"/>
  <c r="A1527" i="5" a="1"/>
  <c r="A1527" i="5" s="1"/>
  <c r="A1419" i="5" a="1"/>
  <c r="A1419" i="5" s="1"/>
  <c r="A1277" i="5" a="1"/>
  <c r="A1277" i="5" s="1"/>
  <c r="A1523" i="5" a="1"/>
  <c r="A1523" i="5" s="1"/>
  <c r="A1342" i="5" a="1"/>
  <c r="A1342" i="5" s="1"/>
  <c r="A1329" i="5" a="1"/>
  <c r="A1329" i="5" s="1"/>
  <c r="A1525" i="5" a="1"/>
  <c r="A1525" i="5" s="1"/>
  <c r="A1369" i="5" a="1"/>
  <c r="A1369" i="5" s="1"/>
  <c r="A1258" i="5" a="1"/>
  <c r="A1258" i="5" s="1"/>
  <c r="A1414" i="5" a="1"/>
  <c r="A1414" i="5" s="1"/>
  <c r="A1401" i="5" a="1"/>
  <c r="A1401" i="5" s="1"/>
  <c r="A1314" i="5" a="1"/>
  <c r="A1314" i="5" s="1"/>
  <c r="A1234" i="5" a="1"/>
  <c r="A1234" i="5" s="1"/>
  <c r="A1141" i="5" a="1"/>
  <c r="A1141" i="5" s="1"/>
  <c r="A1321" i="5" a="1"/>
  <c r="A1321" i="5" s="1"/>
  <c r="A1354" i="5" a="1"/>
  <c r="A1354" i="5" s="1"/>
  <c r="A1467" i="5" a="1"/>
  <c r="A1467" i="5" s="1"/>
  <c r="A1352" i="5" a="1"/>
  <c r="A1352" i="5" s="1"/>
  <c r="A1313" i="5" a="1"/>
  <c r="A1313" i="5" s="1"/>
  <c r="A1160" i="5" a="1"/>
  <c r="A1160" i="5" s="1"/>
  <c r="A1291" i="5" a="1"/>
  <c r="A1291" i="5" s="1"/>
  <c r="A1213" i="5" a="1"/>
  <c r="A1213" i="5" s="1"/>
  <c r="A1196" i="5" a="1"/>
  <c r="A1196" i="5" s="1"/>
  <c r="A1185" i="5" a="1"/>
  <c r="A1185" i="5" s="1"/>
  <c r="A1105" i="5" a="1"/>
  <c r="A1105" i="5" s="1"/>
  <c r="A1168" i="5" a="1"/>
  <c r="A1168" i="5" s="1"/>
  <c r="A1161" i="5" a="1"/>
  <c r="A1161" i="5" s="1"/>
  <c r="A1140" i="5" a="1"/>
  <c r="A1140" i="5" s="1"/>
  <c r="A1085" i="5" a="1"/>
  <c r="A1085" i="5" s="1"/>
  <c r="A1053" i="5" a="1"/>
  <c r="A1053" i="5" s="1"/>
  <c r="A1005" i="5" a="1"/>
  <c r="A1005" i="5" s="1"/>
  <c r="A1297" i="5" a="1"/>
  <c r="A1297" i="5" s="1"/>
  <c r="A1281" i="5" a="1"/>
  <c r="A1281" i="5" s="1"/>
  <c r="A1265" i="5" a="1"/>
  <c r="A1265" i="5" s="1"/>
  <c r="A1233" i="5" a="1"/>
  <c r="A1233" i="5" s="1"/>
  <c r="A1176" i="5" a="1"/>
  <c r="A1176" i="5" s="1"/>
  <c r="A1112" i="5" a="1"/>
  <c r="A1112" i="5" s="1"/>
  <c r="A1260" i="5" a="1"/>
  <c r="A1260" i="5" s="1"/>
  <c r="A1244" i="5" a="1"/>
  <c r="A1244" i="5" s="1"/>
  <c r="A1117" i="5" a="1"/>
  <c r="A1117" i="5" s="1"/>
  <c r="A1013" i="5" a="1"/>
  <c r="A1013" i="5" s="1"/>
  <c r="A1065" i="5" a="1"/>
  <c r="A1065" i="5" s="1"/>
  <c r="A1041" i="5" a="1"/>
  <c r="A1041" i="5" s="1"/>
  <c r="A927" i="5" a="1"/>
  <c r="A927" i="5" s="1"/>
  <c r="A848" i="5" a="1"/>
  <c r="A848" i="5" s="1"/>
  <c r="A1169" i="5" a="1"/>
  <c r="A1169" i="5" s="1"/>
  <c r="A1108" i="5" a="1"/>
  <c r="A1108" i="5" s="1"/>
  <c r="A856" i="5" a="1"/>
  <c r="A856" i="5" s="1"/>
  <c r="A1073" i="5" a="1"/>
  <c r="A1073" i="5" s="1"/>
  <c r="A1044" i="5" a="1"/>
  <c r="A1044" i="5" s="1"/>
  <c r="A1012" i="5" a="1"/>
  <c r="A1012" i="5" s="1"/>
  <c r="A989" i="5" a="1"/>
  <c r="A989" i="5" s="1"/>
  <c r="A973" i="5" a="1"/>
  <c r="A973" i="5" s="1"/>
  <c r="A957" i="5" a="1"/>
  <c r="A957" i="5" s="1"/>
  <c r="A975" i="5" a="1"/>
  <c r="A975" i="5" s="1"/>
  <c r="A941" i="5" a="1"/>
  <c r="A941" i="5" s="1"/>
  <c r="A911" i="5" a="1"/>
  <c r="A911" i="5" s="1"/>
  <c r="A1099" i="5" a="1"/>
  <c r="A1099" i="5" s="1"/>
  <c r="A937" i="5" a="1"/>
  <c r="A937" i="5" s="1"/>
  <c r="A925" i="5" a="1"/>
  <c r="A925" i="5" s="1"/>
  <c r="A810" i="5" a="1"/>
  <c r="A810" i="5" s="1"/>
  <c r="A778" i="5" a="1"/>
  <c r="A778" i="5" s="1"/>
  <c r="A762" i="5" a="1"/>
  <c r="A762" i="5" s="1"/>
  <c r="A792" i="5" a="1"/>
  <c r="A792" i="5" s="1"/>
  <c r="A776" i="5" a="1"/>
  <c r="A776" i="5" s="1"/>
  <c r="A760" i="5" a="1"/>
  <c r="A760" i="5" s="1"/>
  <c r="A728" i="5" a="1"/>
  <c r="A728" i="5" s="1"/>
  <c r="A857" i="5" a="1"/>
  <c r="A857" i="5" s="1"/>
  <c r="A841" i="5" a="1"/>
  <c r="A841" i="5" s="1"/>
  <c r="A811" i="5" a="1"/>
  <c r="A811" i="5" s="1"/>
  <c r="A795" i="5" a="1"/>
  <c r="A795" i="5" s="1"/>
  <c r="A779" i="5" a="1"/>
  <c r="A779" i="5" s="1"/>
  <c r="A772" i="5" a="1"/>
  <c r="A772" i="5" s="1"/>
  <c r="A740" i="5" a="1"/>
  <c r="A740" i="5" s="1"/>
  <c r="A731" i="5" a="1"/>
  <c r="A731" i="5" s="1"/>
  <c r="A873" i="5" a="1"/>
  <c r="A873" i="5" s="1"/>
  <c r="A770" i="5" a="1"/>
  <c r="A770" i="5" s="1"/>
  <c r="A722" i="5" a="1"/>
  <c r="A722" i="5" s="1"/>
  <c r="A914" i="5" a="1"/>
  <c r="A914" i="5" s="1"/>
  <c r="A800" i="5" a="1"/>
  <c r="A800" i="5" s="1"/>
  <c r="A784" i="5" a="1"/>
  <c r="A784" i="5" s="1"/>
  <c r="A768" i="5" a="1"/>
  <c r="A768" i="5" s="1"/>
  <c r="A752" i="5" a="1"/>
  <c r="A752" i="5" s="1"/>
  <c r="A879" i="5" a="1"/>
  <c r="A879" i="5" s="1"/>
  <c r="A805" i="5" a="1"/>
  <c r="A805" i="5" s="1"/>
  <c r="A798" i="5" a="1"/>
  <c r="A798" i="5" s="1"/>
  <c r="A789" i="5" a="1"/>
  <c r="A789" i="5" s="1"/>
  <c r="A782" i="5" a="1"/>
  <c r="A782" i="5" s="1"/>
  <c r="A773" i="5" a="1"/>
  <c r="A773" i="5" s="1"/>
  <c r="A766" i="5" a="1"/>
  <c r="A766" i="5" s="1"/>
  <c r="A757" i="5" a="1"/>
  <c r="A757" i="5" s="1"/>
  <c r="A834" i="5" a="1"/>
  <c r="A834" i="5" s="1"/>
  <c r="A826" i="5" a="1"/>
  <c r="A826" i="5" s="1"/>
  <c r="A818" i="5" a="1"/>
  <c r="A818" i="5" s="1"/>
  <c r="A803" i="5" a="1"/>
  <c r="A803" i="5" s="1"/>
  <c r="A787" i="5" a="1"/>
  <c r="A787" i="5" s="1"/>
  <c r="A607" i="5" a="1"/>
  <c r="A607" i="5" s="1"/>
  <c r="A577" i="5" a="1"/>
  <c r="A577" i="5" s="1"/>
  <c r="A575" i="5" a="1"/>
  <c r="A575" i="5" s="1"/>
  <c r="A543" i="5" a="1"/>
  <c r="A543" i="5" s="1"/>
  <c r="A605" i="5" a="1"/>
  <c r="A605" i="5" s="1"/>
  <c r="A554" i="5" a="1"/>
  <c r="A554" i="5" s="1"/>
  <c r="A661" i="5" a="1"/>
  <c r="A661" i="5" s="1"/>
  <c r="A519" i="5" a="1"/>
  <c r="A519" i="5" s="1"/>
  <c r="A683" i="5" a="1"/>
  <c r="A683" i="5" s="1"/>
  <c r="A595" i="5" a="1"/>
  <c r="A595" i="5" s="1"/>
  <c r="A708" i="5" a="1"/>
  <c r="A708" i="5" s="1"/>
  <c r="A693" i="5" a="1"/>
  <c r="A693" i="5" s="1"/>
  <c r="A655" i="5" a="1"/>
  <c r="A655" i="5" s="1"/>
  <c r="A725" i="5" a="1"/>
  <c r="A725" i="5" s="1"/>
  <c r="A741" i="5" a="1"/>
  <c r="A741" i="5" s="1"/>
  <c r="A723" i="5" a="1"/>
  <c r="A723" i="5" s="1"/>
  <c r="A527" i="5" a="1"/>
  <c r="A527" i="5" s="1"/>
  <c r="A513" i="5" a="1"/>
  <c r="A513" i="5" s="1"/>
  <c r="A463" i="5" a="1"/>
  <c r="A463" i="5" s="1"/>
  <c r="A709" i="5" a="1"/>
  <c r="A709" i="5" s="1"/>
  <c r="A652" i="5" a="1"/>
  <c r="A652" i="5" s="1"/>
  <c r="A547" i="5" a="1"/>
  <c r="A547" i="5" s="1"/>
  <c r="A712" i="5" a="1"/>
  <c r="A712" i="5" s="1"/>
  <c r="A298" i="5" a="1"/>
  <c r="A298" i="5" s="1"/>
  <c r="A1007" i="5" a="1"/>
  <c r="A1007" i="5" s="1"/>
  <c r="A278" i="5" a="1"/>
  <c r="A278" i="5" s="1"/>
  <c r="A1909" i="5" a="1"/>
  <c r="A1909" i="5" s="1"/>
  <c r="A231" i="5" a="1"/>
  <c r="A231" i="5" s="1"/>
  <c r="A1667" i="5" a="1"/>
  <c r="A1667" i="5" s="1"/>
  <c r="A1827" i="5" a="1"/>
  <c r="A1827" i="5" s="1"/>
  <c r="A1607" i="5" a="1"/>
  <c r="A1607" i="5" s="1"/>
  <c r="A1298" i="5" a="1"/>
  <c r="A1298" i="5" s="1"/>
  <c r="A1033" i="5" a="1"/>
  <c r="A1033" i="5" s="1"/>
  <c r="A961" i="5" a="1"/>
  <c r="A961" i="5" s="1"/>
  <c r="A698" i="5" a="1"/>
  <c r="A698" i="5" s="1"/>
  <c r="A847" i="5" a="1"/>
  <c r="A847" i="5" s="1"/>
  <c r="A403" i="5" a="1"/>
  <c r="A403" i="5" s="1"/>
  <c r="A587" i="5" a="1"/>
  <c r="A587" i="5" s="1"/>
  <c r="A313" i="5" a="1"/>
  <c r="A313" i="5" s="1"/>
  <c r="A1427" i="5" a="1"/>
  <c r="A1427" i="5" s="1"/>
  <c r="A83" i="5" a="1"/>
  <c r="A83" i="5" s="1"/>
  <c r="A667" i="5" a="1"/>
  <c r="A667" i="5" s="1"/>
  <c r="A382" i="5" a="1"/>
  <c r="A382" i="5" s="1"/>
  <c r="A379" i="5" a="1"/>
  <c r="A379" i="5" s="1"/>
  <c r="A1701" i="5" a="1"/>
  <c r="A1701" i="5" s="1"/>
  <c r="A949" i="5" a="1"/>
  <c r="A949" i="5" s="1"/>
  <c r="A243" i="5" a="1"/>
  <c r="A243" i="5" s="1"/>
  <c r="A219" i="5" a="1"/>
  <c r="A219" i="5" s="1"/>
  <c r="A179" i="5" a="1"/>
  <c r="A179" i="5" s="1"/>
  <c r="A1075" i="5" a="1"/>
  <c r="A1075" i="5" s="1"/>
  <c r="A882" i="5" a="1"/>
  <c r="A882" i="5" s="1"/>
  <c r="A724" i="5" a="1"/>
  <c r="A724" i="5" s="1"/>
  <c r="A125" i="5" a="1"/>
  <c r="A125" i="5" s="1"/>
  <c r="A273" i="5" a="1"/>
  <c r="A273" i="5" s="1"/>
  <c r="A1570" i="5" a="1"/>
  <c r="A1570" i="5" s="1"/>
  <c r="A1165" i="5" a="1"/>
  <c r="A1165" i="5" s="1"/>
  <c r="A1274" i="5" a="1"/>
  <c r="A1274" i="5" s="1"/>
  <c r="A1069" i="5" a="1"/>
  <c r="A1069" i="5" s="1"/>
  <c r="A1037" i="5" a="1"/>
  <c r="A1037" i="5" s="1"/>
  <c r="A912" i="5" a="1"/>
  <c r="A912" i="5" s="1"/>
  <c r="A368" i="5" a="1"/>
  <c r="A368" i="5" s="1"/>
  <c r="A133" i="5" a="1"/>
  <c r="A133" i="5" s="1"/>
  <c r="A391" i="5" a="1"/>
  <c r="A391" i="5" s="1"/>
  <c r="A585" i="5" a="1"/>
  <c r="A585" i="5" s="1"/>
  <c r="A1823" i="5" a="1"/>
  <c r="A1823" i="5" s="1"/>
  <c r="A1811" i="5" a="1"/>
  <c r="A1811" i="5" s="1"/>
  <c r="A1507" i="5" a="1"/>
  <c r="A1507" i="5" s="1"/>
  <c r="A1226" i="5" a="1"/>
  <c r="A1226" i="5" s="1"/>
  <c r="A1052" i="5" a="1"/>
  <c r="A1052" i="5" s="1"/>
  <c r="A933" i="5" a="1"/>
  <c r="A933" i="5" s="1"/>
  <c r="A871" i="5" a="1"/>
  <c r="A871" i="5" s="1"/>
  <c r="A696" i="5" a="1"/>
  <c r="A696" i="5" s="1"/>
  <c r="A416" i="5" a="1"/>
  <c r="A416" i="5" s="1"/>
  <c r="A277" i="5" a="1"/>
  <c r="A277" i="5" s="1"/>
  <c r="A497" i="5" a="1"/>
  <c r="A497" i="5" s="1"/>
  <c r="A145" i="5" a="1"/>
  <c r="A145" i="5" s="1"/>
  <c r="A1554" i="5" a="1"/>
  <c r="A1554" i="5" s="1"/>
  <c r="A1734" i="5" a="1"/>
  <c r="A1734" i="5" s="1"/>
  <c r="A1259" i="5" a="1"/>
  <c r="A1259" i="5" s="1"/>
  <c r="A295" i="5" a="1"/>
  <c r="A295" i="5" s="1"/>
  <c r="A1934" i="5" a="1"/>
  <c r="A1934" i="5" s="1"/>
  <c r="A755" i="5" a="1"/>
  <c r="A755" i="5" s="1"/>
  <c r="A1348" i="5" a="1"/>
  <c r="A1348" i="5" s="1"/>
  <c r="A67" i="5" a="1"/>
  <c r="A67" i="5" s="1"/>
  <c r="A1647" i="5" a="1"/>
  <c r="A1647" i="5" s="1"/>
  <c r="A254" i="5" a="1"/>
  <c r="A254" i="5" s="1"/>
  <c r="A118" i="5" a="1"/>
  <c r="A118" i="5" s="1"/>
  <c r="A748" i="5" a="1"/>
  <c r="A748" i="5" s="1"/>
  <c r="A265" i="5" a="1"/>
  <c r="A265" i="5" s="1"/>
  <c r="A1144" i="5" a="1"/>
  <c r="A1144" i="5" s="1"/>
  <c r="A794" i="5" a="1"/>
  <c r="A794" i="5" s="1"/>
  <c r="A808" i="5" a="1"/>
  <c r="A808" i="5" s="1"/>
  <c r="A802" i="5" a="1"/>
  <c r="A802" i="5" s="1"/>
  <c r="A786" i="5" a="1"/>
  <c r="A786" i="5" s="1"/>
  <c r="A868" i="5" a="1"/>
  <c r="A868" i="5" s="1"/>
  <c r="A376" i="5" a="1"/>
  <c r="A376" i="5" s="1"/>
  <c r="A1254" i="5" a="1"/>
  <c r="A1254" i="5" s="1"/>
  <c r="A788" i="5" a="1"/>
  <c r="A788" i="5" s="1"/>
  <c r="A720" i="5" a="1"/>
  <c r="A720" i="5" s="1"/>
  <c r="A895" i="5" a="1"/>
  <c r="A895" i="5" s="1"/>
  <c r="A796" i="5" a="1"/>
  <c r="A796" i="5" s="1"/>
  <c r="A780" i="5" a="1"/>
  <c r="A780" i="5" s="1"/>
  <c r="A1177" i="5" a="1"/>
  <c r="A1177" i="5" s="1"/>
  <c r="A1148" i="5" a="1"/>
  <c r="A1148" i="5" s="1"/>
  <c r="A19" i="5" a="1"/>
  <c r="A19" i="5" s="1"/>
  <c r="A487" i="5" a="1"/>
  <c r="A487" i="5" s="1"/>
  <c r="A1671" i="5" a="1"/>
  <c r="A1671" i="5" s="1"/>
  <c r="A1116" i="5" a="1"/>
  <c r="A1116" i="5" s="1"/>
  <c r="A625" i="5" a="1"/>
  <c r="A625" i="5" s="1"/>
  <c r="A178" i="5" a="1"/>
  <c r="A178" i="5" s="1"/>
  <c r="A1663" i="5" a="1"/>
  <c r="A1663" i="5" s="1"/>
  <c r="A1395" i="5" a="1"/>
  <c r="A1395" i="5" s="1"/>
  <c r="A1068" i="5" a="1"/>
  <c r="A1068" i="5" s="1"/>
  <c r="A1227" i="5" a="1"/>
  <c r="A1227" i="5" s="1"/>
  <c r="A996" i="5" a="1"/>
  <c r="A996" i="5" s="1"/>
  <c r="A402" i="5" a="1"/>
  <c r="A402" i="5" s="1"/>
  <c r="A370" i="5" a="1"/>
  <c r="A370" i="5" s="1"/>
  <c r="A716" i="5" a="1"/>
  <c r="A716" i="5" s="1"/>
  <c r="A8" i="5" a="1"/>
  <c r="A8" i="5" s="1"/>
  <c r="A16" i="5" a="1"/>
  <c r="A16" i="5" s="1"/>
  <c r="A22" i="5" a="1"/>
  <c r="A22" i="5" s="1"/>
  <c r="A52" i="5" a="1"/>
  <c r="A52" i="5" s="1"/>
  <c r="A56" i="5" a="1"/>
  <c r="A56" i="5" s="1"/>
  <c r="A148" i="5" a="1"/>
  <c r="A148" i="5" s="1"/>
  <c r="A429" i="5" a="1"/>
  <c r="A429" i="5" s="1"/>
  <c r="A461" i="5" a="1"/>
  <c r="A461" i="5" s="1"/>
  <c r="A477" i="5" a="1"/>
  <c r="A477" i="5" s="1"/>
  <c r="A493" i="5" a="1"/>
  <c r="A493" i="5" s="1"/>
  <c r="A509" i="5" a="1"/>
  <c r="A509" i="5" s="1"/>
  <c r="A525" i="5" a="1"/>
  <c r="A525" i="5" s="1"/>
  <c r="A541" i="5" a="1"/>
  <c r="A541" i="5" s="1"/>
  <c r="A549" i="5" a="1"/>
  <c r="A549" i="5" s="1"/>
  <c r="A557" i="5" a="1"/>
  <c r="A557" i="5" s="1"/>
  <c r="A565" i="5" a="1"/>
  <c r="A565" i="5" s="1"/>
  <c r="A581" i="5" a="1"/>
  <c r="A581" i="5" s="1"/>
  <c r="A589" i="5" a="1"/>
  <c r="A589" i="5" s="1"/>
  <c r="A597" i="5" a="1"/>
  <c r="A597" i="5" s="1"/>
  <c r="A613" i="5" a="1"/>
  <c r="A613" i="5" s="1"/>
  <c r="A621" i="5" a="1"/>
  <c r="A621" i="5" s="1"/>
  <c r="A629" i="5" a="1"/>
  <c r="A629" i="5" s="1"/>
  <c r="A1228" i="5" a="1"/>
  <c r="A1228" i="5" s="1"/>
  <c r="A739" i="5" a="1"/>
  <c r="A739" i="5" s="1"/>
  <c r="A1338" i="5" a="1"/>
  <c r="A1338" i="5" s="1"/>
  <c r="A677" i="5" a="1"/>
  <c r="A677" i="5" s="1"/>
  <c r="A1710" i="5" a="1"/>
  <c r="A1710" i="5" s="1"/>
  <c r="A1717" i="5" a="1"/>
  <c r="A1717" i="5" s="1"/>
  <c r="A1642" i="5" a="1"/>
  <c r="A1642" i="5" s="1"/>
  <c r="A1557" i="5" a="1"/>
  <c r="A1557" i="5" s="1"/>
  <c r="A1403" i="5" a="1"/>
  <c r="A1403" i="5" s="1"/>
  <c r="A1181" i="5" a="1"/>
  <c r="A1181" i="5" s="1"/>
  <c r="A980" i="5" a="1"/>
  <c r="A980" i="5" s="1"/>
  <c r="A747" i="5" a="1"/>
  <c r="A747" i="5" s="1"/>
  <c r="A884" i="5" a="1"/>
  <c r="A884" i="5" s="1"/>
  <c r="A354" i="5" a="1"/>
  <c r="A354" i="5" s="1"/>
  <c r="A1567" i="5" a="1"/>
  <c r="A1567" i="5" s="1"/>
  <c r="A1045" i="5" a="1"/>
  <c r="A1045" i="5" s="1"/>
  <c r="A964" i="5" a="1"/>
  <c r="A964" i="5" s="1"/>
  <c r="A1001" i="5" a="1"/>
  <c r="A1001" i="5" s="1"/>
  <c r="A390" i="5" a="1"/>
  <c r="A390" i="5" s="1"/>
  <c r="A78" i="5" a="1"/>
  <c r="A78" i="5" s="1"/>
  <c r="A165" i="5" a="1"/>
  <c r="A165" i="5" s="1"/>
  <c r="A1973" i="5" a="1"/>
  <c r="A1973" i="5" s="1"/>
  <c r="A1649" i="5" a="1"/>
  <c r="A1649" i="5" s="1"/>
  <c r="A1457" i="5" a="1"/>
  <c r="A1457" i="5" s="1"/>
  <c r="A1453" i="5" a="1"/>
  <c r="A1453" i="5" s="1"/>
  <c r="A1266" i="5" a="1"/>
  <c r="A1266" i="5" s="1"/>
  <c r="A956" i="5" a="1"/>
  <c r="A956" i="5" s="1"/>
  <c r="A969" i="5" a="1"/>
  <c r="A969" i="5" s="1"/>
  <c r="A309" i="5" a="1"/>
  <c r="A309" i="5" s="1"/>
  <c r="A213" i="5" a="1"/>
  <c r="A213" i="5" s="1"/>
  <c r="A1941" i="5" a="1"/>
  <c r="A1941" i="5" s="1"/>
  <c r="A1967" i="5" a="1"/>
  <c r="A1967" i="5" s="1"/>
  <c r="A1755" i="5" a="1"/>
  <c r="A1755" i="5" s="1"/>
  <c r="A1189" i="5" a="1"/>
  <c r="A1189" i="5" s="1"/>
  <c r="A945" i="5" a="1"/>
  <c r="A945" i="5" s="1"/>
  <c r="A744" i="5" a="1"/>
  <c r="A744" i="5" s="1"/>
  <c r="A315" i="5" a="1"/>
  <c r="A315" i="5" s="1"/>
  <c r="A71" i="5" a="1"/>
  <c r="A71" i="5" s="1"/>
  <c r="A1957" i="5" a="1"/>
  <c r="A1957" i="5" s="1"/>
  <c r="A306" i="5" a="1"/>
  <c r="A306" i="5" s="1"/>
  <c r="A1981" i="5" a="1"/>
  <c r="A1981" i="5" s="1"/>
  <c r="A1899" i="5" a="1"/>
  <c r="A1899" i="5" s="1"/>
  <c r="A1837" i="5" a="1"/>
  <c r="A1837" i="5" s="1"/>
  <c r="A1695" i="5" a="1"/>
  <c r="A1695" i="5" s="1"/>
  <c r="A1703" i="5" a="1"/>
  <c r="A1703" i="5" s="1"/>
  <c r="A1509" i="5" a="1"/>
  <c r="A1509" i="5" s="1"/>
  <c r="A1597" i="5" a="1"/>
  <c r="A1597" i="5" s="1"/>
  <c r="A1385" i="5" a="1"/>
  <c r="A1385" i="5" s="1"/>
  <c r="A1290" i="5" a="1"/>
  <c r="A1290" i="5" s="1"/>
  <c r="A1238" i="5" a="1"/>
  <c r="A1238" i="5" s="1"/>
  <c r="A1020" i="5" a="1"/>
  <c r="A1020" i="5" s="1"/>
  <c r="A865" i="5" a="1"/>
  <c r="A865" i="5" s="1"/>
  <c r="A374" i="5" a="1"/>
  <c r="A374" i="5" s="1"/>
  <c r="A214" i="5" a="1"/>
  <c r="A214" i="5" s="1"/>
  <c r="A339" i="5" a="1"/>
  <c r="A339" i="5" s="1"/>
  <c r="A392" i="5" a="1"/>
  <c r="A392" i="5" s="1"/>
  <c r="A269" i="5" a="1"/>
  <c r="A269" i="5" s="1"/>
  <c r="A591" i="5" a="1"/>
  <c r="A591" i="5" s="1"/>
  <c r="A533" i="5" a="1"/>
  <c r="A533" i="5" s="1"/>
  <c r="A338" i="5" a="1"/>
  <c r="A338" i="5" s="1"/>
  <c r="A636" i="5" a="1"/>
  <c r="A636" i="5" s="1"/>
  <c r="A1133" i="5" a="1"/>
  <c r="A1133" i="5" s="1"/>
  <c r="A730" i="5" a="1"/>
  <c r="A730" i="5" s="1"/>
  <c r="A1409" i="5" a="1"/>
  <c r="A1409" i="5" s="1"/>
  <c r="A275" i="5" a="1"/>
  <c r="A275" i="5" s="1"/>
  <c r="A1965" i="5" a="1"/>
  <c r="A1965" i="5" s="1"/>
  <c r="A1571" i="5" a="1"/>
  <c r="A1571" i="5" s="1"/>
  <c r="A1546" i="5" a="1"/>
  <c r="A1546" i="5" s="1"/>
  <c r="A1344" i="5" a="1"/>
  <c r="A1344" i="5" s="1"/>
  <c r="A242" i="5" a="1"/>
  <c r="A242" i="5" s="1"/>
  <c r="A1923" i="5" a="1"/>
  <c r="A1923" i="5" s="1"/>
  <c r="A1878" i="5" a="1"/>
  <c r="A1878" i="5" s="1"/>
  <c r="A1603" i="5" a="1"/>
  <c r="A1603" i="5" s="1"/>
  <c r="A1330" i="5" a="1"/>
  <c r="A1330" i="5" s="1"/>
  <c r="A1180" i="5" a="1"/>
  <c r="A1180" i="5" s="1"/>
  <c r="A690" i="5" a="1"/>
  <c r="A690" i="5" s="1"/>
  <c r="A218" i="5" a="1"/>
  <c r="A218" i="5" s="1"/>
  <c r="A143" i="5" a="1"/>
  <c r="A143" i="5" s="1"/>
  <c r="A1843" i="5" a="1"/>
  <c r="A1843" i="5" s="1"/>
  <c r="A1903" i="5" a="1"/>
  <c r="A1903" i="5" s="1"/>
  <c r="A1249" i="5" a="1"/>
  <c r="A1249" i="5" s="1"/>
  <c r="A378" i="5" a="1"/>
  <c r="A378" i="5" s="1"/>
  <c r="A1593" i="5" a="1"/>
  <c r="A1593" i="5" s="1"/>
  <c r="A1076" i="5" a="1"/>
  <c r="A1076" i="5" s="1"/>
  <c r="A900" i="5" a="1"/>
  <c r="A900" i="5" s="1"/>
  <c r="A344" i="5" a="1"/>
  <c r="A344" i="5" s="1"/>
  <c r="A159" i="5" a="1"/>
  <c r="A159" i="5" s="1"/>
  <c r="A672" i="5" a="1"/>
  <c r="A672" i="5" s="1"/>
  <c r="A415" i="5" a="1"/>
  <c r="A415" i="5" s="1"/>
  <c r="A664" i="5" a="1"/>
  <c r="A664" i="5" s="1"/>
  <c r="A3" i="5" a="1"/>
  <c r="A3" i="5" s="1"/>
  <c r="A11" i="5" a="1"/>
  <c r="A11" i="5" s="1"/>
  <c r="A28" i="5" a="1"/>
  <c r="A28" i="5" s="1"/>
  <c r="A31" i="5" a="1"/>
  <c r="A31" i="5" s="1"/>
  <c r="A40" i="5" a="1"/>
  <c r="A40" i="5" s="1"/>
  <c r="A144" i="5" a="1"/>
  <c r="A144" i="5" s="1"/>
  <c r="A172" i="5" a="1"/>
  <c r="A172" i="5" s="1"/>
  <c r="A188" i="5" a="1"/>
  <c r="A188" i="5" s="1"/>
  <c r="A204" i="5" a="1"/>
  <c r="A204" i="5" s="1"/>
  <c r="A220" i="5" a="1"/>
  <c r="A220" i="5" s="1"/>
  <c r="A236" i="5" a="1"/>
  <c r="A236" i="5" s="1"/>
  <c r="A252" i="5" a="1"/>
  <c r="A252" i="5" s="1"/>
  <c r="A284" i="5" a="1"/>
  <c r="A284" i="5" s="1"/>
  <c r="A316" i="5" a="1"/>
  <c r="A316" i="5" s="1"/>
  <c r="A380" i="5" a="1"/>
  <c r="A380" i="5" s="1"/>
  <c r="A424" i="5" a="1"/>
  <c r="A424" i="5" s="1"/>
  <c r="A432" i="5" a="1"/>
  <c r="A432" i="5" s="1"/>
  <c r="A440" i="5" a="1"/>
  <c r="A440" i="5" s="1"/>
  <c r="A448" i="5" a="1"/>
  <c r="A448" i="5" s="1"/>
  <c r="A456" i="5" a="1"/>
  <c r="A456" i="5" s="1"/>
  <c r="A656" i="5" a="1"/>
  <c r="A656" i="5" s="1"/>
  <c r="A468" i="5" a="1"/>
  <c r="A468" i="5" s="1"/>
  <c r="A484" i="5" a="1"/>
  <c r="A484" i="5" s="1"/>
  <c r="A500" i="5" a="1"/>
  <c r="A500" i="5" s="1"/>
  <c r="A516" i="5" a="1"/>
  <c r="A516" i="5" s="1"/>
  <c r="A532" i="5" a="1"/>
  <c r="A532" i="5" s="1"/>
  <c r="A560" i="5" a="1"/>
  <c r="A560" i="5" s="1"/>
  <c r="A592" i="5" a="1"/>
  <c r="A592" i="5" s="1"/>
  <c r="A624" i="5" a="1"/>
  <c r="A624" i="5" s="1"/>
  <c r="A654" i="5" a="1"/>
  <c r="A654" i="5" s="1"/>
  <c r="A436" i="5" a="1"/>
  <c r="A436" i="5" s="1"/>
  <c r="A564" i="5" a="1"/>
  <c r="A564" i="5" s="1"/>
  <c r="A566" i="5" a="1"/>
  <c r="A566" i="5" s="1"/>
  <c r="A596" i="5" a="1"/>
  <c r="A596" i="5" s="1"/>
  <c r="A598" i="5" a="1"/>
  <c r="A598" i="5" s="1"/>
  <c r="A628" i="5" a="1"/>
  <c r="A628" i="5" s="1"/>
  <c r="A630" i="5" a="1"/>
  <c r="A630" i="5" s="1"/>
  <c r="A638" i="5" a="1"/>
  <c r="A638" i="5" s="1"/>
  <c r="A640" i="5" a="1"/>
  <c r="A640" i="5" s="1"/>
  <c r="A648" i="5" a="1"/>
  <c r="A648" i="5" s="1"/>
  <c r="A662" i="5" a="1"/>
  <c r="A662" i="5" s="1"/>
  <c r="A678" i="5" a="1"/>
  <c r="A678" i="5" s="1"/>
  <c r="A703" i="5" a="1"/>
  <c r="A703" i="5" s="1"/>
  <c r="A758" i="5" a="1"/>
  <c r="A758" i="5" s="1"/>
  <c r="A774" i="5" a="1"/>
  <c r="A774" i="5" s="1"/>
  <c r="A790" i="5" a="1"/>
  <c r="A790" i="5" s="1"/>
  <c r="A806" i="5" a="1"/>
  <c r="A806" i="5" s="1"/>
  <c r="A472" i="5" a="1"/>
  <c r="A472" i="5" s="1"/>
  <c r="A488" i="5" a="1"/>
  <c r="A488" i="5" s="1"/>
  <c r="A504" i="5" a="1"/>
  <c r="A504" i="5" s="1"/>
  <c r="A520" i="5" a="1"/>
  <c r="A520" i="5" s="1"/>
  <c r="A536" i="5" a="1"/>
  <c r="A536" i="5" s="1"/>
  <c r="A568" i="5" a="1"/>
  <c r="A568" i="5" s="1"/>
  <c r="A600" i="5" a="1"/>
  <c r="A600" i="5" s="1"/>
  <c r="A632" i="5" a="1"/>
  <c r="A632" i="5" s="1"/>
  <c r="A701" i="5" a="1"/>
  <c r="A701" i="5" s="1"/>
  <c r="A428" i="5" a="1"/>
  <c r="A428" i="5" s="1"/>
  <c r="A460" i="5" a="1"/>
  <c r="A460" i="5" s="1"/>
  <c r="A540" i="5" a="1"/>
  <c r="A540" i="5" s="1"/>
  <c r="A542" i="5" a="1"/>
  <c r="A542" i="5" s="1"/>
  <c r="A572" i="5" a="1"/>
  <c r="A572" i="5" s="1"/>
  <c r="A574" i="5" a="1"/>
  <c r="A574" i="5" s="1"/>
  <c r="A604" i="5" a="1"/>
  <c r="A604" i="5" s="1"/>
  <c r="A606" i="5" a="1"/>
  <c r="A606" i="5" s="1"/>
  <c r="A476" i="5" a="1"/>
  <c r="A476" i="5" s="1"/>
  <c r="A492" i="5" a="1"/>
  <c r="A492" i="5" s="1"/>
  <c r="A508" i="5" a="1"/>
  <c r="A508" i="5" s="1"/>
  <c r="A524" i="5" a="1"/>
  <c r="A524" i="5" s="1"/>
  <c r="A544" i="5" a="1"/>
  <c r="A544" i="5" s="1"/>
  <c r="A576" i="5" a="1"/>
  <c r="A576" i="5" s="1"/>
  <c r="A608" i="5" a="1"/>
  <c r="A608" i="5" s="1"/>
  <c r="A649" i="5" a="1"/>
  <c r="A649" i="5" s="1"/>
  <c r="A657" i="5" a="1"/>
  <c r="A657" i="5" s="1"/>
  <c r="A671" i="5" a="1"/>
  <c r="A671" i="5" s="1"/>
  <c r="A687" i="5" a="1"/>
  <c r="A687" i="5" s="1"/>
  <c r="A710" i="5" a="1"/>
  <c r="A710" i="5" s="1"/>
  <c r="A749" i="5" a="1"/>
  <c r="A749" i="5" s="1"/>
  <c r="A420" i="5" a="1"/>
  <c r="A420" i="5" s="1"/>
  <c r="A452" i="5" a="1"/>
  <c r="A452" i="5" s="1"/>
  <c r="A548" i="5" a="1"/>
  <c r="A548" i="5" s="1"/>
  <c r="A550" i="5" a="1"/>
  <c r="A550" i="5" s="1"/>
  <c r="A580" i="5" a="1"/>
  <c r="A580" i="5" s="1"/>
  <c r="A582" i="5" a="1"/>
  <c r="A582" i="5" s="1"/>
  <c r="A612" i="5" a="1"/>
  <c r="A612" i="5" s="1"/>
  <c r="A614" i="5" a="1"/>
  <c r="A614" i="5" s="1"/>
  <c r="A633" i="5" a="1"/>
  <c r="A633" i="5" s="1"/>
  <c r="A635" i="5" a="1"/>
  <c r="A635" i="5" s="1"/>
  <c r="A641" i="5" a="1"/>
  <c r="A641" i="5" s="1"/>
  <c r="A643" i="5" a="1"/>
  <c r="A643" i="5" s="1"/>
  <c r="A645" i="5" a="1"/>
  <c r="A645" i="5" s="1"/>
  <c r="A653" i="5" a="1"/>
  <c r="A653" i="5" s="1"/>
  <c r="A659" i="5" a="1"/>
  <c r="A659" i="5" s="1"/>
  <c r="A663" i="5" a="1"/>
  <c r="A663" i="5" s="1"/>
  <c r="A669" i="5" a="1"/>
  <c r="A669" i="5" s="1"/>
  <c r="A679" i="5" a="1"/>
  <c r="A679" i="5" s="1"/>
  <c r="A685" i="5" a="1"/>
  <c r="A685" i="5" s="1"/>
  <c r="A717" i="5" a="1"/>
  <c r="A717" i="5" s="1"/>
  <c r="A733" i="5" a="1"/>
  <c r="A733" i="5" s="1"/>
  <c r="A742" i="5" a="1"/>
  <c r="A742" i="5" s="1"/>
  <c r="A464" i="5" a="1"/>
  <c r="A464" i="5" s="1"/>
  <c r="A480" i="5" a="1"/>
  <c r="A480" i="5" s="1"/>
  <c r="A496" i="5" a="1"/>
  <c r="A496" i="5" s="1"/>
  <c r="A512" i="5" a="1"/>
  <c r="A512" i="5" s="1"/>
  <c r="A528" i="5" a="1"/>
  <c r="A528" i="5" s="1"/>
  <c r="A552" i="5" a="1"/>
  <c r="A552" i="5" s="1"/>
  <c r="A584" i="5" a="1"/>
  <c r="A584" i="5" s="1"/>
  <c r="A616" i="5" a="1"/>
  <c r="A616" i="5" s="1"/>
  <c r="A637" i="5" a="1"/>
  <c r="A637" i="5" s="1"/>
  <c r="A726" i="5" a="1"/>
  <c r="A726" i="5" s="1"/>
  <c r="A765" i="5" a="1"/>
  <c r="A765" i="5" s="1"/>
  <c r="A781" i="5" a="1"/>
  <c r="A781" i="5" s="1"/>
  <c r="A797" i="5" a="1"/>
  <c r="A797" i="5" s="1"/>
  <c r="A444" i="5" a="1"/>
  <c r="A444" i="5" s="1"/>
  <c r="A556" i="5" a="1"/>
  <c r="A556" i="5" s="1"/>
  <c r="A558" i="5" a="1"/>
  <c r="A558" i="5" s="1"/>
  <c r="A588" i="5" a="1"/>
  <c r="A588" i="5" s="1"/>
  <c r="A590" i="5" a="1"/>
  <c r="A590" i="5" s="1"/>
  <c r="A620" i="5" a="1"/>
  <c r="A620" i="5" s="1"/>
  <c r="A622" i="5" a="1"/>
  <c r="A622" i="5" s="1"/>
  <c r="A694" i="5" a="1"/>
  <c r="A694" i="5" s="1"/>
  <c r="A931" i="5" a="1"/>
  <c r="A931" i="5" s="1"/>
  <c r="A947" i="5" a="1"/>
  <c r="A947" i="5" s="1"/>
  <c r="A955" i="5" a="1"/>
  <c r="A955" i="5" s="1"/>
  <c r="A963" i="5" a="1"/>
  <c r="A963" i="5" s="1"/>
  <c r="A971" i="5" a="1"/>
  <c r="A971" i="5" s="1"/>
  <c r="A979" i="5" a="1"/>
  <c r="A979" i="5" s="1"/>
  <c r="A987" i="5" a="1"/>
  <c r="A987" i="5" s="1"/>
  <c r="A995" i="5" a="1"/>
  <c r="A995" i="5" s="1"/>
  <c r="A1003" i="5" a="1"/>
  <c r="A1003" i="5" s="1"/>
  <c r="A1011" i="5" a="1"/>
  <c r="A1011" i="5" s="1"/>
  <c r="A1019" i="5" a="1"/>
  <c r="A1019" i="5" s="1"/>
  <c r="A1027" i="5" a="1"/>
  <c r="A1027" i="5" s="1"/>
  <c r="A1035" i="5" a="1"/>
  <c r="A1035" i="5" s="1"/>
  <c r="A1043" i="5" a="1"/>
  <c r="A1043" i="5" s="1"/>
  <c r="A1051" i="5" a="1"/>
  <c r="A1051" i="5" s="1"/>
  <c r="A1067" i="5" a="1"/>
  <c r="A1067" i="5" s="1"/>
  <c r="A1083" i="5" a="1"/>
  <c r="A1083" i="5" s="1"/>
  <c r="A814" i="5" a="1"/>
  <c r="A814" i="5" s="1"/>
  <c r="A822" i="5" a="1"/>
  <c r="A822" i="5" s="1"/>
  <c r="A830" i="5" a="1"/>
  <c r="A830" i="5" s="1"/>
  <c r="A838" i="5" a="1"/>
  <c r="A838" i="5" s="1"/>
  <c r="A846" i="5" a="1"/>
  <c r="A846" i="5" s="1"/>
  <c r="A854" i="5" a="1"/>
  <c r="A854" i="5" s="1"/>
  <c r="A862" i="5" a="1"/>
  <c r="A862" i="5" s="1"/>
  <c r="A870" i="5" a="1"/>
  <c r="A870" i="5" s="1"/>
  <c r="A695" i="5" a="1"/>
  <c r="A695" i="5" s="1"/>
  <c r="A711" i="5" a="1"/>
  <c r="A711" i="5" s="1"/>
  <c r="A727" i="5" a="1"/>
  <c r="A727" i="5" s="1"/>
  <c r="A743" i="5" a="1"/>
  <c r="A743" i="5" s="1"/>
  <c r="A759" i="5" a="1"/>
  <c r="A759" i="5" s="1"/>
  <c r="A775" i="5" a="1"/>
  <c r="A775" i="5" s="1"/>
  <c r="A791" i="5" a="1"/>
  <c r="A791" i="5" s="1"/>
  <c r="A807" i="5" a="1"/>
  <c r="A807" i="5" s="1"/>
  <c r="A665" i="5" a="1"/>
  <c r="A665" i="5" s="1"/>
  <c r="A681" i="5" a="1"/>
  <c r="A681" i="5" s="1"/>
  <c r="A697" i="5" a="1"/>
  <c r="A697" i="5" s="1"/>
  <c r="A713" i="5" a="1"/>
  <c r="A713" i="5" s="1"/>
  <c r="A729" i="5" a="1"/>
  <c r="A729" i="5" s="1"/>
  <c r="A745" i="5" a="1"/>
  <c r="A745" i="5" s="1"/>
  <c r="A761" i="5" a="1"/>
  <c r="A761" i="5" s="1"/>
  <c r="A777" i="5" a="1"/>
  <c r="A777" i="5" s="1"/>
  <c r="A793" i="5" a="1"/>
  <c r="A793" i="5" s="1"/>
  <c r="A809" i="5" a="1"/>
  <c r="A809" i="5" s="1"/>
  <c r="A886" i="5" a="1"/>
  <c r="A886" i="5" s="1"/>
  <c r="A902" i="5" a="1"/>
  <c r="A902" i="5" s="1"/>
  <c r="A875" i="5" a="1"/>
  <c r="A875" i="5" s="1"/>
  <c r="A907" i="5" a="1"/>
  <c r="A907" i="5" s="1"/>
  <c r="A819" i="5" a="1"/>
  <c r="A819" i="5" s="1"/>
  <c r="A827" i="5" a="1"/>
  <c r="A827" i="5" s="1"/>
  <c r="A835" i="5" a="1"/>
  <c r="A835" i="5" s="1"/>
  <c r="A843" i="5" a="1"/>
  <c r="A843" i="5" s="1"/>
  <c r="A851" i="5" a="1"/>
  <c r="A851" i="5" s="1"/>
  <c r="A859" i="5" a="1"/>
  <c r="A859" i="5" s="1"/>
  <c r="A867" i="5" a="1"/>
  <c r="A867" i="5" s="1"/>
  <c r="A891" i="5" a="1"/>
  <c r="A891" i="5" s="1"/>
  <c r="A719" i="5" a="1"/>
  <c r="A719" i="5" s="1"/>
  <c r="A735" i="5" a="1"/>
  <c r="A735" i="5" s="1"/>
  <c r="A751" i="5" a="1"/>
  <c r="A751" i="5" s="1"/>
  <c r="A767" i="5" a="1"/>
  <c r="A767" i="5" s="1"/>
  <c r="A783" i="5" a="1"/>
  <c r="A783" i="5" s="1"/>
  <c r="A799" i="5" a="1"/>
  <c r="A799" i="5" s="1"/>
  <c r="A878" i="5" a="1"/>
  <c r="A878" i="5" s="1"/>
  <c r="A894" i="5" a="1"/>
  <c r="A894" i="5" s="1"/>
  <c r="A915" i="5" a="1"/>
  <c r="A915" i="5" s="1"/>
  <c r="A673" i="5" a="1"/>
  <c r="A673" i="5" s="1"/>
  <c r="A689" i="5" a="1"/>
  <c r="A689" i="5" s="1"/>
  <c r="A705" i="5" a="1"/>
  <c r="A705" i="5" s="1"/>
  <c r="A721" i="5" a="1"/>
  <c r="A721" i="5" s="1"/>
  <c r="A737" i="5" a="1"/>
  <c r="A737" i="5" s="1"/>
  <c r="A753" i="5" a="1"/>
  <c r="A753" i="5" s="1"/>
  <c r="A769" i="5" a="1"/>
  <c r="A769" i="5" s="1"/>
  <c r="A785" i="5" a="1"/>
  <c r="A785" i="5" s="1"/>
  <c r="A801" i="5" a="1"/>
  <c r="A801" i="5" s="1"/>
  <c r="A883" i="5" a="1"/>
  <c r="A883" i="5" s="1"/>
  <c r="A899" i="5" a="1"/>
  <c r="A899" i="5" s="1"/>
  <c r="A928" i="5" a="1"/>
  <c r="A928" i="5" s="1"/>
  <c r="A944" i="5" a="1"/>
  <c r="A944" i="5" s="1"/>
  <c r="A909" i="5" a="1"/>
  <c r="A909" i="5" s="1"/>
  <c r="A916" i="5" a="1"/>
  <c r="A916" i="5" s="1"/>
  <c r="A935" i="5" a="1"/>
  <c r="A935" i="5" s="1"/>
  <c r="A1024" i="5" a="1"/>
  <c r="A1024" i="5" s="1"/>
  <c r="A1026" i="5" a="1"/>
  <c r="A1026" i="5" s="1"/>
  <c r="A1119" i="5" a="1"/>
  <c r="A1119" i="5" s="1"/>
  <c r="A1124" i="5" a="1"/>
  <c r="A1124" i="5" s="1"/>
  <c r="A1154" i="5" a="1"/>
  <c r="A1154" i="5" s="1"/>
  <c r="A1167" i="5" a="1"/>
  <c r="A1167" i="5" s="1"/>
  <c r="A1211" i="5" a="1"/>
  <c r="A1211" i="5" s="1"/>
  <c r="A813" i="5" a="1"/>
  <c r="A813" i="5" s="1"/>
  <c r="A845" i="5" a="1"/>
  <c r="A845" i="5" s="1"/>
  <c r="A877" i="5" a="1"/>
  <c r="A877" i="5" s="1"/>
  <c r="A1063" i="5" a="1"/>
  <c r="A1063" i="5" s="1"/>
  <c r="A1072" i="5" a="1"/>
  <c r="A1072" i="5" s="1"/>
  <c r="A1074" i="5" a="1"/>
  <c r="A1074" i="5" s="1"/>
  <c r="A1104" i="5" a="1"/>
  <c r="A1104" i="5" s="1"/>
  <c r="A922" i="5" a="1"/>
  <c r="A922" i="5" s="1"/>
  <c r="A951" i="5" a="1"/>
  <c r="A951" i="5" s="1"/>
  <c r="A967" i="5" a="1"/>
  <c r="A967" i="5" s="1"/>
  <c r="A983" i="5" a="1"/>
  <c r="A983" i="5" s="1"/>
  <c r="A999" i="5" a="1"/>
  <c r="A999" i="5" s="1"/>
  <c r="A1016" i="5" a="1"/>
  <c r="A1016" i="5" s="1"/>
  <c r="A1018" i="5" a="1"/>
  <c r="A1018" i="5" s="1"/>
  <c r="A1048" i="5" a="1"/>
  <c r="A1048" i="5" s="1"/>
  <c r="A1050" i="5" a="1"/>
  <c r="A1050" i="5" s="1"/>
  <c r="A1090" i="5" a="1"/>
  <c r="A1090" i="5" s="1"/>
  <c r="A1127" i="5" a="1"/>
  <c r="A1127" i="5" s="1"/>
  <c r="A1132" i="5" a="1"/>
  <c r="A1132" i="5" s="1"/>
  <c r="A1188" i="5" a="1"/>
  <c r="A1188" i="5" s="1"/>
  <c r="A1201" i="5" a="1"/>
  <c r="A1201" i="5" s="1"/>
  <c r="A837" i="5" a="1"/>
  <c r="A837" i="5" s="1"/>
  <c r="A869" i="5" a="1"/>
  <c r="A869" i="5" s="1"/>
  <c r="A901" i="5" a="1"/>
  <c r="A901" i="5" s="1"/>
  <c r="A1031" i="5" a="1"/>
  <c r="A1031" i="5" s="1"/>
  <c r="A1079" i="5" a="1"/>
  <c r="A1079" i="5" s="1"/>
  <c r="A1088" i="5" a="1"/>
  <c r="A1088" i="5" s="1"/>
  <c r="A1095" i="5" a="1"/>
  <c r="A1095" i="5" s="1"/>
  <c r="A1120" i="5" a="1"/>
  <c r="A1120" i="5" s="1"/>
  <c r="A908" i="5" a="1"/>
  <c r="A908" i="5" s="1"/>
  <c r="A917" i="5" a="1"/>
  <c r="A917" i="5" s="1"/>
  <c r="A926" i="5" a="1"/>
  <c r="A926" i="5" s="1"/>
  <c r="A930" i="5" a="1"/>
  <c r="A930" i="5" s="1"/>
  <c r="A936" i="5" a="1"/>
  <c r="A936" i="5" s="1"/>
  <c r="A1008" i="5" a="1"/>
  <c r="A1008" i="5" s="1"/>
  <c r="A1010" i="5" a="1"/>
  <c r="A1010" i="5" s="1"/>
  <c r="A1040" i="5" a="1"/>
  <c r="A1040" i="5" s="1"/>
  <c r="A1042" i="5" a="1"/>
  <c r="A1042" i="5" s="1"/>
  <c r="A1064" i="5" a="1"/>
  <c r="A1064" i="5" s="1"/>
  <c r="A1135" i="5" a="1"/>
  <c r="A1135" i="5" s="1"/>
  <c r="A1186" i="5" a="1"/>
  <c r="A1186" i="5" s="1"/>
  <c r="A829" i="5" a="1"/>
  <c r="A829" i="5" s="1"/>
  <c r="A861" i="5" a="1"/>
  <c r="A861" i="5" s="1"/>
  <c r="A893" i="5" a="1"/>
  <c r="A893" i="5" s="1"/>
  <c r="A938" i="5" a="1"/>
  <c r="A938" i="5" s="1"/>
  <c r="A1123" i="5" a="1"/>
  <c r="A1123" i="5" s="1"/>
  <c r="A1128" i="5" a="1"/>
  <c r="A1128" i="5" s="1"/>
  <c r="A942" i="5" a="1"/>
  <c r="A942" i="5" s="1"/>
  <c r="A946" i="5" a="1"/>
  <c r="A946" i="5" s="1"/>
  <c r="A952" i="5" a="1"/>
  <c r="A952" i="5" s="1"/>
  <c r="A954" i="5" a="1"/>
  <c r="A954" i="5" s="1"/>
  <c r="A960" i="5" a="1"/>
  <c r="A960" i="5" s="1"/>
  <c r="A962" i="5" a="1"/>
  <c r="A962" i="5" s="1"/>
  <c r="A968" i="5" a="1"/>
  <c r="A968" i="5" s="1"/>
  <c r="A970" i="5" a="1"/>
  <c r="A970" i="5" s="1"/>
  <c r="A976" i="5" a="1"/>
  <c r="A976" i="5" s="1"/>
  <c r="A978" i="5" a="1"/>
  <c r="A978" i="5" s="1"/>
  <c r="A984" i="5" a="1"/>
  <c r="A984" i="5" s="1"/>
  <c r="A986" i="5" a="1"/>
  <c r="A986" i="5" s="1"/>
  <c r="A992" i="5" a="1"/>
  <c r="A992" i="5" s="1"/>
  <c r="A994" i="5" a="1"/>
  <c r="A994" i="5" s="1"/>
  <c r="A1000" i="5" a="1"/>
  <c r="A1000" i="5" s="1"/>
  <c r="A1002" i="5" a="1"/>
  <c r="A1002" i="5" s="1"/>
  <c r="A1032" i="5" a="1"/>
  <c r="A1032" i="5" s="1"/>
  <c r="A1034" i="5" a="1"/>
  <c r="A1034" i="5" s="1"/>
  <c r="A1080" i="5" a="1"/>
  <c r="A1080" i="5" s="1"/>
  <c r="A1096" i="5" a="1"/>
  <c r="A1096" i="5" s="1"/>
  <c r="A1156" i="5" a="1"/>
  <c r="A1156" i="5" s="1"/>
  <c r="A821" i="5" a="1"/>
  <c r="A821" i="5" s="1"/>
  <c r="A853" i="5" a="1"/>
  <c r="A853" i="5" s="1"/>
  <c r="A885" i="5" a="1"/>
  <c r="A885" i="5" s="1"/>
  <c r="A1015" i="5" a="1"/>
  <c r="A1015" i="5" s="1"/>
  <c r="A1047" i="5" a="1"/>
  <c r="A1047" i="5" s="1"/>
  <c r="A1056" i="5" a="1"/>
  <c r="A1056" i="5" s="1"/>
  <c r="A1058" i="5" a="1"/>
  <c r="A1058" i="5" s="1"/>
  <c r="A1131" i="5" a="1"/>
  <c r="A1131" i="5" s="1"/>
  <c r="A1115" i="5" a="1"/>
  <c r="A1115" i="5" s="1"/>
  <c r="A1143" i="5" a="1"/>
  <c r="A1143" i="5" s="1"/>
  <c r="A1162" i="5" a="1"/>
  <c r="A1162" i="5" s="1"/>
  <c r="A1175" i="5" a="1"/>
  <c r="A1175" i="5" s="1"/>
  <c r="A1194" i="5" a="1"/>
  <c r="A1194" i="5" s="1"/>
  <c r="A1216" i="5" a="1"/>
  <c r="A1216" i="5" s="1"/>
  <c r="A1225" i="5" a="1"/>
  <c r="A1225" i="5" s="1"/>
  <c r="A1232" i="5" a="1"/>
  <c r="A1232" i="5" s="1"/>
  <c r="A1241" i="5" a="1"/>
  <c r="A1241" i="5" s="1"/>
  <c r="A1248" i="5" a="1"/>
  <c r="A1248" i="5" s="1"/>
  <c r="A1257" i="5" a="1"/>
  <c r="A1257" i="5" s="1"/>
  <c r="A1264" i="5" a="1"/>
  <c r="A1264" i="5" s="1"/>
  <c r="A1273" i="5" a="1"/>
  <c r="A1273" i="5" s="1"/>
  <c r="A1280" i="5" a="1"/>
  <c r="A1280" i="5" s="1"/>
  <c r="A1289" i="5" a="1"/>
  <c r="A1289" i="5" s="1"/>
  <c r="A1296" i="5" a="1"/>
  <c r="A1296" i="5" s="1"/>
  <c r="A958" i="5" a="1"/>
  <c r="A958" i="5" s="1"/>
  <c r="A974" i="5" a="1"/>
  <c r="A974" i="5" s="1"/>
  <c r="A990" i="5" a="1"/>
  <c r="A990" i="5" s="1"/>
  <c r="A1006" i="5" a="1"/>
  <c r="A1006" i="5" s="1"/>
  <c r="A1022" i="5" a="1"/>
  <c r="A1022" i="5" s="1"/>
  <c r="A1038" i="5" a="1"/>
  <c r="A1038" i="5" s="1"/>
  <c r="A1054" i="5" a="1"/>
  <c r="A1054" i="5" s="1"/>
  <c r="A1070" i="5" a="1"/>
  <c r="A1070" i="5" s="1"/>
  <c r="A1086" i="5" a="1"/>
  <c r="A1086" i="5" s="1"/>
  <c r="A1102" i="5" a="1"/>
  <c r="A1102" i="5" s="1"/>
  <c r="A1139" i="5" a="1"/>
  <c r="A1139" i="5" s="1"/>
  <c r="A1158" i="5" a="1"/>
  <c r="A1158" i="5" s="1"/>
  <c r="A1171" i="5" a="1"/>
  <c r="A1171" i="5" s="1"/>
  <c r="A1190" i="5" a="1"/>
  <c r="A1190" i="5" s="1"/>
  <c r="A1203" i="5" a="1"/>
  <c r="A1203" i="5" s="1"/>
  <c r="A1221" i="5" a="1"/>
  <c r="A1221" i="5" s="1"/>
  <c r="A1237" i="5" a="1"/>
  <c r="A1237" i="5" s="1"/>
  <c r="A1253" i="5" a="1"/>
  <c r="A1253" i="5" s="1"/>
  <c r="A1269" i="5" a="1"/>
  <c r="A1269" i="5" s="1"/>
  <c r="A1285" i="5" a="1"/>
  <c r="A1285" i="5" s="1"/>
  <c r="A1301" i="5" a="1"/>
  <c r="A1301" i="5" s="1"/>
  <c r="A1311" i="5" a="1"/>
  <c r="A1311" i="5" s="1"/>
  <c r="A1366" i="5" a="1"/>
  <c r="A1366" i="5" s="1"/>
  <c r="A1398" i="5" a="1"/>
  <c r="A1398" i="5" s="1"/>
  <c r="A1214" i="5" a="1"/>
  <c r="A1214" i="5" s="1"/>
  <c r="A1230" i="5" a="1"/>
  <c r="A1230" i="5" s="1"/>
  <c r="A1246" i="5" a="1"/>
  <c r="A1246" i="5" s="1"/>
  <c r="A1262" i="5" a="1"/>
  <c r="A1262" i="5" s="1"/>
  <c r="A1278" i="5" a="1"/>
  <c r="A1278" i="5" s="1"/>
  <c r="A1294" i="5" a="1"/>
  <c r="A1294" i="5" s="1"/>
  <c r="A1304" i="5" a="1"/>
  <c r="A1304" i="5" s="1"/>
  <c r="A1316" i="5" a="1"/>
  <c r="A1316" i="5" s="1"/>
  <c r="A1337" i="5" a="1"/>
  <c r="A1337" i="5" s="1"/>
  <c r="A1345" i="5" a="1"/>
  <c r="A1345" i="5" s="1"/>
  <c r="A1353" i="5" a="1"/>
  <c r="A1353" i="5" s="1"/>
  <c r="A1361" i="5" a="1"/>
  <c r="A1361" i="5" s="1"/>
  <c r="A1393" i="5" a="1"/>
  <c r="A1393" i="5" s="1"/>
  <c r="A1106" i="5" a="1"/>
  <c r="A1106" i="5" s="1"/>
  <c r="A1150" i="5" a="1"/>
  <c r="A1150" i="5" s="1"/>
  <c r="A1163" i="5" a="1"/>
  <c r="A1163" i="5" s="1"/>
  <c r="A1182" i="5" a="1"/>
  <c r="A1182" i="5" s="1"/>
  <c r="A1195" i="5" a="1"/>
  <c r="A1195" i="5" s="1"/>
  <c r="A1219" i="5" a="1"/>
  <c r="A1219" i="5" s="1"/>
  <c r="A1235" i="5" a="1"/>
  <c r="A1235" i="5" s="1"/>
  <c r="A1251" i="5" a="1"/>
  <c r="A1251" i="5" s="1"/>
  <c r="A1267" i="5" a="1"/>
  <c r="A1267" i="5" s="1"/>
  <c r="A1283" i="5" a="1"/>
  <c r="A1283" i="5" s="1"/>
  <c r="A1309" i="5" a="1"/>
  <c r="A1309" i="5" s="1"/>
  <c r="A1319" i="5" a="1"/>
  <c r="A1319" i="5" s="1"/>
  <c r="A1332" i="5" a="1"/>
  <c r="A1332" i="5" s="1"/>
  <c r="A1340" i="5" a="1"/>
  <c r="A1340" i="5" s="1"/>
  <c r="A1356" i="5" a="1"/>
  <c r="A1356" i="5" s="1"/>
  <c r="A1110" i="5" a="1"/>
  <c r="A1110" i="5" s="1"/>
  <c r="A1146" i="5" a="1"/>
  <c r="A1146" i="5" s="1"/>
  <c r="A1159" i="5" a="1"/>
  <c r="A1159" i="5" s="1"/>
  <c r="A1178" i="5" a="1"/>
  <c r="A1178" i="5" s="1"/>
  <c r="A1191" i="5" a="1"/>
  <c r="A1191" i="5" s="1"/>
  <c r="A1204" i="5" a="1"/>
  <c r="A1204" i="5" s="1"/>
  <c r="A1312" i="5" a="1"/>
  <c r="A1312" i="5" s="1"/>
  <c r="A1327" i="5" a="1"/>
  <c r="A1327" i="5" s="1"/>
  <c r="A1383" i="5" a="1"/>
  <c r="A1383" i="5" s="1"/>
  <c r="A934" i="5" a="1"/>
  <c r="A934" i="5" s="1"/>
  <c r="A950" i="5" a="1"/>
  <c r="A950" i="5" s="1"/>
  <c r="A966" i="5" a="1"/>
  <c r="A966" i="5" s="1"/>
  <c r="A982" i="5" a="1"/>
  <c r="A982" i="5" s="1"/>
  <c r="A998" i="5" a="1"/>
  <c r="A998" i="5" s="1"/>
  <c r="A1014" i="5" a="1"/>
  <c r="A1014" i="5" s="1"/>
  <c r="A1030" i="5" a="1"/>
  <c r="A1030" i="5" s="1"/>
  <c r="A1046" i="5" a="1"/>
  <c r="A1046" i="5" s="1"/>
  <c r="A1062" i="5" a="1"/>
  <c r="A1062" i="5" s="1"/>
  <c r="A1078" i="5" a="1"/>
  <c r="A1078" i="5" s="1"/>
  <c r="A1094" i="5" a="1"/>
  <c r="A1094" i="5" s="1"/>
  <c r="A1114" i="5" a="1"/>
  <c r="A1114" i="5" s="1"/>
  <c r="A1142" i="5" a="1"/>
  <c r="A1142" i="5" s="1"/>
  <c r="A1155" i="5" a="1"/>
  <c r="A1155" i="5" s="1"/>
  <c r="A1174" i="5" a="1"/>
  <c r="A1174" i="5" s="1"/>
  <c r="A1187" i="5" a="1"/>
  <c r="A1187" i="5" s="1"/>
  <c r="A1200" i="5" a="1"/>
  <c r="A1200" i="5" s="1"/>
  <c r="A1224" i="5" a="1"/>
  <c r="A1224" i="5" s="1"/>
  <c r="A1256" i="5" a="1"/>
  <c r="A1256" i="5" s="1"/>
  <c r="A1288" i="5" a="1"/>
  <c r="A1288" i="5" s="1"/>
  <c r="A1317" i="5" a="1"/>
  <c r="A1317" i="5" s="1"/>
  <c r="A1378" i="5" a="1"/>
  <c r="A1378" i="5" s="1"/>
  <c r="A1107" i="5" a="1"/>
  <c r="A1107" i="5" s="1"/>
  <c r="A1118" i="5" a="1"/>
  <c r="A1118" i="5" s="1"/>
  <c r="A1138" i="5" a="1"/>
  <c r="A1138" i="5" s="1"/>
  <c r="A1151" i="5" a="1"/>
  <c r="A1151" i="5" s="1"/>
  <c r="A1170" i="5" a="1"/>
  <c r="A1170" i="5" s="1"/>
  <c r="A1183" i="5" a="1"/>
  <c r="A1183" i="5" s="1"/>
  <c r="A1220" i="5" a="1"/>
  <c r="A1220" i="5" s="1"/>
  <c r="A1236" i="5" a="1"/>
  <c r="A1236" i="5" s="1"/>
  <c r="A1252" i="5" a="1"/>
  <c r="A1252" i="5" s="1"/>
  <c r="A1268" i="5" a="1"/>
  <c r="A1268" i="5" s="1"/>
  <c r="A1284" i="5" a="1"/>
  <c r="A1284" i="5" s="1"/>
  <c r="A1300" i="5" a="1"/>
  <c r="A1300" i="5" s="1"/>
  <c r="A1320" i="5" a="1"/>
  <c r="A1320" i="5" s="1"/>
  <c r="A1373" i="5" a="1"/>
  <c r="A1373" i="5" s="1"/>
  <c r="A1066" i="5" a="1"/>
  <c r="A1066" i="5" s="1"/>
  <c r="A1082" i="5" a="1"/>
  <c r="A1082" i="5" s="1"/>
  <c r="A1098" i="5" a="1"/>
  <c r="A1098" i="5" s="1"/>
  <c r="A1122" i="5" a="1"/>
  <c r="A1122" i="5" s="1"/>
  <c r="A1126" i="5" a="1"/>
  <c r="A1126" i="5" s="1"/>
  <c r="A1130" i="5" a="1"/>
  <c r="A1130" i="5" s="1"/>
  <c r="A1134" i="5" a="1"/>
  <c r="A1134" i="5" s="1"/>
  <c r="A1147" i="5" a="1"/>
  <c r="A1147" i="5" s="1"/>
  <c r="A1166" i="5" a="1"/>
  <c r="A1166" i="5" s="1"/>
  <c r="A1179" i="5" a="1"/>
  <c r="A1179" i="5" s="1"/>
  <c r="A1198" i="5" a="1"/>
  <c r="A1198" i="5" s="1"/>
  <c r="A1205" i="5" a="1"/>
  <c r="A1205" i="5" s="1"/>
  <c r="A1209" i="5" a="1"/>
  <c r="A1209" i="5" s="1"/>
  <c r="A1229" i="5" a="1"/>
  <c r="A1229" i="5" s="1"/>
  <c r="A1261" i="5" a="1"/>
  <c r="A1261" i="5" s="1"/>
  <c r="A1293" i="5" a="1"/>
  <c r="A1293" i="5" s="1"/>
  <c r="A1303" i="5" a="1"/>
  <c r="A1303" i="5" s="1"/>
  <c r="A1328" i="5" a="1"/>
  <c r="A1328" i="5" s="1"/>
  <c r="A1299" i="5" a="1"/>
  <c r="A1299" i="5" s="1"/>
  <c r="A1315" i="5" a="1"/>
  <c r="A1315" i="5" s="1"/>
  <c r="A1331" i="5" a="1"/>
  <c r="A1331" i="5" s="1"/>
  <c r="A1333" i="5" a="1"/>
  <c r="A1333" i="5" s="1"/>
  <c r="A1402" i="5" a="1"/>
  <c r="A1402" i="5" s="1"/>
  <c r="A1404" i="5" a="1"/>
  <c r="A1404" i="5" s="1"/>
  <c r="A1439" i="5" a="1"/>
  <c r="A1439" i="5" s="1"/>
  <c r="A1449" i="5" a="1"/>
  <c r="A1449" i="5" s="1"/>
  <c r="A1454" i="5" a="1"/>
  <c r="A1454" i="5" s="1"/>
  <c r="A1490" i="5" a="1"/>
  <c r="A1490" i="5" s="1"/>
  <c r="A1495" i="5" a="1"/>
  <c r="A1495" i="5" s="1"/>
  <c r="A1513" i="5" a="1"/>
  <c r="A1513" i="5" s="1"/>
  <c r="A1215" i="5" a="1"/>
  <c r="A1215" i="5" s="1"/>
  <c r="A1247" i="5" a="1"/>
  <c r="A1247" i="5" s="1"/>
  <c r="A1279" i="5" a="1"/>
  <c r="A1279" i="5" s="1"/>
  <c r="A1335" i="5" a="1"/>
  <c r="A1335" i="5" s="1"/>
  <c r="A1376" i="5" a="1"/>
  <c r="A1376" i="5" s="1"/>
  <c r="A1384" i="5" a="1"/>
  <c r="A1384" i="5" s="1"/>
  <c r="A1413" i="5" a="1"/>
  <c r="A1413" i="5" s="1"/>
  <c r="A1426" i="5" a="1"/>
  <c r="A1426" i="5" s="1"/>
  <c r="A1428" i="5" a="1"/>
  <c r="A1428" i="5" s="1"/>
  <c r="A1442" i="5" a="1"/>
  <c r="A1442" i="5" s="1"/>
  <c r="A1462" i="5" a="1"/>
  <c r="A1462" i="5" s="1"/>
  <c r="A1503" i="5" a="1"/>
  <c r="A1503" i="5" s="1"/>
  <c r="A1508" i="5" a="1"/>
  <c r="A1508" i="5" s="1"/>
  <c r="A1534" i="5" a="1"/>
  <c r="A1534" i="5" s="1"/>
  <c r="A1566" i="5" a="1"/>
  <c r="A1566" i="5" s="1"/>
  <c r="A1339" i="5" a="1"/>
  <c r="A1339" i="5" s="1"/>
  <c r="A1341" i="5" a="1"/>
  <c r="A1341" i="5" s="1"/>
  <c r="A1360" i="5" a="1"/>
  <c r="A1360" i="5" s="1"/>
  <c r="A1362" i="5" a="1"/>
  <c r="A1362" i="5" s="1"/>
  <c r="A1368" i="5" a="1"/>
  <c r="A1368" i="5" s="1"/>
  <c r="A1370" i="5" a="1"/>
  <c r="A1370" i="5" s="1"/>
  <c r="A1372" i="5" a="1"/>
  <c r="A1372" i="5" s="1"/>
  <c r="A1380" i="5" a="1"/>
  <c r="A1380" i="5" s="1"/>
  <c r="A1386" i="5" a="1"/>
  <c r="A1386" i="5" s="1"/>
  <c r="A1392" i="5" a="1"/>
  <c r="A1392" i="5" s="1"/>
  <c r="A1394" i="5" a="1"/>
  <c r="A1394" i="5" s="1"/>
  <c r="A1396" i="5" a="1"/>
  <c r="A1396" i="5" s="1"/>
  <c r="A1424" i="5" a="1"/>
  <c r="A1424" i="5" s="1"/>
  <c r="A1447" i="5" a="1"/>
  <c r="A1447" i="5" s="1"/>
  <c r="A1465" i="5" a="1"/>
  <c r="A1465" i="5" s="1"/>
  <c r="A1470" i="5" a="1"/>
  <c r="A1470" i="5" s="1"/>
  <c r="A1506" i="5" a="1"/>
  <c r="A1506" i="5" s="1"/>
  <c r="A1511" i="5" a="1"/>
  <c r="A1511" i="5" s="1"/>
  <c r="A1207" i="5" a="1"/>
  <c r="A1207" i="5" s="1"/>
  <c r="A1239" i="5" a="1"/>
  <c r="A1239" i="5" s="1"/>
  <c r="A1271" i="5" a="1"/>
  <c r="A1271" i="5" s="1"/>
  <c r="A1343" i="5" a="1"/>
  <c r="A1343" i="5" s="1"/>
  <c r="A1364" i="5" a="1"/>
  <c r="A1364" i="5" s="1"/>
  <c r="A1407" i="5" a="1"/>
  <c r="A1407" i="5" s="1"/>
  <c r="A1431" i="5" a="1"/>
  <c r="A1431" i="5" s="1"/>
  <c r="A1455" i="5" a="1"/>
  <c r="A1455" i="5" s="1"/>
  <c r="A1478" i="5" a="1"/>
  <c r="A1478" i="5" s="1"/>
  <c r="A1307" i="5" a="1"/>
  <c r="A1307" i="5" s="1"/>
  <c r="A1323" i="5" a="1"/>
  <c r="A1323" i="5" s="1"/>
  <c r="A1347" i="5" a="1"/>
  <c r="A1347" i="5" s="1"/>
  <c r="A1349" i="5" a="1"/>
  <c r="A1349" i="5" s="1"/>
  <c r="A1416" i="5" a="1"/>
  <c r="A1416" i="5" s="1"/>
  <c r="A1418" i="5" a="1"/>
  <c r="A1418" i="5" s="1"/>
  <c r="A1429" i="5" a="1"/>
  <c r="A1429" i="5" s="1"/>
  <c r="A1458" i="5" a="1"/>
  <c r="A1458" i="5" s="1"/>
  <c r="A1463" i="5" a="1"/>
  <c r="A1463" i="5" s="1"/>
  <c r="A1481" i="5" a="1"/>
  <c r="A1481" i="5" s="1"/>
  <c r="A1486" i="5" a="1"/>
  <c r="A1486" i="5" s="1"/>
  <c r="A1199" i="5" a="1"/>
  <c r="A1199" i="5" s="1"/>
  <c r="A1231" i="5" a="1"/>
  <c r="A1231" i="5" s="1"/>
  <c r="A1263" i="5" a="1"/>
  <c r="A1263" i="5" s="1"/>
  <c r="A1295" i="5" a="1"/>
  <c r="A1295" i="5" s="1"/>
  <c r="A1351" i="5" a="1"/>
  <c r="A1351" i="5" s="1"/>
  <c r="A1381" i="5" a="1"/>
  <c r="A1381" i="5" s="1"/>
  <c r="A1397" i="5" a="1"/>
  <c r="A1397" i="5" s="1"/>
  <c r="A1399" i="5" a="1"/>
  <c r="A1399" i="5" s="1"/>
  <c r="A1425" i="5" a="1"/>
  <c r="A1425" i="5" s="1"/>
  <c r="A1436" i="5" a="1"/>
  <c r="A1436" i="5" s="1"/>
  <c r="A1471" i="5" a="1"/>
  <c r="A1471" i="5" s="1"/>
  <c r="A1494" i="5" a="1"/>
  <c r="A1494" i="5" s="1"/>
  <c r="A1578" i="5" a="1"/>
  <c r="A1578" i="5" s="1"/>
  <c r="A1355" i="5" a="1"/>
  <c r="A1355" i="5" s="1"/>
  <c r="A1357" i="5" a="1"/>
  <c r="A1357" i="5" s="1"/>
  <c r="A1365" i="5" a="1"/>
  <c r="A1365" i="5" s="1"/>
  <c r="A1367" i="5" a="1"/>
  <c r="A1367" i="5" s="1"/>
  <c r="A1375" i="5" a="1"/>
  <c r="A1375" i="5" s="1"/>
  <c r="A1389" i="5" a="1"/>
  <c r="A1389" i="5" s="1"/>
  <c r="A1408" i="5" a="1"/>
  <c r="A1408" i="5" s="1"/>
  <c r="A1412" i="5" a="1"/>
  <c r="A1412" i="5" s="1"/>
  <c r="A1434" i="5" a="1"/>
  <c r="A1434" i="5" s="1"/>
  <c r="A1474" i="5" a="1"/>
  <c r="A1474" i="5" s="1"/>
  <c r="A1479" i="5" a="1"/>
  <c r="A1479" i="5" s="1"/>
  <c r="A1497" i="5" a="1"/>
  <c r="A1497" i="5" s="1"/>
  <c r="A1502" i="5" a="1"/>
  <c r="A1502" i="5" s="1"/>
  <c r="A1515" i="5" a="1"/>
  <c r="A1515" i="5" s="1"/>
  <c r="A1573" i="5" a="1"/>
  <c r="A1573" i="5" s="1"/>
  <c r="A1223" i="5" a="1"/>
  <c r="A1223" i="5" s="1"/>
  <c r="A1255" i="5" a="1"/>
  <c r="A1255" i="5" s="1"/>
  <c r="A1287" i="5" a="1"/>
  <c r="A1287" i="5" s="1"/>
  <c r="A1359" i="5" a="1"/>
  <c r="A1359" i="5" s="1"/>
  <c r="A1391" i="5" a="1"/>
  <c r="A1391" i="5" s="1"/>
  <c r="A1421" i="5" a="1"/>
  <c r="A1421" i="5" s="1"/>
  <c r="A1423" i="5" a="1"/>
  <c r="A1423" i="5" s="1"/>
  <c r="A1430" i="5" a="1"/>
  <c r="A1430" i="5" s="1"/>
  <c r="A1446" i="5" a="1"/>
  <c r="A1446" i="5" s="1"/>
  <c r="A1487" i="5" a="1"/>
  <c r="A1487" i="5" s="1"/>
  <c r="A1492" i="5" a="1"/>
  <c r="A1492" i="5" s="1"/>
  <c r="A1510" i="5" a="1"/>
  <c r="A1510" i="5" s="1"/>
  <c r="A1533" i="5" a="1"/>
  <c r="A1533" i="5" s="1"/>
  <c r="A1549" i="5" a="1"/>
  <c r="A1549" i="5" s="1"/>
  <c r="A1574" i="5" a="1"/>
  <c r="A1574" i="5" s="1"/>
  <c r="A1581" i="5" a="1"/>
  <c r="A1581" i="5" s="1"/>
  <c r="A1594" i="5" a="1"/>
  <c r="A1594" i="5" s="1"/>
  <c r="A1814" i="5" a="1"/>
  <c r="A1814" i="5" s="1"/>
  <c r="A1400" i="5" a="1"/>
  <c r="A1400" i="5" s="1"/>
  <c r="A1432" i="5" a="1"/>
  <c r="A1432" i="5" s="1"/>
  <c r="A1589" i="5" a="1"/>
  <c r="A1589" i="5" s="1"/>
  <c r="A1634" i="5" a="1"/>
  <c r="A1634" i="5" s="1"/>
  <c r="A1788" i="5" a="1"/>
  <c r="A1788" i="5" s="1"/>
  <c r="A1516" i="5" a="1"/>
  <c r="A1516" i="5" s="1"/>
  <c r="A1691" i="5" a="1"/>
  <c r="A1691" i="5" s="1"/>
  <c r="A1721" i="5" a="1"/>
  <c r="A1721" i="5" s="1"/>
  <c r="A1448" i="5" a="1"/>
  <c r="A1448" i="5" s="1"/>
  <c r="A1464" i="5" a="1"/>
  <c r="A1464" i="5" s="1"/>
  <c r="A1480" i="5" a="1"/>
  <c r="A1480" i="5" s="1"/>
  <c r="A1496" i="5" a="1"/>
  <c r="A1496" i="5" s="1"/>
  <c r="A1512" i="5" a="1"/>
  <c r="A1512" i="5" s="1"/>
  <c r="A1564" i="5" a="1"/>
  <c r="A1564" i="5" s="1"/>
  <c r="A1602" i="5" a="1"/>
  <c r="A1602" i="5" s="1"/>
  <c r="A1640" i="5" a="1"/>
  <c r="A1640" i="5" s="1"/>
  <c r="A1655" i="5" a="1"/>
  <c r="A1655" i="5" s="1"/>
  <c r="A1676" i="5" a="1"/>
  <c r="A1676" i="5" s="1"/>
  <c r="A1450" i="5" a="1"/>
  <c r="A1450" i="5" s="1"/>
  <c r="A1466" i="5" a="1"/>
  <c r="A1466" i="5" s="1"/>
  <c r="A1482" i="5" a="1"/>
  <c r="A1482" i="5" s="1"/>
  <c r="A1498" i="5" a="1"/>
  <c r="A1498" i="5" s="1"/>
  <c r="A1526" i="5" a="1"/>
  <c r="A1526" i="5" s="1"/>
  <c r="A1542" i="5" a="1"/>
  <c r="A1542" i="5" s="1"/>
  <c r="A1558" i="5" a="1"/>
  <c r="A1558" i="5" s="1"/>
  <c r="A1560" i="5" a="1"/>
  <c r="A1560" i="5" s="1"/>
  <c r="A1645" i="5" a="1"/>
  <c r="A1645" i="5" s="1"/>
  <c r="A1776" i="5" a="1"/>
  <c r="A1776" i="5" s="1"/>
  <c r="A1528" i="5" a="1"/>
  <c r="A1528" i="5" s="1"/>
  <c r="A1532" i="5" a="1"/>
  <c r="A1532" i="5" s="1"/>
  <c r="A1538" i="5" a="1"/>
  <c r="A1538" i="5" s="1"/>
  <c r="A1544" i="5" a="1"/>
  <c r="A1544" i="5" s="1"/>
  <c r="A1548" i="5" a="1"/>
  <c r="A1548" i="5" s="1"/>
  <c r="A1569" i="5" a="1"/>
  <c r="A1569" i="5" s="1"/>
  <c r="A1580" i="5" a="1"/>
  <c r="A1580" i="5" s="1"/>
  <c r="A1608" i="5" a="1"/>
  <c r="A1608" i="5" s="1"/>
  <c r="A1653" i="5" a="1"/>
  <c r="A1653" i="5" s="1"/>
  <c r="A1674" i="5" a="1"/>
  <c r="A1674" i="5" s="1"/>
  <c r="A1750" i="5" a="1"/>
  <c r="A1750" i="5" s="1"/>
  <c r="A1565" i="5" a="1"/>
  <c r="A1565" i="5" s="1"/>
  <c r="A1613" i="5" a="1"/>
  <c r="A1613" i="5" s="1"/>
  <c r="A1626" i="5" a="1"/>
  <c r="A1626" i="5" s="1"/>
  <c r="A1440" i="5" a="1"/>
  <c r="A1440" i="5" s="1"/>
  <c r="A1456" i="5" a="1"/>
  <c r="A1456" i="5" s="1"/>
  <c r="A1472" i="5" a="1"/>
  <c r="A1472" i="5" s="1"/>
  <c r="A1488" i="5" a="1"/>
  <c r="A1488" i="5" s="1"/>
  <c r="A1504" i="5" a="1"/>
  <c r="A1504" i="5" s="1"/>
  <c r="A1521" i="5" a="1"/>
  <c r="A1521" i="5" s="1"/>
  <c r="A1576" i="5" a="1"/>
  <c r="A1576" i="5" s="1"/>
  <c r="A1621" i="5" a="1"/>
  <c r="A1621" i="5" s="1"/>
  <c r="A1769" i="5" a="1"/>
  <c r="A1769" i="5" s="1"/>
  <c r="A1604" i="5" a="1"/>
  <c r="A1604" i="5" s="1"/>
  <c r="A1606" i="5" a="1"/>
  <c r="A1606" i="5" s="1"/>
  <c r="A1636" i="5" a="1"/>
  <c r="A1636" i="5" s="1"/>
  <c r="A1638" i="5" a="1"/>
  <c r="A1638" i="5" s="1"/>
  <c r="A1657" i="5" a="1"/>
  <c r="A1657" i="5" s="1"/>
  <c r="A1682" i="5" a="1"/>
  <c r="A1682" i="5" s="1"/>
  <c r="A1706" i="5" a="1"/>
  <c r="A1706" i="5" s="1"/>
  <c r="A1708" i="5" a="1"/>
  <c r="A1708" i="5" s="1"/>
  <c r="A1712" i="5" a="1"/>
  <c r="A1712" i="5" s="1"/>
  <c r="A1745" i="5" a="1"/>
  <c r="A1745" i="5" s="1"/>
  <c r="A1752" i="5" a="1"/>
  <c r="A1752" i="5" s="1"/>
  <c r="A1764" i="5" a="1"/>
  <c r="A1764" i="5" s="1"/>
  <c r="A1790" i="5" a="1"/>
  <c r="A1790" i="5" s="1"/>
  <c r="A1809" i="5" a="1"/>
  <c r="A1809" i="5" s="1"/>
  <c r="A1838" i="5" a="1"/>
  <c r="A1838" i="5" s="1"/>
  <c r="A1846" i="5" a="1"/>
  <c r="A1846" i="5" s="1"/>
  <c r="A1854" i="5" a="1"/>
  <c r="A1854" i="5" s="1"/>
  <c r="A1862" i="5" a="1"/>
  <c r="A1862" i="5" s="1"/>
  <c r="A1870" i="5" a="1"/>
  <c r="A1870" i="5" s="1"/>
  <c r="A1955" i="5" a="1"/>
  <c r="A1955" i="5" s="1"/>
  <c r="A1990" i="5" a="1"/>
  <c r="A1990" i="5" s="1"/>
  <c r="A1582" i="5" a="1"/>
  <c r="A1582" i="5" s="1"/>
  <c r="A1612" i="5" a="1"/>
  <c r="A1612" i="5" s="1"/>
  <c r="A1614" i="5" a="1"/>
  <c r="A1614" i="5" s="1"/>
  <c r="A1644" i="5" a="1"/>
  <c r="A1644" i="5" s="1"/>
  <c r="A1646" i="5" a="1"/>
  <c r="A1646" i="5" s="1"/>
  <c r="A1666" i="5" a="1"/>
  <c r="A1666" i="5" s="1"/>
  <c r="A1680" i="5" a="1"/>
  <c r="A1680" i="5" s="1"/>
  <c r="A1698" i="5" a="1"/>
  <c r="A1698" i="5" s="1"/>
  <c r="A1700" i="5" a="1"/>
  <c r="A1700" i="5" s="1"/>
  <c r="A1704" i="5" a="1"/>
  <c r="A1704" i="5" s="1"/>
  <c r="A1730" i="5" a="1"/>
  <c r="A1730" i="5" s="1"/>
  <c r="A1732" i="5" a="1"/>
  <c r="A1732" i="5" s="1"/>
  <c r="A1736" i="5" a="1"/>
  <c r="A1736" i="5" s="1"/>
  <c r="A1748" i="5" a="1"/>
  <c r="A1748" i="5" s="1"/>
  <c r="A1774" i="5" a="1"/>
  <c r="A1774" i="5" s="1"/>
  <c r="A1793" i="5" a="1"/>
  <c r="A1793" i="5" s="1"/>
  <c r="A1800" i="5" a="1"/>
  <c r="A1800" i="5" s="1"/>
  <c r="A1913" i="5" a="1"/>
  <c r="A1913" i="5" s="1"/>
  <c r="A1945" i="5" a="1"/>
  <c r="A1945" i="5" s="1"/>
  <c r="A1977" i="5" a="1"/>
  <c r="A1977" i="5" s="1"/>
  <c r="A1584" i="5" a="1"/>
  <c r="A1584" i="5" s="1"/>
  <c r="A1616" i="5" a="1"/>
  <c r="A1616" i="5" s="1"/>
  <c r="A1648" i="5" a="1"/>
  <c r="A1648" i="5" s="1"/>
  <c r="A1658" i="5" a="1"/>
  <c r="A1658" i="5" s="1"/>
  <c r="A1660" i="5" a="1"/>
  <c r="A1660" i="5" s="1"/>
  <c r="A1672" i="5" a="1"/>
  <c r="A1672" i="5" s="1"/>
  <c r="A1713" i="5" a="1"/>
  <c r="A1713" i="5" s="1"/>
  <c r="A1753" i="5" a="1"/>
  <c r="A1753" i="5" s="1"/>
  <c r="A1760" i="5" a="1"/>
  <c r="A1760" i="5" s="1"/>
  <c r="A1772" i="5" a="1"/>
  <c r="A1772" i="5" s="1"/>
  <c r="A1798" i="5" a="1"/>
  <c r="A1798" i="5" s="1"/>
  <c r="A1817" i="5" a="1"/>
  <c r="A1817" i="5" s="1"/>
  <c r="A1908" i="5" a="1"/>
  <c r="A1908" i="5" s="1"/>
  <c r="A1940" i="5" a="1"/>
  <c r="A1940" i="5" s="1"/>
  <c r="A1972" i="5" a="1"/>
  <c r="A1972" i="5" s="1"/>
  <c r="A1536" i="5" a="1"/>
  <c r="A1536" i="5" s="1"/>
  <c r="A1552" i="5" a="1"/>
  <c r="A1552" i="5" s="1"/>
  <c r="A1568" i="5" a="1"/>
  <c r="A1568" i="5" s="1"/>
  <c r="A1588" i="5" a="1"/>
  <c r="A1588" i="5" s="1"/>
  <c r="A1590" i="5" a="1"/>
  <c r="A1590" i="5" s="1"/>
  <c r="A1620" i="5" a="1"/>
  <c r="A1620" i="5" s="1"/>
  <c r="A1622" i="5" a="1"/>
  <c r="A1622" i="5" s="1"/>
  <c r="A1652" i="5" a="1"/>
  <c r="A1652" i="5" s="1"/>
  <c r="A1654" i="5" a="1"/>
  <c r="A1654" i="5" s="1"/>
  <c r="A1664" i="5" a="1"/>
  <c r="A1664" i="5" s="1"/>
  <c r="A1692" i="5" a="1"/>
  <c r="A1692" i="5" s="1"/>
  <c r="A1696" i="5" a="1"/>
  <c r="A1696" i="5" s="1"/>
  <c r="A1722" i="5" a="1"/>
  <c r="A1722" i="5" s="1"/>
  <c r="A1724" i="5" a="1"/>
  <c r="A1724" i="5" s="1"/>
  <c r="A1728" i="5" a="1"/>
  <c r="A1728" i="5" s="1"/>
  <c r="A1758" i="5" a="1"/>
  <c r="A1758" i="5" s="1"/>
  <c r="A1777" i="5" a="1"/>
  <c r="A1777" i="5" s="1"/>
  <c r="A1784" i="5" a="1"/>
  <c r="A1784" i="5" s="1"/>
  <c r="A1796" i="5" a="1"/>
  <c r="A1796" i="5" s="1"/>
  <c r="A1822" i="5" a="1"/>
  <c r="A1822" i="5" s="1"/>
  <c r="A1524" i="5" a="1"/>
  <c r="A1524" i="5" s="1"/>
  <c r="A1592" i="5" a="1"/>
  <c r="A1592" i="5" s="1"/>
  <c r="A1624" i="5" a="1"/>
  <c r="A1624" i="5" s="1"/>
  <c r="A1681" i="5" a="1"/>
  <c r="A1681" i="5" s="1"/>
  <c r="A1705" i="5" a="1"/>
  <c r="A1705" i="5" s="1"/>
  <c r="A1737" i="5" a="1"/>
  <c r="A1737" i="5" s="1"/>
  <c r="A1744" i="5" a="1"/>
  <c r="A1744" i="5" s="1"/>
  <c r="A1756" i="5" a="1"/>
  <c r="A1756" i="5" s="1"/>
  <c r="A1782" i="5" a="1"/>
  <c r="A1782" i="5" s="1"/>
  <c r="A1801" i="5" a="1"/>
  <c r="A1801" i="5" s="1"/>
  <c r="A1540" i="5" a="1"/>
  <c r="A1540" i="5" s="1"/>
  <c r="A1556" i="5" a="1"/>
  <c r="A1556" i="5" s="1"/>
  <c r="A1572" i="5" a="1"/>
  <c r="A1572" i="5" s="1"/>
  <c r="A1596" i="5" a="1"/>
  <c r="A1596" i="5" s="1"/>
  <c r="A1598" i="5" a="1"/>
  <c r="A1598" i="5" s="1"/>
  <c r="A1628" i="5" a="1"/>
  <c r="A1628" i="5" s="1"/>
  <c r="A1630" i="5" a="1"/>
  <c r="A1630" i="5" s="1"/>
  <c r="A1673" i="5" a="1"/>
  <c r="A1673" i="5" s="1"/>
  <c r="A1714" i="5" a="1"/>
  <c r="A1714" i="5" s="1"/>
  <c r="A1716" i="5" a="1"/>
  <c r="A1716" i="5" s="1"/>
  <c r="A1720" i="5" a="1"/>
  <c r="A1720" i="5" s="1"/>
  <c r="A1742" i="5" a="1"/>
  <c r="A1742" i="5" s="1"/>
  <c r="A1761" i="5" a="1"/>
  <c r="A1761" i="5" s="1"/>
  <c r="A1768" i="5" a="1"/>
  <c r="A1768" i="5" s="1"/>
  <c r="A1780" i="5" a="1"/>
  <c r="A1780" i="5" s="1"/>
  <c r="A1806" i="5" a="1"/>
  <c r="A1806" i="5" s="1"/>
  <c r="A1825" i="5" a="1"/>
  <c r="A1825" i="5" s="1"/>
  <c r="A1600" i="5" a="1"/>
  <c r="A1600" i="5" s="1"/>
  <c r="A1632" i="5" a="1"/>
  <c r="A1632" i="5" s="1"/>
  <c r="A1665" i="5" a="1"/>
  <c r="A1665" i="5" s="1"/>
  <c r="A1688" i="5" a="1"/>
  <c r="A1688" i="5" s="1"/>
  <c r="A1697" i="5" a="1"/>
  <c r="A1697" i="5" s="1"/>
  <c r="A1729" i="5" a="1"/>
  <c r="A1729" i="5" s="1"/>
  <c r="A1740" i="5" a="1"/>
  <c r="A1740" i="5" s="1"/>
  <c r="A1766" i="5" a="1"/>
  <c r="A1766" i="5" s="1"/>
  <c r="A1785" i="5" a="1"/>
  <c r="A1785" i="5" s="1"/>
  <c r="A1792" i="5" a="1"/>
  <c r="A1792" i="5" s="1"/>
  <c r="A1804" i="5" a="1"/>
  <c r="A1804" i="5" s="1"/>
  <c r="A1830" i="5" a="1"/>
  <c r="A1830" i="5" s="1"/>
  <c r="A1808" i="5" a="1"/>
  <c r="A1808" i="5" s="1"/>
  <c r="A1812" i="5" a="1"/>
  <c r="A1812" i="5" s="1"/>
  <c r="A1816" i="5" a="1"/>
  <c r="A1816" i="5" s="1"/>
  <c r="A1820" i="5" a="1"/>
  <c r="A1820" i="5" s="1"/>
  <c r="A1824" i="5" a="1"/>
  <c r="A1824" i="5" s="1"/>
  <c r="A1828" i="5" a="1"/>
  <c r="A1828" i="5" s="1"/>
  <c r="A1832" i="5" a="1"/>
  <c r="A1832" i="5" s="1"/>
  <c r="A1836" i="5" a="1"/>
  <c r="A1836" i="5" s="1"/>
  <c r="A1840" i="5" a="1"/>
  <c r="A1840" i="5" s="1"/>
  <c r="A1844" i="5" a="1"/>
  <c r="A1844" i="5" s="1"/>
  <c r="A1848" i="5" a="1"/>
  <c r="A1848" i="5" s="1"/>
  <c r="A1852" i="5" a="1"/>
  <c r="A1852" i="5" s="1"/>
  <c r="A1856" i="5" a="1"/>
  <c r="A1856" i="5" s="1"/>
  <c r="A1860" i="5" a="1"/>
  <c r="A1860" i="5" s="1"/>
  <c r="A1864" i="5" a="1"/>
  <c r="A1864" i="5" s="1"/>
  <c r="A1868" i="5" a="1"/>
  <c r="A1868" i="5" s="1"/>
  <c r="A1872" i="5" a="1"/>
  <c r="A1872" i="5" s="1"/>
  <c r="A1881" i="5" a="1"/>
  <c r="A1881" i="5" s="1"/>
  <c r="A1888" i="5" a="1"/>
  <c r="A1888" i="5" s="1"/>
  <c r="A1898" i="5" a="1"/>
  <c r="A1898" i="5" s="1"/>
  <c r="A1920" i="5" a="1"/>
  <c r="A1920" i="5" s="1"/>
  <c r="A1930" i="5" a="1"/>
  <c r="A1930" i="5" s="1"/>
  <c r="A1952" i="5" a="1"/>
  <c r="A1952" i="5" s="1"/>
  <c r="A1962" i="5" a="1"/>
  <c r="A1962" i="5" s="1"/>
  <c r="A1987" i="5" a="1"/>
  <c r="A1987" i="5" s="1"/>
  <c r="A1689" i="5" a="1"/>
  <c r="A1689" i="5" s="1"/>
  <c r="A1896" i="5" a="1"/>
  <c r="A1896" i="5" s="1"/>
  <c r="A1906" i="5" a="1"/>
  <c r="A1906" i="5" s="1"/>
  <c r="A1928" i="5" a="1"/>
  <c r="A1928" i="5" s="1"/>
  <c r="A1938" i="5" a="1"/>
  <c r="A1938" i="5" s="1"/>
  <c r="A1960" i="5" a="1"/>
  <c r="A1960" i="5" s="1"/>
  <c r="A1970" i="5" a="1"/>
  <c r="A1970" i="5" s="1"/>
  <c r="A1985" i="5" a="1"/>
  <c r="A1985" i="5" s="1"/>
  <c r="A1833" i="5" a="1"/>
  <c r="A1833" i="5" s="1"/>
  <c r="A1841" i="5" a="1"/>
  <c r="A1841" i="5" s="1"/>
  <c r="A1849" i="5" a="1"/>
  <c r="A1849" i="5" s="1"/>
  <c r="A1857" i="5" a="1"/>
  <c r="A1857" i="5" s="1"/>
  <c r="A1865" i="5" a="1"/>
  <c r="A1865" i="5" s="1"/>
  <c r="A1873" i="5" a="1"/>
  <c r="A1873" i="5" s="1"/>
  <c r="A1884" i="5" a="1"/>
  <c r="A1884" i="5" s="1"/>
  <c r="A1889" i="5" a="1"/>
  <c r="A1889" i="5" s="1"/>
  <c r="A1916" i="5" a="1"/>
  <c r="A1916" i="5" s="1"/>
  <c r="A1921" i="5" a="1"/>
  <c r="A1921" i="5" s="1"/>
  <c r="A1948" i="5" a="1"/>
  <c r="A1948" i="5" s="1"/>
  <c r="A1953" i="5" a="1"/>
  <c r="A1953" i="5" s="1"/>
  <c r="A1963" i="5" a="1"/>
  <c r="A1963" i="5" s="1"/>
  <c r="A1980" i="5" a="1"/>
  <c r="A1980" i="5" s="1"/>
  <c r="A1988" i="5" a="1"/>
  <c r="A1988" i="5" s="1"/>
  <c r="A1668" i="5" a="1"/>
  <c r="A1668" i="5" s="1"/>
  <c r="A1684" i="5" a="1"/>
  <c r="A1684" i="5" s="1"/>
  <c r="A1882" i="5" a="1"/>
  <c r="A1882" i="5" s="1"/>
  <c r="A1904" i="5" a="1"/>
  <c r="A1904" i="5" s="1"/>
  <c r="A1914" i="5" a="1"/>
  <c r="A1914" i="5" s="1"/>
  <c r="A1936" i="5" a="1"/>
  <c r="A1936" i="5" s="1"/>
  <c r="A1946" i="5" a="1"/>
  <c r="A1946" i="5" s="1"/>
  <c r="A1968" i="5" a="1"/>
  <c r="A1968" i="5" s="1"/>
  <c r="A1978" i="5" a="1"/>
  <c r="A1978" i="5" s="1"/>
  <c r="A1991" i="5" a="1"/>
  <c r="A1991" i="5" s="1"/>
  <c r="A1880" i="5" a="1"/>
  <c r="A1880" i="5" s="1"/>
  <c r="A1892" i="5" a="1"/>
  <c r="A1892" i="5" s="1"/>
  <c r="A1897" i="5" a="1"/>
  <c r="A1897" i="5" s="1"/>
  <c r="A1924" i="5" a="1"/>
  <c r="A1924" i="5" s="1"/>
  <c r="A1929" i="5" a="1"/>
  <c r="A1929" i="5" s="1"/>
  <c r="A1956" i="5" a="1"/>
  <c r="A1956" i="5" s="1"/>
  <c r="A1961" i="5" a="1"/>
  <c r="A1961" i="5" s="1"/>
  <c r="A1971" i="5" a="1"/>
  <c r="A1971" i="5" s="1"/>
  <c r="A1986" i="5" a="1"/>
  <c r="A1986" i="5" s="1"/>
  <c r="A1690" i="5" a="1"/>
  <c r="A1690" i="5" s="1"/>
  <c r="A1890" i="5" a="1"/>
  <c r="A1890" i="5" s="1"/>
  <c r="A1912" i="5" a="1"/>
  <c r="A1912" i="5" s="1"/>
  <c r="A1922" i="5" a="1"/>
  <c r="A1922" i="5" s="1"/>
  <c r="A1944" i="5" a="1"/>
  <c r="A1944" i="5" s="1"/>
  <c r="A1954" i="5" a="1"/>
  <c r="A1954" i="5" s="1"/>
  <c r="A1976" i="5" a="1"/>
  <c r="A1976" i="5" s="1"/>
  <c r="A1738" i="5" a="1"/>
  <c r="A1738" i="5" s="1"/>
  <c r="A1746" i="5" a="1"/>
  <c r="A1746" i="5" s="1"/>
  <c r="A1754" i="5" a="1"/>
  <c r="A1754" i="5" s="1"/>
  <c r="A1762" i="5" a="1"/>
  <c r="A1762" i="5" s="1"/>
  <c r="A1770" i="5" a="1"/>
  <c r="A1770" i="5" s="1"/>
  <c r="A1778" i="5" a="1"/>
  <c r="A1778" i="5" s="1"/>
  <c r="A1786" i="5" a="1"/>
  <c r="A1786" i="5" s="1"/>
  <c r="A1794" i="5" a="1"/>
  <c r="A1794" i="5" s="1"/>
  <c r="A1802" i="5" a="1"/>
  <c r="A1802" i="5" s="1"/>
  <c r="A1810" i="5" a="1"/>
  <c r="A1810" i="5" s="1"/>
  <c r="A1818" i="5" a="1"/>
  <c r="A1818" i="5" s="1"/>
  <c r="A1826" i="5" a="1"/>
  <c r="A1826" i="5" s="1"/>
  <c r="A1834" i="5" a="1"/>
  <c r="A1834" i="5" s="1"/>
  <c r="A1842" i="5" a="1"/>
  <c r="A1842" i="5" s="1"/>
  <c r="A1850" i="5" a="1"/>
  <c r="A1850" i="5" s="1"/>
  <c r="A1858" i="5" a="1"/>
  <c r="A1858" i="5" s="1"/>
  <c r="A1866" i="5" a="1"/>
  <c r="A1866" i="5" s="1"/>
  <c r="A1874" i="5" a="1"/>
  <c r="A1874" i="5" s="1"/>
  <c r="A1876" i="5" a="1"/>
  <c r="A1876" i="5" s="1"/>
  <c r="A1900" i="5" a="1"/>
  <c r="A1900" i="5" s="1"/>
  <c r="A1905" i="5" a="1"/>
  <c r="A1905" i="5" s="1"/>
  <c r="A1932" i="5" a="1"/>
  <c r="A1932" i="5" s="1"/>
  <c r="A1937" i="5" a="1"/>
  <c r="A1937" i="5" s="1"/>
  <c r="A1964" i="5" a="1"/>
  <c r="A1964" i="5" s="1"/>
  <c r="A1969" i="5" a="1"/>
  <c r="A1969" i="5" s="1"/>
  <c r="A1979" i="5" a="1"/>
  <c r="A1979" i="5" s="1"/>
  <c r="A1984" i="5" a="1"/>
  <c r="A1984" i="5" s="1"/>
</calcChain>
</file>

<file path=xl/sharedStrings.xml><?xml version="1.0" encoding="utf-8"?>
<sst xmlns="http://schemas.openxmlformats.org/spreadsheetml/2006/main" count="6995" uniqueCount="3664">
  <si>
    <t>声優ID</t>
  </si>
  <si>
    <t>作品ID</t>
  </si>
  <si>
    <t>声優名</t>
  </si>
  <si>
    <t>声優一覧に表示</t>
  </si>
  <si>
    <t>定番声優に表示</t>
  </si>
  <si>
    <t>出演作品数</t>
  </si>
  <si>
    <t>作品名</t>
  </si>
  <si>
    <t>代表作</t>
  </si>
  <si>
    <t>読み仮名</t>
  </si>
  <si>
    <t>aknk</t>
  </si>
  <si>
    <t>悪魔執事と黒い猫</t>
  </si>
  <si>
    <t>あ</t>
  </si>
  <si>
    <t>i7</t>
  </si>
  <si>
    <t>アイドリッシュセブン</t>
  </si>
  <si>
    <t>enst</t>
  </si>
  <si>
    <t>あんさんぶるスターズ！！</t>
  </si>
  <si>
    <t>aopl</t>
  </si>
  <si>
    <t>アオペラ -aoppella!?-</t>
  </si>
  <si>
    <t>aichu</t>
  </si>
  <si>
    <t>アイ★チュウ</t>
  </si>
  <si>
    <t>sM</t>
  </si>
  <si>
    <t>アイドルマスター SideM</t>
  </si>
  <si>
    <t>ACTORS</t>
  </si>
  <si>
    <t>akay</t>
  </si>
  <si>
    <t>悪魔王子と操り人形</t>
  </si>
  <si>
    <t>and0</t>
  </si>
  <si>
    <t>&amp;0</t>
  </si>
  <si>
    <t>anmn</t>
  </si>
  <si>
    <t>アンジェリーク ルミナライズ</t>
  </si>
  <si>
    <t>ikesen</t>
  </si>
  <si>
    <t>イケメン戦国 時をかける恋</t>
  </si>
  <si>
    <t>い</t>
  </si>
  <si>
    <t>ikevi</t>
  </si>
  <si>
    <t>イケメンヴィラン 闇夜にひらく悪の恋</t>
  </si>
  <si>
    <t>ikepri</t>
  </si>
  <si>
    <t>イケメン王子 美女と野獣の最後の恋</t>
  </si>
  <si>
    <t>ikegen</t>
  </si>
  <si>
    <t>イケメン源氏伝 あやかし恋えにし</t>
  </si>
  <si>
    <t>ikeli</t>
  </si>
  <si>
    <t>イケメンライブ 恋の歌をキミに</t>
  </si>
  <si>
    <t>赤澤燈</t>
  </si>
  <si>
    <t>F</t>
  </si>
  <si>
    <t>ikevan</t>
  </si>
  <si>
    <t>イケメンヴァンパイア◆偉人たちと恋の誘惑</t>
  </si>
  <si>
    <t>ikerev</t>
  </si>
  <si>
    <t>イケメン革命◆アリスと恋の魔法</t>
  </si>
  <si>
    <t>ikebaku</t>
  </si>
  <si>
    <t>イケメン幕末◆運命の恋</t>
  </si>
  <si>
    <t>ikeou</t>
  </si>
  <si>
    <t>イケメン王宮</t>
  </si>
  <si>
    <t>inlove</t>
  </si>
  <si>
    <t>陰キャラブコメ</t>
  </si>
  <si>
    <t>utpr</t>
  </si>
  <si>
    <t>うたの☆プリンスさまっ♪</t>
  </si>
  <si>
    <t>う</t>
  </si>
  <si>
    <t>utkt</t>
  </si>
  <si>
    <t>泡沫のユークロニア</t>
  </si>
  <si>
    <t>a3</t>
  </si>
  <si>
    <t>A3!</t>
  </si>
  <si>
    <t>え</t>
  </si>
  <si>
    <t>18tr</t>
  </si>
  <si>
    <t>18TRIP</t>
  </si>
  <si>
    <t>erri</t>
  </si>
  <si>
    <t>エリオスライジングヒーローズ</t>
  </si>
  <si>
    <t>osmt</t>
  </si>
  <si>
    <t>おそ松さん</t>
  </si>
  <si>
    <t>お</t>
  </si>
  <si>
    <t>onsns</t>
  </si>
  <si>
    <t>おんせんし</t>
  </si>
  <si>
    <t>orsw</t>
  </si>
  <si>
    <t>オランピアソワレ</t>
  </si>
  <si>
    <t>onea</t>
  </si>
  <si>
    <t>オンエア！</t>
  </si>
  <si>
    <t>host</t>
  </si>
  <si>
    <t>桜蘭高校ホスト部</t>
  </si>
  <si>
    <t>赤羽根健治</t>
  </si>
  <si>
    <t>krsm</t>
  </si>
  <si>
    <t>T</t>
  </si>
  <si>
    <t>カリスマ</t>
  </si>
  <si>
    <t>か</t>
  </si>
  <si>
    <t>cxm</t>
  </si>
  <si>
    <t>Collar×Malice</t>
  </si>
  <si>
    <t>gkhn</t>
  </si>
  <si>
    <t>学園ハンサム</t>
  </si>
  <si>
    <t>•  『真マジンガー 衝撃! Z編』：兜甲児
•  『THE IDOLM@STER』：プロデューサー
•  『ジュエルペット てぃんくる☆』：レオン
•  『宇崎ちゃんは遊びたい！』：桜井真一
•  『世界最高の暗殺者、異世界貴族に転生する』：ルーグ</t>
  </si>
  <si>
    <t>が</t>
  </si>
  <si>
    <t>knpr</t>
  </si>
  <si>
    <t>KING OF PRISM-Your Endless Call-み～んなきらめけ！プリズム☆ツアーズ</t>
  </si>
  <si>
    <t>阿座上洋平</t>
  </si>
  <si>
    <t>き</t>
  </si>
  <si>
    <t>cordastar</t>
  </si>
  <si>
    <t>金色のコルダ スターライトオーケストラ</t>
  </si>
  <si>
    <t>elps</t>
  </si>
  <si>
    <t>CRAZY CHA!N -エルピスの鎖-</t>
  </si>
  <si>
    <t>•  『機動戦士ガンダム 水星の魔女』：グエル・ジェターク
•  『あんさんぶるスターズ！！』：天城燐音
•  『クロムクロ』：青馬剣之介時貞
•  『鴨乃橋ロンの禁断推理』：鴨乃橋ロン</t>
  </si>
  <si>
    <t>く</t>
  </si>
  <si>
    <t>ketsugo</t>
  </si>
  <si>
    <t>浅沼晋太郎</t>
  </si>
  <si>
    <t>結合男子</t>
  </si>
  <si>
    <t>け</t>
  </si>
  <si>
    <t>kenka</t>
  </si>
  <si>
    <t>喧嘩番長 乙女</t>
  </si>
  <si>
    <t>•  『ヒプノシスマイク』：碧棺左馬刻
•  『あんさんぶるスターズ！』：月永レオ
•  『生徒会役員共』：津田タカトシ
•  『ダイヤのA』：倉持洋一
•  『ギヴン』：村田雨月</t>
  </si>
  <si>
    <t>gnsn</t>
  </si>
  <si>
    <t>原神</t>
  </si>
  <si>
    <t>げ</t>
  </si>
  <si>
    <t>浅利遼太</t>
  </si>
  <si>
    <t>landd</t>
  </si>
  <si>
    <t>恋と深空</t>
  </si>
  <si>
    <t>こ</t>
  </si>
  <si>
    <t>sanrio</t>
  </si>
  <si>
    <t>サンリオ男子</t>
  </si>
  <si>
    <t>さ</t>
  </si>
  <si>
    <t>•  『刀剣乱舞』：平野藤四郎／明石国行／ソハヤノツルキ
•  『ワールドトリガー』：小荒井登
•  『D.Gray-man HALLOW』：アルマ＝カルマ
•  『妖怪ウォッチ』：砂夫／土蜘蛛
•  『呪術廻戦』：新田新</t>
  </si>
  <si>
    <t>jgk</t>
  </si>
  <si>
    <t>地獄降輪</t>
  </si>
  <si>
    <t>じ</t>
  </si>
  <si>
    <t>阿部敦</t>
  </si>
  <si>
    <t>jj</t>
  </si>
  <si>
    <t>ジャックジャンヌ</t>
  </si>
  <si>
    <t>じゃ</t>
  </si>
  <si>
    <t>vlsh</t>
  </si>
  <si>
    <t>•  『とある魔術の禁書目録』／『とある科学の超電磁砲』：上条当麻
•  『バクマン。』：真城最高
•  『アイドリッシュセブン』：逢坂壮五
•  『しゅごキャラ！』：相馬空海
•  『弱虫ペダル』：泉田塔一郎</t>
  </si>
  <si>
    <t>終遠のヴィルシュ</t>
  </si>
  <si>
    <t>しゅ</t>
  </si>
  <si>
    <t>sbyr</t>
  </si>
  <si>
    <t>天﨑滉平</t>
  </si>
  <si>
    <t>SHOW BY ROCK!! STARS!!</t>
  </si>
  <si>
    <t>しょ</t>
  </si>
  <si>
    <t>stmy</t>
  </si>
  <si>
    <t>スタンドマイヒーローズ</t>
  </si>
  <si>
    <t>す</t>
  </si>
  <si>
    <t>splk</t>
  </si>
  <si>
    <t>スパークリンク・スターズ</t>
  </si>
  <si>
    <t>•  『ヒプノシスマイク』：山田三郎
•  『Re:ゼロから始める異世界生活』：オットー・スーウェン
•  『ハイスコアガール』：矢口春雄
•  『僕のヒーローアカデミア』：物間寧人
•  『あんさんぶるスターズ！！』：白鳥藍良</t>
  </si>
  <si>
    <t>stdol</t>
  </si>
  <si>
    <t>天月</t>
  </si>
  <si>
    <t>蒼井翔太</t>
  </si>
  <si>
    <t>•  『うたの☆プリンスさまっ♪』：美風藍
•  『KING OF PRISM』：如月ルヰ
•  『乙女ゲームの破滅フラグしかない悪役令嬢に転生してしまった…』：ジオルド・スティアート
•  『ツキウタ。』：水無月涙
•  『ヴィジュアルプリズン』：ハイド・ジャイエ</t>
  </si>
  <si>
    <t>相葉裕樹</t>
  </si>
  <si>
    <t>五十嵐雅</t>
  </si>
  <si>
    <t>井口祐一</t>
  </si>
  <si>
    <t>•  『僕らはみんな河合荘』：宇佐和成
•  『はたらく魔王さま！』：猿江三月／サリエル
•  『FAIRY TAIL』：マックス
•  『Spiritpact』：楊敬華
•  『BEASTARS』：キビ</t>
  </si>
  <si>
    <t>STATION IDOL LATCH!</t>
  </si>
  <si>
    <t>石川界人</t>
  </si>
  <si>
    <t>stamyu</t>
  </si>
  <si>
    <t>スタミュ</t>
  </si>
  <si>
    <t>alice</t>
  </si>
  <si>
    <t>•  『ハイキュー!!』：影山飛雄
•  『ワンパンマン』：ジェノス
•  『僕のヒーローアカデミア』：飯田天哉
•  『盾の勇者の成り上がり』：岩谷尚文
•  『青春ブタ野郎シリーズ』：梓川咲太
•  『わたしの幸せな結婚』：久堂清霞</t>
  </si>
  <si>
    <t>スペードの国のアリス ～Wonderful Black World～</t>
  </si>
  <si>
    <t>石谷春貴</t>
  </si>
  <si>
    <t>sted</t>
  </si>
  <si>
    <t>STRANGE EDEN</t>
  </si>
  <si>
    <t>stsk</t>
  </si>
  <si>
    <t xml:space="preserve">Starry☆Sky </t>
  </si>
  <si>
    <t>•  『響け！ユーフォニアム』：塚本秀一
•  『ヒプノシスマイク』：山田二郎
•  『AKIBA’S TRIP -THE ANIMATION-』：伝木凱タモツ
•  『ぼくたちのリメイク』：鹿苑寺貫之
•  『この音とまれ！』：足立実康</t>
  </si>
  <si>
    <t>sR</t>
  </si>
  <si>
    <t>千銃士R</t>
  </si>
  <si>
    <t>市川蒼</t>
  </si>
  <si>
    <t>せ</t>
  </si>
  <si>
    <t>dnkr</t>
  </si>
  <si>
    <t>ダンキラ!!! - Boys, be DANCING! -</t>
  </si>
  <si>
    <t>だ</t>
  </si>
  <si>
    <t>dc</t>
  </si>
  <si>
    <t>•  『Just Because!』：泉瑛太
•  『ダーリン・イン・ザ・フランキス』：ミツル
•  『ツルネ ―風舞高校弓道部―』：竹早静弥
•  『ブルーロック』：五十嵐栗夢
•  『地獄楽』：山田浅ェ門付知
•  『ディズニー ツイステッドワンダーランド』：ラギー・ブッチ</t>
  </si>
  <si>
    <t>DYNAMIC CHORD</t>
  </si>
  <si>
    <t>市川太一</t>
  </si>
  <si>
    <t>twst</t>
  </si>
  <si>
    <t>ツイステッドワンダーランド</t>
  </si>
  <si>
    <t>つ</t>
  </si>
  <si>
    <t>tkpr</t>
  </si>
  <si>
    <t>ツキプロ</t>
  </si>
  <si>
    <t>lb</t>
  </si>
  <si>
    <t>天下統一恋の乱 Love Ballad</t>
  </si>
  <si>
    <t>て</t>
  </si>
  <si>
    <t>•  『カブキブ！』：来栖黒悟
•  『やがて君になる』：槙聖司
•  『終末のハーレム』：水原怜人
•  『時々ボソッとロシア語でデレる隣のアーリャさん』：清宮光瑠</t>
  </si>
  <si>
    <t>dialove</t>
  </si>
  <si>
    <t>市来光弘</t>
  </si>
  <si>
    <t>DIABOLIK LOVERS</t>
  </si>
  <si>
    <t>•  『刀剣乱舞』：大和守安定
•  『スクールランブル』：麻生広義
•  『会長はメイド様！』：白川直也
•  『ドロヘドロ』：カスカベ
•  『佐々木と宮野』：田代権三郎
•  『八十亀ちゃんかんさつにっき』：陣界斗</t>
  </si>
  <si>
    <t>伊藤マサミ</t>
  </si>
  <si>
    <t>でぃ</t>
  </si>
  <si>
    <t>dearvo</t>
  </si>
  <si>
    <t>ディア♥ヴォーカリスト</t>
  </si>
  <si>
    <t>touken</t>
  </si>
  <si>
    <t>刀剣乱舞</t>
  </si>
  <si>
    <t>と</t>
  </si>
  <si>
    <t>伊東健人</t>
  </si>
  <si>
    <t>tkmm</t>
  </si>
  <si>
    <t>ときめきメモリアル Girl's Sideシリーズ</t>
  </si>
  <si>
    <t>todb</t>
  </si>
  <si>
    <t>東京ディバンカー</t>
  </si>
  <si>
    <t>•  『ヲタクに恋は難しい』：二藤宏嵩
•  『【推しの子】』：ゴロー
•  『ヒプノシスマイク』：観音坂独歩
•  『アイドルマスター SideM』：硲道夫
•  『プロジェクトセカイ カラフルステージ！』：青柳冬弥</t>
  </si>
  <si>
    <t>tkrs</t>
  </si>
  <si>
    <t>ときめきレストラン☆☆☆</t>
  </si>
  <si>
    <t>糸川耀士郎</t>
  </si>
  <si>
    <t>krsn</t>
  </si>
  <si>
    <t>東京カラーソニック!!</t>
  </si>
  <si>
    <t>ding</t>
  </si>
  <si>
    <t>DREAM!ing</t>
  </si>
  <si>
    <t>ど</t>
  </si>
  <si>
    <t>井上和彦</t>
  </si>
  <si>
    <t>haruka</t>
  </si>
  <si>
    <t>遙かなる時空の中でシリーズ</t>
  </si>
  <si>
    <t>は</t>
  </si>
  <si>
    <t>hakuo</t>
  </si>
  <si>
    <t>薄桜鬼シリーズ</t>
  </si>
  <si>
    <t>•  『NARUTO -ナルト-』：はたけカカシ
•  『夏目友人帳』：ニャンコ先生／斑
•  『美味しんぼ』：山岡士郎
•  『サイボーグ009』：島村ジョー
•  『機動戦士Ζガンダム』：ジェリド・メサ
•  『名探偵コナン』：白鳥任三郎</t>
  </si>
  <si>
    <t>hn</t>
  </si>
  <si>
    <t>井上雄貴</t>
  </si>
  <si>
    <t>ハンドレッドノート</t>
  </si>
  <si>
    <t>bvln</t>
  </si>
  <si>
    <t>VS AMBIVALENZ</t>
  </si>
  <si>
    <t>ば</t>
  </si>
  <si>
    <t>•  『天使の3P!』：貫井響
•  『かくりよの宿飯』：サスケ
•  『アトム ザ・ビギニング』：A106
•  『月刊モー想科学』：ノイン
•  『ハイキュー!!』：姫川葵</t>
  </si>
  <si>
    <t>prli</t>
  </si>
  <si>
    <t>Paradox Live</t>
  </si>
  <si>
    <t>今井文也</t>
  </si>
  <si>
    <t>ぱ</t>
  </si>
  <si>
    <t>hpmi</t>
  </si>
  <si>
    <t>ヒプノシスマイク</t>
  </si>
  <si>
    <t>ひ</t>
  </si>
  <si>
    <t>•  『ギヴン』：鹿島柊
•  『神クズ☆アイドル』：仁淀ユウヤ
•  『プロジェクトセカイ カラフルステージ！』：東雲彰人
•  『ハナビちゃんは遅れがち』：東雲ムサシ
•  『A3!』：木之崎レント</t>
  </si>
  <si>
    <t>boueibu</t>
  </si>
  <si>
    <t>美男高校地球防衛部シリーズ</t>
  </si>
  <si>
    <t>び</t>
  </si>
  <si>
    <t>入江玲於奈</t>
  </si>
  <si>
    <t>bpro</t>
  </si>
  <si>
    <t>B-PROJECT</t>
  </si>
  <si>
    <t>pofi</t>
  </si>
  <si>
    <t>ピオフィオーレの晩鐘</t>
  </si>
  <si>
    <t>ぴ</t>
  </si>
  <si>
    <t>•  『刀剣乱舞』：前田藤四郎
•  『プリンスPiaキャロット』：立花心路
•  『でみめん』：サタン
•  『乙女剣武蔵』：宍戸梅軒</t>
  </si>
  <si>
    <t>frgr</t>
  </si>
  <si>
    <t>フラガリアメモリーズ</t>
  </si>
  <si>
    <t>入野自由</t>
  </si>
  <si>
    <t>ふ</t>
  </si>
  <si>
    <t>brmy</t>
  </si>
  <si>
    <t>ブレイクマイケース</t>
  </si>
  <si>
    <t>ぶ</t>
  </si>
  <si>
    <t>•  『おそ松さん』：松野トド松
•  『ハイキュー!!』：菅原孝支
•  『千と千尋の神隠し』：ハク
•  『キングダム ハーツ』：ソラ
•  『アイシールド21』：小早川瀬那
•  『あの日見た花の名前を僕達はまだ知らない。』：宿海仁太</t>
  </si>
  <si>
    <t>brst</t>
  </si>
  <si>
    <t>ブラックスター -Theater Starless-</t>
  </si>
  <si>
    <t>岩崎諒太</t>
  </si>
  <si>
    <t>bnar</t>
  </si>
  <si>
    <t>文豪とアルケミスト</t>
  </si>
  <si>
    <t>bnst</t>
  </si>
  <si>
    <t>文豪ストレイドッグス</t>
  </si>
  <si>
    <t>•  『ヒプノシスマイク』：白膠木簓
•  『僕のヒーローアカデミア』：夜嵐イナサ
•  『ザ・ファブル』：黒塩遼
•  『柚木さんちの四兄弟。』：柚木隼
•  『からくりサーカス』：仲町紀之</t>
  </si>
  <si>
    <t>prsk</t>
  </si>
  <si>
    <t>岩中睦樹</t>
  </si>
  <si>
    <t>プロジェクトセカイ カラフルステージ! feat. 初音ミク</t>
  </si>
  <si>
    <t>ぷ</t>
  </si>
  <si>
    <t>htra</t>
  </si>
  <si>
    <t>ヘタリア</t>
  </si>
  <si>
    <t>へ</t>
  </si>
  <si>
    <t>•  『月がきれい』：立花大輔
•  『ようこそ実力至上主義の教室へ』：山内春樹
•  『キャプテン翼』：井沢守
•  『AIの遺電子』：ジェイ
•  『ネガポジアングラー』：佐々木常宏
•  『妻、小学生になる。』：愛川蓮司</t>
  </si>
  <si>
    <t>hoshishow</t>
  </si>
  <si>
    <t>星芥ユニゾン</t>
  </si>
  <si>
    <t>ほ</t>
  </si>
  <si>
    <t>上村祐翔</t>
  </si>
  <si>
    <t>hoko</t>
  </si>
  <si>
    <t>補講男子</t>
  </si>
  <si>
    <t>bbem</t>
  </si>
  <si>
    <t>BOYS be MAID！～御曹司メイドボーイ部の日日～</t>
  </si>
  <si>
    <t>•  『文豪ストレイドッグス』：中島敦
•  『ダーリン・イン・ザ・フランキス』：ヒロ
•  『僕のヒーローアカデミア』：天喰環
•  『ヴィンランド・サガ』：トルフィン
•  『ツルネ ―風舞高校弓道部―』：鳴宮湊
•  『B-PROJECT』：増長和南</t>
  </si>
  <si>
    <t>ぼ</t>
  </si>
  <si>
    <t>mhyk</t>
  </si>
  <si>
    <t>内田修一</t>
  </si>
  <si>
    <t>魔法使いの約束</t>
  </si>
  <si>
    <t>ま</t>
  </si>
  <si>
    <t>mitei</t>
  </si>
  <si>
    <t>未定事件簿</t>
  </si>
  <si>
    <t>み</t>
  </si>
  <si>
    <t>•  『灼熱カバディ』：栄倉祐
•  『カミエラビ GOD.app』：秋津豊
•  『転生貴族、鑑定スキルで成り上がる』：ブラッハム・ジョー
•  『その着せ替え人形は恋をする』：森田健星
•  『夫婦以上、恋人未満。』：寺船周
•  『アンダーニンジャ』：瑛太</t>
  </si>
  <si>
    <t>ymkr</t>
  </si>
  <si>
    <t>夢職人と忘れじの黒い妖精</t>
  </si>
  <si>
    <t>内田雄馬</t>
  </si>
  <si>
    <t>ゆ</t>
  </si>
  <si>
    <t>yume100</t>
  </si>
  <si>
    <t>夢王国と眠れる100人の王子様</t>
  </si>
  <si>
    <t>yumecas</t>
  </si>
  <si>
    <t>•  『呪術廻戦』：伏黒恵
•  『BANANA FISH』：アッシュ・リンクス
•  『ブルーロック』：御影玲王
•  『WIND BREAKER』：桜遥
•  『フルーツバスケット』：草摩夾
•  『マクロスΔ』：ハヤテ・インメルマン
•  『りゅうおうのおしごと！』：九頭竜八一</t>
  </si>
  <si>
    <t>夢色キャスト</t>
  </si>
  <si>
    <t>内山昂輝</t>
  </si>
  <si>
    <t>rikm</t>
  </si>
  <si>
    <t>ライドカメンズ</t>
  </si>
  <si>
    <t>ら</t>
  </si>
  <si>
    <t>•  『ハイキュー!!』：月島蛍
•  『僕のヒーローアカデミア』：死柄木弔
•  『呪術廻戦』：狗巻棘
•  『機動戦士ガンダムUC』：バナージ・リンクス
•  『Free!』：桐嶋郁弥
•  『キングダム ハーツ』：ロクサス／ヴェントゥス
•  『ホリミヤ』：宮村伊澄</t>
  </si>
  <si>
    <t>梅田修一朗</t>
  </si>
  <si>
    <t>•  『可愛いだけじゃない式守さん』：和泉くん
•  『魔法使い黎明期』：セービル
•  『ゾンビ100～ゾンビになるまでにしたい100のこと～』：天道輝
•  『負けヒロインが多すぎる！』：温水和彦
•  『光が死んだ夏』：ヒカル
•  『ヴィジランテ -僕のヒーローアカデミア ILLEGALS-』：灰廻航一</t>
  </si>
  <si>
    <t>梅原裕一郎</t>
  </si>
  <si>
    <t>•  『ゴブリンスレイヤー』：ゴブリンスレイヤー
•  『美男高校地球防衛部LOVE!』：由布院煙
•  『あんさんぶるスターズ！』：蓮巳敬人
•  『アイドルマスター SideM』：鷹城恭二
•  『魔王学院の不適合者』：アノス・ヴォルディゴード
•  『WIND BREAKER』：十亀条
•  『ディズニー ツイステッドワンダーランド』：レオナ・キングスカラー</t>
  </si>
  <si>
    <t>浦和希</t>
  </si>
  <si>
    <t>•  『ブルーロック』：潔世一
•  『シャドウバースF』：真壁スバル
•  『テクノロイド オーバーマインド』：コバルト
•  『桃源暗鬼』：一ノ瀬四季
•  『カミエラビ GOD.app』：ゴロー
•  『悪魔執事と黒い猫』：ナック・シュタイン</t>
  </si>
  <si>
    <t>江口拓也</t>
  </si>
  <si>
    <t>•  『SPY×FAMILY』：ロイド・フォージャー
•  『やはり俺の青春ラブコメはまちがっている。』：比企谷八幡
•  『アイドリッシュセブン』：六弥ナギ
•  『東京リベンジャーズ』：半間修二
•  『転生したらスライムだった件』：ソウエイ
•  『マッシュル-MASHLE-』：ドット・バレット
•  『あんさんぶるスターズ！』：日々樹渉</t>
  </si>
  <si>
    <t>榎木淳弥</t>
  </si>
  <si>
    <t>•  『呪術廻戦』：虎杖悠仁
•  『ジョジョの奇妙な冒険 黄金の風』：パンナコッタ・フーゴ
•  『トニカクカワイイ』：由崎星空
•  『アイドルマスター SideM』：舞田類
•  『め組の大吾 救国のオレンジ』：十朱大吾</t>
  </si>
  <si>
    <t>逢坂良太</t>
  </si>
  <si>
    <t>•  『ダイヤのA』：沢村栄純
•  『はたらく魔王さま！』：真奥貞夫（魔王サタン）
•  『ハイキュー!!』：赤葦京治
•  『あんさんぶるスターズ！！』：七種茨
•  『赤髪の白雪姫』：ゼン
•  『進撃の巨人』：マルコ・ボット
•  『鬼滅の刃』：妓夫太郎</t>
  </si>
  <si>
    <t>小笠原仁</t>
  </si>
  <si>
    <t>•  『from ARGONAVIS』：旭那由多
•  『カードファイト!! ヴァンガード will+Dress』：狐芝ライカ
•  『WAVE!!～サーフィンやっぺ!!～』：秋月ショウ
•  『カワイスギクライシス』：向井誠二
•  『18TRIP』：西園練牙
•  『SSSS.DYNAZENON』：淡木</t>
  </si>
  <si>
    <t>大須賀純</t>
  </si>
  <si>
    <t>•  『あんさんぶるスターズ！』：影片みか
•  『刀剣乱舞』：博多藤四郎
•  『新テニスの王子様』：千歳千里
•  『サンリオ男子』：吉野俊介
•  『おおきく振りかぶって』：叶修悟
•  『PJベリーのもぐもぐむにゃむにゃ』：PJベリー</t>
  </si>
  <si>
    <t>大谷祐貴</t>
  </si>
  <si>
    <t>•  『巨神と氷華の城』：志郎
•  『刀剣乱舞』：太閤左文字
•  『デリシャスパーティ♡プリキュア』：青山のりお</t>
  </si>
  <si>
    <t>大塚剛央</t>
  </si>
  <si>
    <t>•  『【推しの子】』：アクア
•  『薬屋のひとりごと』：壬氏
•  『風が強く吹いている』：蔵原走
•  『アイドルマスター SideM』：眉見鋭心
•  『百千さん家のあやかし王子』：七守葵／鵺
•  『トリリオンゲーム』：天王寺陽</t>
  </si>
  <si>
    <t>岡本信彦</t>
  </si>
  <si>
    <t>•  『僕のヒーローアカデミア』：爆豪勝己
•  『青の祓魔師』：奥村燐
•  『とある魔術の禁書目録』：一方通行（アクセラレータ）
•  『ハイキュー!!』：西谷夕
•  『暗殺教室』：赤羽業
•  『葬送のフリーレン』：ヒンメル
•  『鬼滅の刃』：不死川玄弥</t>
  </si>
  <si>
    <t>置鮎龍太郎</t>
  </si>
  <si>
    <t>•  『テニスの王子様』：手塚国光
•  『BLEACH』：朽木白哉
•  『SLAM DUNK』：三井寿
•  『地獄先生ぬ～べ～』：鵺野鳴介
•  『鋼の錬金術師』：スカー
•  『トリコ』：トリコ
•  『名探偵コナン』：沖矢昴</t>
  </si>
  <si>
    <t>興津和幸</t>
  </si>
  <si>
    <t>•  『ジョジョの奇妙な冒険』：ジョナサン・ジョースター
•  『アイドリッシュセブン』：大神万理
•  『BROTHERS CONFLICT』：朝日奈雅臣
•  『刀剣乱舞』：蜂須賀虎徹
•  『蒼き鋼のアルペジオ -アルス・ノヴァ-』：千早群像</t>
  </si>
  <si>
    <t>小野賢章</t>
  </si>
  <si>
    <t>•  『黒子のバスケ』：黒子テツヤ
•  『アイドリッシュセブン』：七瀬陸
•  『文豪ストレイドッグス』：芥川龍之介
•  『ジョジョの奇妙な冒険 黄金の風』：ジョルノ・ジョバァーナ
•  『ハリー・ポッター』シリーズ：ハリー・ポッター
•  『SPY×FAMILY』：ユーリ・ブライア
•  『ツルネ ―風舞高校弓道部―』：藤原愁</t>
  </si>
  <si>
    <t>小野友樹</t>
  </si>
  <si>
    <t>•  『黒子のバスケ』：火神大我
•  『ジョジョの奇妙な冒険 ダイヤモンドは砕けない』：東方仗助
•  『あんさんぶるスターズ！』：大神晃牙
•  『抱かれたい男1位に脅されています。』：東谷准太
•  『ブルーロック』：國神錬介</t>
  </si>
  <si>
    <t>海渡翼</t>
  </si>
  <si>
    <t>•  『ブルーロック』：蜂楽廻
•  『あんさんぶるスターズ！！』：桜河こはく
•  『戦国 A LIVE』：佑太郎
•  『星芥ショータイム』：四条憶人</t>
  </si>
  <si>
    <t>柿原徹也</t>
  </si>
  <si>
    <t>•  『FAIRY TAIL』：ナツ・ドラグニル
•  『天元突破グレンラガン』：シモン
•  『弱虫ペダル』：東堂尽八
•  『青の祓魔師』：アマイモン
•  『B-PROJECT』：音済百太郎
•  『ツキウタ。』：葉月陽</t>
  </si>
  <si>
    <t>加藤和樹</t>
  </si>
  <si>
    <t>笠間淳</t>
  </si>
  <si>
    <t>•  『アイドルマスター SideM』：葛之葉雨彦
•  『あんさんぶるスターズ！！』：HiMERU
•  『THE FIRST SLAM DUNK』：三井寿
•  『REVENGER』：繰馬雷蔵
•  『ハイキュー!!』：尾白アラン
•  『幼女戦記』：ヴィリバルト・ケーニッヒ</t>
  </si>
  <si>
    <t>梶裕貴</t>
  </si>
  <si>
    <t>•  『進撃の巨人』：エレン・イェーガー
•  『僕のヒーローアカデミア』：轟焦凍
•  『七つの大罪』：メリオダス
•  『マギ』：アリババ・サルージャ
•  『ハイキュー!!』：孤爪研磨
•  『黒執事』：フィニアン</t>
  </si>
  <si>
    <t>梶田大嗣</t>
  </si>
  <si>
    <t>•  『戦隊大失格』：桜間日々輝
•  『ビックリメン』：ヤマト
•  『NOBLESSE -ノブレス-』：ラエル・ケルティア
•  『ブルーロック』：成早朝日
•  『SDガンダムワールド ヒーローズ』：馬超ガンダムバルバトス
•  『ひみつのアイプリ』：霧島律</t>
  </si>
  <si>
    <t>梶原岳人</t>
  </si>
  <si>
    <t>•  『ブラッククローバー』：アスタ
•  『炎炎ノ消防隊』：森羅日下部
•  『あんさんぶるスターズ！！』：天城一彩
•  『Paradox Live』：朱雀野アレン
•  『お前はまだグンマを知らない』：神月紀</t>
  </si>
  <si>
    <t>粕谷雄太</t>
  </si>
  <si>
    <t>•  『僕のヒーローアカデミア』：真堂揺
•  『刀剣乱舞』：五虎退
•  『聖闘士星矢セインティア翔』：アンドロメダ星座の瞬
•  『ワールドトリガー』：時枝充
•  『デジモンゴーストゲーム』：ゴツモン</t>
  </si>
  <si>
    <t>神原大地</t>
  </si>
  <si>
    <t>•  『アイドルマスター SideM』：伊集院北斗
•  『カードファイト!! ヴァンガード』：蒼龍レオン
•  『number24』：東坂虎之進
•  『佐々木と宮野』：半澤雅臣
•  『爆丸』シリーズ： ハウルカー</t>
  </si>
  <si>
    <t>狩野翔</t>
  </si>
  <si>
    <t>•  『東京リベンジャーズ』：松野千冬
•  『アイドルマスター SideM』：神谷幸広
•  『本好きの下剋上』：フラン
•  『君は放課後インソムニア』：灰田塁
•  『刀剣乱舞』：五月雨江</t>
  </si>
  <si>
    <t>川島零士</t>
  </si>
  <si>
    <t>•  『不滅のあなたへ』：フシ
•  『マッシュル-MASHLE-』：フィン・エイムズ
•  『夜桜さんちの大作戦』：朝野太陽
•  『シャドーハウス』：パトリック／リッキー
•  『カードファイト!! ヴァンガード Divinez』：呼続スオウ</t>
  </si>
  <si>
    <t>河西健吾</t>
  </si>
  <si>
    <t>•  『機動戦士ガンダム 鉄血のオルフェンズ』：三日月・オーガス
•  『鬼滅の刃』：時透無一郎
•  『Dr.STONE』：あさぎりゲン
•  『ヒプノシスマイク』：躑躅森盧笙
•  『怪獣8号』：保科宗四郎
•  『3月のライオン』：桐山零</t>
  </si>
  <si>
    <t>川原慶久</t>
  </si>
  <si>
    <t>•  『テニスの王子様』：橘桔平
•  『とある魔術の禁書目録』：青髪ピアス
•  『バキ』：愚地克巳
•  『日常』：笹原幸治郎
•  『アイドリッシュセブン』：姉鷺カオル
•  『ガールズ&amp;パンツァー』：秋山淳五郎</t>
  </si>
  <si>
    <t>神尾晋一郎</t>
  </si>
  <si>
    <t>•  『ヒプノシスマイク』：毒島メイソン理鶯
•  『あんさんぶるスターズ！』：鬼龍紅郎
•  『THE FIRST SLAM DUNK』：流川楓
•  『悪魔執事と黒い猫』：ボスキ・アリーナス
•  『世界はほしいモノにあふれてる』：ナレーション</t>
  </si>
  <si>
    <t>神永圭佑</t>
  </si>
  <si>
    <t>北村諒</t>
  </si>
  <si>
    <t>木島隆一</t>
  </si>
  <si>
    <t>•  『ヒプノシスマイク』：伊弉冉一二三
•  『BORUTO-ボルト- NARUTO NEXT GENERATIONS』：ミツキ
•  『転生したらスライムだった件』：ギド
•  『ありふれた職業で世界最強』：坂上龍太郎
•  『映画大好きポンポさん』：アラン
•  『ゴッドイーター』：空木レンカ</t>
  </si>
  <si>
    <t>木村昴</t>
  </si>
  <si>
    <t>•  『ドラえもん』：剛田武（ジャイアン）
•  『ヒプノシスマイク』：山田一郎
•  『呪術廻戦』：東堂葵
•  『ジョジョの奇妙な冒険 黄金の風』：ペッシ
•  『ハイキュー!!』：天童覚</t>
  </si>
  <si>
    <t>木村太飛</t>
  </si>
  <si>
    <t>•  『陰陽廻天 Re:バース』：業平猛
•  『HUNDRED LINE -最終防衛学園-』：澄野拓海
•  『朱色の仮面』：ペル・ダレスト
•  『最強の王様、二度目の人生は何をする？』：アダム・クレンシュ
•  『カグラバチ』：六平千鉱</t>
  </si>
  <si>
    <t>木村良平</t>
  </si>
  <si>
    <t>•  『黒子のバスケ』：黄瀬涼太
•  『ハイキュー!!』：木兎光太郎
•  『魔道祖師』：魏無羨
•  『原神』：タルタリヤ
•  『DIABOLIK LOVERS』：無神コウ
•  『ツキウタ。』：霜月隼
•  『東のエデン』：滝沢朗</t>
  </si>
  <si>
    <t>楠大典</t>
  </si>
  <si>
    <t>•  『テニスの王子様』：真田弦一郎
•  『TIGER &amp; BUNNY』：アントニオ・ロペス（ロックバイソン）
•  『ONE PIECE』：ウルージ
•  『炎炎ノ消防隊』：レオナルド・バーンズ
•  『トランスフォーマー ギャラクシーフォース』：ギャラクシーコンボイ</t>
  </si>
  <si>
    <t>熊谷俊輝</t>
  </si>
  <si>
    <t>•  『遊☆戯☆王ゴーラッシュ!!』：王道遊飛
•  『君は冥土様。』：横谷人好
•  『ライオン・キング』：シンバ（子供時代）
•  『18TRIP』：輝矢宗氏
•  『異世界黙示録マイノグーラ』：伊良拓斗</t>
  </si>
  <si>
    <t>熊谷健太郎</t>
  </si>
  <si>
    <t>•  『ダンジョン飯』：ライオス
•  『アイドルマスター SideM』：握野英雄
•  『A3!』：伏見臣
•  『機動戦士ガンダム 鉄血のオルフェンズ』：アストン・アルトランド
•  『ゴッド・オブ・ハイスクール』：ハン・デウィ
•  『グランクレスト戦記』：テオ・コルネーロ</t>
  </si>
  <si>
    <t>草野太一</t>
  </si>
  <si>
    <t>•  『Fairy蘭丸～あなたの心お助けします～』：陸岡樹果
•  『あんさんぶるスターズ！！』：花群冬芽
•  『ワールドトリガー』：別役太一
•  『ジャックジャンヌ』：忍成稀
•  『美男高校地球防衛部ハイカラ！』：阿蘇空太
•  『JOCHUM』：マイクン</t>
  </si>
  <si>
    <t>小林大紀</t>
  </si>
  <si>
    <t>•  『地縛少年花子くん』：ミツバ（三葉惣助）
•  『ナンバカ』：ニコ
•  『転生したらスライムだった件』：ヘルメス
•  『魔法使いの嫁』：ゾーイ・アイビー
•  『あんさんぶるスターズ！！』：天満光
•  『きのこいぬ』：きのこいぬ</t>
  </si>
  <si>
    <t>小林千晃</t>
  </si>
  <si>
    <t>•  『マッシュル-MASHLE-』：マッシュ・バーンデッド
•  『SK∞ エスケーエイト』：馳河ランガ
•  『地獄楽』：画眉丸
•  『葬送のフリーレン』：シュタルク
•  『憂国のモリアーティ』：ルイス・ジェームズ・モリアーティ
•  『クールドジ男子』：一倉颯
•  『30歳まで童貞だと魔法使いになれるらしい』：安達清</t>
  </si>
  <si>
    <t>小林親弘</t>
  </si>
  <si>
    <t>•  『ゴールデンカムイ』：杉元佐一
•  『転生したらスライムだった件』：ランガ
•  『BEASTARS』：レゴシ
•  『魔王城でおやすみ』：レッドシベリアン・改
•  『姫様“拷問”の時間です』：エクス
•  『イエスタデイをうたって』：魚住陸生</t>
  </si>
  <si>
    <t>小林竜之</t>
  </si>
  <si>
    <t>•  『アイドルタイムプリパラ』：三鷹アサヒ
•  『ディズニー ツイステッドワンダーランド』：ケイト・ダイヤモンド
•  『KING OF PRISM』：池袋エィス
•  『神クズ☆アイドル』：内濱アキラ
•  『でーじミーツガール』：すずきいちろう
•  『ひみつのアイプリ』：七浦すばる</t>
  </si>
  <si>
    <t>小林裕介</t>
  </si>
  <si>
    <t>•  『Re:ゼロから始める異世界生活』：ナツキ・スバル
•  『Dr.STONE』：石神千空
•  『炎炎ノ消防隊』：アーサー・ボイル
•  『アルスラーン戦記』：アルスラーン
•  『ファイアーエムブレム 風花雪月』：ベレト
•  『Paradox Live』：矢戸乃上珂波汰</t>
  </si>
  <si>
    <t>キャラクター名</t>
  </si>
  <si>
    <t>小松昌平</t>
  </si>
  <si>
    <t>•  『アイドルマスター SideM』：牙崎漣
•  『賢者の孫』：アウグスト＝フォン＝アールスハイド
•  『number24』：都留靖也
•  『葬送のフリーレン』：ラント
•  『SHOW BY ROCK!!』：ハッチン
•  『刀剣乱舞』：肥前忠広</t>
  </si>
  <si>
    <t>駒田航</t>
  </si>
  <si>
    <t>•  『ヒプノシスマイク』：入間銃兎
•  『アイドルマスター SideM』：古論クリス
•  『あんさんぶるスターズ！』：椚章臣
•  『ディズニー ツイステッドワンダーランド』：ジェイド・リーチ
•  『華Doll＊』：チセ</t>
  </si>
  <si>
    <t>小西克幸</t>
  </si>
  <si>
    <t>•  『鬼滅の刃』：宇髄天元
•  『ヘタリア』：アメリカ
•  『テイルズ オブ シンフォニア』：ロイド・アーヴィング
•  『べるぜバブ』：男鹿辰巳
•  『ゴールデンカムイ』：鯉登音之進
•  『薬屋のひとりごと』：高順
•  『天元突破グレンラガン』：カミナ</t>
  </si>
  <si>
    <t>小西成弥</t>
  </si>
  <si>
    <t>子安武人</t>
  </si>
  <si>
    <t>•  『ジョジョの奇妙な冒険』：ディオ・ブランドー／DIO
•  『銀魂』：高杉晋助
•  『進撃の巨人』：ジーク・イェーガー
•  『新機動戦記ガンダムW』：ゼクス・マーキス
•  『機動戦士ガンダムSEED』：ムウ・ラ・フラガ
•  『ONE PIECE』：クザン（青キジ）
•  『Re:ゼロから始める異世界生活』：ロズワール・L・メイザース</t>
  </si>
  <si>
    <t>近藤隆</t>
  </si>
  <si>
    <t>•  『家庭教師ヒットマンREBORN!』：雲雀恭弥
•  『アイドリッシュセブン』：御堂虎於
•  『世界一初恋』：小野寺律
•  『DIABOLIK LOVERS』：逆巻スバル
•  『ツキウタ。』：長月夜
•  『BLACK CAT』：トレイン＝ハートネット</t>
  </si>
  <si>
    <t>河本啓佑</t>
  </si>
  <si>
    <t>•  『美男高校地球防衛部LOVE! LOVE!』：別府月彦
•  『サイボーグ009 CALL OF JUSTICE』：009／島村ジョー
•  『私がモテてどうすんだ』：七島希
•  『BORUTO-ボルト-』：枸橘かぐら
•  『RobiHachi』：ハッチ・キタ
•  『怪獣8号』：出雲ハルイチ</t>
  </si>
  <si>
    <t>斉藤壮馬</t>
  </si>
  <si>
    <t>中村悠一</t>
  </si>
  <si>
    <t>•  『ヒプノシスマイク』：夢野幻太郎
•  『アイドリッシュセブン』：九条天
•  『るろうに剣心 -明治剣客浪漫譚-』：緋村剣心
•  『ブルーロック』：千切豹馬
•  『ハイキュー!!』：山口忠
•  『刀剣乱舞』：鶴丸国永
•  『あんさんぶるスターズ！』：葵ひなた／葵ゆうた</t>
  </si>
  <si>
    <t>酒井広大</t>
  </si>
  <si>
    <t>•  『A3!』：佐久間咲也
•  『シャドーハウス』：ジョン／ショーン
•  『時々ボソッとロシア語でデレる隣のアーリャさん』：丸山毅
•  『誰ソ彼ホテル』：阿鳥遥斗
•  『オッドタクシー』：今井
•  『迷家-マヨイガ-』：光宗</t>
  </si>
  <si>
    <t>坂泰斗</t>
  </si>
  <si>
    <t>•  『お隣の天使様にいつの間にか駄目人間にされていた件』：藤宮周
•  『ディズニー ツイステッドワンダーランド』：ジャック・ハウル
•  『ギヴン』：八木玄純
•  『俺だけレベルアップな件』：水篠旬
•  『転生貴族、鑑定スキルで成り上がる』：リーツ・ミューセス
•  『悪魔執事と黒い猫』：ハウレス・クリフォード</t>
  </si>
  <si>
    <t>坂田将吾</t>
  </si>
  <si>
    <t>•  『チェンソーマン』：早川アキ
•  『Fairy蘭丸～あなたの心お助けします～』：阿以蘭丸
•  『転生王女と天才令嬢の魔法革命』：アルガルド・ボナ・パレッティア
•  『千歳くんはラムネ瓶のなか』：千歳朔
•  『悪魔執事と黒い猫』：フェネス・オズワルド
•  『桃源暗鬼』：矢颪碇</t>
  </si>
  <si>
    <t>童子切安綱 剥落</t>
  </si>
  <si>
    <t>榊原優希</t>
  </si>
  <si>
    <t>•  『ヒプノシスマイク』：四十物十四
•  『デッドマウント・デスプレイ』：四乃山ポルカ
•  『呪術廻戦』：星綺羅羅
•  『シャドウバースF』：白銀ミカド
•  『異世界ワンターンキル姉さん』：軍場朝陽
•  『リコリス・リコイル』：ロボ太</t>
  </si>
  <si>
    <t>阪口大助</t>
  </si>
  <si>
    <t>•  『銀魂』：志村新八
•  『機動戦士Vガンダム』：ウッソ・エヴィン
•  『血界戦線』：レオナルド・ウォッチ
•  『CLANNAD』：春原陽平
•  『炎炎ノ消防隊』：ヴィクトル・リヒト
•  『あたしンち』：立花ユズヒコ
•  『氷菓』：福部里志</t>
  </si>
  <si>
    <t>櫻井トオル</t>
  </si>
  <si>
    <t>•  『ハイキュー!!』：花巻貴大
•  『銀の匙 Silver Spoon』：駒場一郎
•  『ドラゴンボールDAIMA』：ミスター・サタン
•  『刀剣乱舞』：同田貫正国／蜻蛉切
•  『SHAMAN KING』：李白竜
•  『THE FIRST SLAM DUNK』：潮崎哲士</t>
  </si>
  <si>
    <t>佐藤拓也</t>
  </si>
  <si>
    <t>•  『アイドリッシュセブン』：十龍之介
•  『カードファイト!! ヴァンガード』：櫂トシキ
•  『ジョジョの奇妙な冒険』：シーザー・アントニオ・ツェペリ
•  『憂国のモリアーティ』：アルバート・ジェームズ・モリアーティ
•  『刀剣乱舞』：燭台切光忠
•  『魔入りました！入間くん』：サブノック・サブロ
•  『キャプテン翼』：日向小次郎</t>
  </si>
  <si>
    <t>佐藤祐吾</t>
  </si>
  <si>
    <t>鳥海浩輔</t>
  </si>
  <si>
    <t>•  『雨色ココア』：都倉望
•  『ACTORS -Songs Connection-』：新木完
•  『遊☆戯☆王SEVENS』：加山シュベール
•  『シュート！ Goal to the Future』：松橋圭
•  『18TRIP』：衣川季肋</t>
  </si>
  <si>
    <t>沢城千春</t>
  </si>
  <si>
    <t>•  『A3!』：摂津万里
•  『Caligula』：式島律
•  『トライブナイン』：タイガ
•  『ラブ米 -WE LOVE RICE-』：ささにしき
•  『スタンドマイヒーローズ』：九条壮馬
•  『チア男子!!』：安藤タケル</t>
  </si>
  <si>
    <t>重松千晴</t>
  </si>
  <si>
    <t>•  『あんさんぶるスターズ！！』：礼瀬マヨイ
•  『神様になった日』：鈴木央人
•  『神之塔 -Tower of God-』：ベータ
•  『クレバテス-魔獣の王と赤子と屍の勇者-』：メイナード</t>
  </si>
  <si>
    <t>島﨑信長</t>
  </si>
  <si>
    <t>•  『Free!』：七瀬遙
•  『ブルーロック』：凪誠士郎
•  『フルーツバスケット』：草摩由希
•  『呪術廻戦』：真人
•  『ダイヤのA』：降谷暁
•  『デート・ア・ライブ』：五河士道
•  『ブラッククローバー』：ユノ
•  『WIND BREAKER』：蘇枋隼飛</t>
  </si>
  <si>
    <t>下野紘</t>
  </si>
  <si>
    <t>•  『鬼滅の刃』：我妻善逸
•  『うたの☆プリンスさまっ♪』：来栖翔
•  『僕のヒーローアカデミア』：荼毘
•  『進撃の巨人』：コニー・スプリンガー
•  『バカとテストと召喚獣』：吉井明久
•  『ACCA13区監察課』：ジーン・オータス</t>
  </si>
  <si>
    <t>三日月宗近</t>
  </si>
  <si>
    <t>白井悠介</t>
  </si>
  <si>
    <t>•  『ヒプノシスマイク』：飴村乱数
•  『アイドリッシュセブン』：二階堂大和
•  『佐々木と宮野』：佐々木秀鳴
•  『美男高校地球防衛部LOVE!』：鳴子硫黄
•  『戦闘員、派遣します!』：戦闘員六号
•  『誰ソ彼ホテル』：大外聖生</t>
  </si>
  <si>
    <t>杉田智和</t>
  </si>
  <si>
    <t>•  『銀魂』：坂田銀時
•  『涼宮ハルヒの憂鬱』：キョン
•  『ジョジョの奇妙な冒険』：ジョセフ・ジョースター
•  『無職転生 ～異世界行ったら本気だす～』：前世の男
•  『鬼滅の刃』：悲鳴嶼行冥
•  『七つの大罪』：エスカノール
•  『SAKAMOTO DAYS』：坂本太郎</t>
  </si>
  <si>
    <t>杉山紀彰</t>
  </si>
  <si>
    <t>•  『NARUTO -ナルト-』：うちはサスケ
•  『BLEACH』：石田雨竜
•  『Fate/stay night』：衛宮士郎
•  『ヘタリア』：イギリス
•  『魔法使いの約束』：ネロ
•  『ONE PIECE』：ヴィンスモーク・イチジ
•  『ディズニー ツイステッドワンダーランド』：グリム</t>
  </si>
  <si>
    <t>鈴木千尋</t>
  </si>
  <si>
    <t>•  『彼氏彼女の事情』：有馬総一郎
•  『エルフェンリート』：コウタ
•  『砂ぼうず』：砂ぼうず
•  『テニスの王子様』：神尾アキラ
•  『Free!』：鴫野貴澄
•  『プリパラ』：クマ
•  『テイルズ オブ ジ アビス』：ルーク・フォン・ファブレ</t>
  </si>
  <si>
    <t>鈴木裕斗</t>
  </si>
  <si>
    <t>•  『刀剣乱舞』：骨喰藤四郎
•  『SERVAMP-サーヴァンプ-』：綿貫桜哉
•  『ブラッククローバー』：レブチ・サリーク
•  『魔界王子 devils and realist』：マモン
•  『Dance with Devils』：ジェキ
•  『シンカリオン チェンジ ザ ワールド』：岩手カケル</t>
  </si>
  <si>
    <t>鈴木崚汰</t>
  </si>
  <si>
    <t>•  『Dr.STONE』：七海龍水
•  『錆喰いビスコ』：赤星ビスコ
•  『かぐや様は告らせたい～天才たちの恋愛頭脳戦～』：石上優
•  『勇気爆発バーンブレイバーン』：イサミ・アオ
•  『ディズニー ツイステッドワンダーランド』：トレイ・クローバー
•  『地獄楽』：山田浅ェ門殊現
•  『SAKAMOTO DAYS』：眞霜平助
•  『ドラゴンボールDAIMA』：ヤムチャ（2代目）</t>
  </si>
  <si>
    <t>諏訪部順一</t>
  </si>
  <si>
    <t>•  『テニスの王子様』：跡部景吾
•  『Fate/stay night』：アーチャー
•  『うたの☆プリンスさまっ♪』：神宮寺レン
•  『ユーリ!!! on ICE』：ヴィクトル・ニキフォロフ
•  『呪術廻戦』：両面宿儺
•  『黒執事』：アンダーテイカー
•  『BLEACH』：グリムジョー・ジャガージャック
•  『僕のヒーローアカデミア』：相澤消太</t>
  </si>
  <si>
    <t>関俊彦</t>
  </si>
  <si>
    <t>•  『最遊記』：玄奘三蔵
•  『忍たま乱太郎』：土井半助
•  『仮面ライダー電王』：モモタロス
•  『鬼滅の刃』：鬼舞辻無惨
•  『新機動戦記ガンダムW』：デュオ・マックスウェル
•  『キルラキル』：鮮血
•  『NARUTO -ナルト-』：うみのイルカ</t>
  </si>
  <si>
    <t>高坂知也</t>
  </si>
  <si>
    <t>•  『あんさんぶるスターズ！』：紫之創
•  『SHOW BY ROCK!!』：はっくん
•  『ガンダムビルドファイターズトライ』：シキ・カズヤ</t>
  </si>
  <si>
    <t>小狐丸</t>
  </si>
  <si>
    <t>高城元気</t>
  </si>
  <si>
    <t>•  『ef - a tale of memories.』：麻生蓮治
•  『CLAYMORE』：ラキ
•  『宇宙戦艦ヤマト2199』：星名透
•  『BRAVE10』：由利鎌之介
•  『刀剣乱舞』：毛利藤四郎
•  『ヘタリア』：香港
•  『千銃士』：フルサト</t>
  </si>
  <si>
    <t>高崎翔太</t>
  </si>
  <si>
    <t>高塚智人</t>
  </si>
  <si>
    <t>•  『アイドルマスター SideM』：渡辺みのり
•  『スタンドマイヒーローズ』：荒木田蒼生
•  『ALL OUT!!』：大比叡太一
•  『指先から本気の熱情-幼なじみは消防士-』：泉友貴
•  『王子の本命は悪役令嬢』：シリウス・イヴェール</t>
  </si>
  <si>
    <t>高梨謙吾</t>
  </si>
  <si>
    <t>高橋英則</t>
  </si>
  <si>
    <t>•  『ドロヘドロ』：藤田
•  『七星のスバル』：天羽陽翔
•  『刀剣乱舞』：山姥切長義
•  『スタミュ』：蜂矢聡
•  『村井の恋』：村井
•  『クールドジ男子』：赤井
•  『白猫プロジェクト ZERO CHRONICLE』：アデル</t>
  </si>
  <si>
    <t>髙橋孝治</t>
  </si>
  <si>
    <t>•  『星刻の竜騎士』：アッシュ・ブレイク
•  『刀剣乱舞』：太鼓鐘貞宗
•  『K』：秋山氷杜／エリック・スルト
•  『文豪とアルケミスト』：堀辰雄
•  『本好きの下剋上』：ヨハン</t>
  </si>
  <si>
    <t>•  『BORUTO-ボルト-』：猿飛木ノ葉丸
•  『刀剣乱舞』：石切丸
•  『うたの☆プリンスさまっ♪』：桐生院ヴァン
•  『AMNESIA』：ワカ
•  『トライナイツ』：小熊景太
•  『メガトン級ムサシ』：竹熊繁弘</t>
  </si>
  <si>
    <t>高橋広樹</t>
  </si>
  <si>
    <t>石切丸</t>
  </si>
  <si>
    <t>•  『ヘタリア』：日本
•  『遊☆戯☆王デュエルモンスターズ』：城之内克也
•  『テニスの王子様』：菊丸英二
•  『金色のガッシュベル!!』：パルコ・フォルゴーレ
•  『抱かれたい男1位に脅されています。』：西條高人
•  『あんさんぶるスターズ！』：斎宮宗
•  『アイドリッシュセブン』：月雲了
•  『HUNTER×HUNTER』（旧アニメ）：ヒソカ</t>
  </si>
  <si>
    <t>武内駿輔</t>
  </si>
  <si>
    <t>•  『遊☆戯☆王VRAINS』：鴻上了見／リボルバー
•  『THE FIRST SLAM DUNK』：沢北栄治
•  『KING OF PRISM』：大和アレクサンダー
•  『アイドルマスター シンデレラガールズ』：プロデューサー
•  『アナと雪の女王2』：オラフ
•  『機動戦士ガンダム ククルス・ドアンの島』：ククルス・ドアン</t>
  </si>
  <si>
    <t>竹本英史</t>
  </si>
  <si>
    <t>•  『ゴールデンカムイ』：月島軍曹
•  『テニスの王子様』：柳蓮二
•  『ONE PIECE』：X・ドレーク
•  『戦国無双』：石田三成
•  『ワールドトリガー』：唐沢克己
•  『テイルズ オブ ヴェスペリア』：レイヴン</t>
  </si>
  <si>
    <t>立花慎之介</t>
  </si>
  <si>
    <t>•  『アイドリッシュセブン』：千（ユキ）
•  『神様はじめました』：巴衛
•  『ハイキュー!!』：夜久衛輔
•  『世界一初恋』：吉野千秋
•  『セキレイ』：佐橋皆人
•  『恋と深空』：ホムラ</t>
  </si>
  <si>
    <t>谷山紀章</t>
  </si>
  <si>
    <t>•  『文豪ストレイドッグス』：中原中也
•  『うたの☆プリンスさまっ♪』：四ノ宮那月
•  『進撃の巨人』：ジャン・キルシュタイン
•  『金色のコルダ』：月森蓮
•  『SHOW BY ROCK!!』：クロウ
•  『BASTARD!! -暗黒の破壊神-』：ダーク・シュナイダー
•  『黒子のバスケ』：氷室辰也</t>
  </si>
  <si>
    <t>宮下栄治</t>
  </si>
  <si>
    <t>田所陽向</t>
  </si>
  <si>
    <t>•  『王様ランキング』：ドルーシ
•  『からかい上手の高木さん』：田辺先生
•  『黄昏アウトフォーカス』：土谷功緒
•  『地獄楽』：陸郎太
•  『number24』：財津岳十
•  『終末のワルキューレ』：アレス</t>
  </si>
  <si>
    <t>田丸篤志</t>
  </si>
  <si>
    <t>•  『A3!』：月岡紬
•  『ディズニー ツイステッドワンダーランド』：アズール・アーシェングロット
•  『刀剣乱舞』：一期一振
•  『七つの魔剣が支配する』：オリバー＝ホーン
•  『魔法科高校の劣等生』：吉田幹比古
•  『ハイキュー!!』：国見英
•  『月がきれい』：比良拓海</t>
  </si>
  <si>
    <t>泰勇気</t>
  </si>
  <si>
    <t>•  『D.C. 〜ダ・カーポ〜』：朝倉純一
•  『ゴーストハント』：渋谷一也
•  『シュヴァリエ 〜Le Chevalier D’Eon〜』：デオン・ド・ボーモン
•  『刀剣乱舞』：宗三左文字
•  『ef - a tale of memories.』：堤京介</t>
  </si>
  <si>
    <t>千葉翔也</t>
  </si>
  <si>
    <t>岩融</t>
  </si>
  <si>
    <t>•  『ようこそ実力至上主義の教室へ』：綾小路清隆
•  『86-エイティシックス-』：シンエイ・ノウゼン
•  『アオのハコ』：猪股大喜
•  『地縛少年花子くん』：源光
•  『ALL OUT!!』：祇園健次
•  『青のオーケストラ』：青野一
•  『WIND BREAKER』：楡井秋彦
•  『アイドルマスター SideM』：秋山隼人</t>
  </si>
  <si>
    <t>津田健次郎</t>
  </si>
  <si>
    <t>•  『遊☆戯☆王デュエルモンスターズ』：海馬瀬人
•  『テニスの王子様』：乾貞治
•  『ゴールデンカムイ』：尾形百之助
•  『呪術廻戦』：七海建人
•  『チェンソーマン』：岸辺
•  『TIGER &amp; BUNNY』：ネイサン・シーモア（ファイヤーエンブレム）
•  『薄桜鬼』：風間千景
•  『チ。―地球の運動について―』：ノヴァク</t>
  </si>
  <si>
    <t>辻史人</t>
  </si>
  <si>
    <t>•  『あんさんぶるスターズ！！』：久遠舞珠
•  『DIGIMON BEATBREAK』：芹沢ユウト</t>
  </si>
  <si>
    <t>土田玲央</t>
  </si>
  <si>
    <t>•  『あんさんぶるスターズ！！』：朱桜司
•  『スケートリーディング☆スターズ』：望月暁光
•  『先輩がうざい後輩の話』：風間蒼太
•  『アイドルタイムプリパラ』：高瀬コヨイ
•  『VS AMBIVALENZ』：TAIYO／SUBARU</t>
  </si>
  <si>
    <t>土屋神葉</t>
  </si>
  <si>
    <t>山下大輝</t>
  </si>
  <si>
    <t>•  『ハイキュー!!』：五色工
•  『バクテン!!』：双葉翔太郎
•  『ディズニー ツイステッドワンダーランド』：エペル・フェルミエ
•  『アンジェリーク ルミナライズ』：ユエ
•  『シュート！ Goal to the Future』：小久保公平
•  『シンカリオン チェンジ ザ ワールド』：九頭竜リョータ
•  『群青のファンファーレ』：風波駿</t>
  </si>
  <si>
    <t>寺島惇太</t>
  </si>
  <si>
    <t>•  『KING OF PRISM』：一条シン
•  『アイドルマスター SideM』：大河タケル
•  『A3!』：御影密
•  『ツキプロ』：藤村衛
•  『Paradox Live』：闇堂四季
•  『この音とまれ！』：桐生桜介</t>
  </si>
  <si>
    <t>寺島拓篤</t>
  </si>
  <si>
    <t>•  『うたの☆プリンスさまっ♪』：一十木音也
•  『創聖のアクエリオン』：アポロ
•  『ログ・ホライズン』：シロエ
•  『転生したらスライムだった件』：三上悟
•  『EDENS ZERO』：シキ・グランベル
•  『魔法科高校の劣等生』：西城レオンハルト
•  『メカクシティアクターズ』：シンタロー
•  『アイドルマスター SideM』：天ヶ瀬冬馬</t>
  </si>
  <si>
    <t>今剣</t>
  </si>
  <si>
    <t>手塚ヒロミチ</t>
  </si>
  <si>
    <t>•  『EDENS ZERO』：ワイズ・シュタイナー
•  『ALL OUT!!』：鹿島耕一郎
•  『ブラック・ブレット』：伊熊将監
•  『ゴジラ S.P＜シンギュラポイント＞』：マキタ・K・中川
•  『ワンパンマン』：オールバックマン</t>
  </si>
  <si>
    <t>照井悠希</t>
  </si>
  <si>
    <t>•  『BEYBLADE X』：鷹野ツバサ
•  『AYAKA -あやか-』：屋敷小太郎
•  『ここは俺に任せて先に行けと言ってから10年がたったら伝説になっていた。』：アリオ
•  『あんさんぶるスターズ！！』：宝丈萊香</t>
  </si>
  <si>
    <t>堂島颯人</t>
  </si>
  <si>
    <t>•  『ラブオールプレー』：一ノ瀬俊輔
•  『川越ボーイズ・シング』：森村充
•  『神之塔 -Tower of God-』：アウグスグス
•  『18TRIP』：久楽間潮
•  『A3!』：辛科景句
•  『女神降臨』：ハン・ソジュン</t>
  </si>
  <si>
    <t>土岐隼一</t>
  </si>
  <si>
    <t>浪川大輔</t>
  </si>
  <si>
    <t>•  『プロジェクトセカイ カラフルステージ！ feat. 初音ミク』：神代類
•  『アイドルマスター SideM』：都築圭
•  『ツキプロ』：衛藤昂輝
•  『A3!』：瑠璃川幸
•  『かくりよの宿飯』：銀次
•  『Paradox Live』：征木北斎
•  『原神』：フレミネ</t>
  </si>
  <si>
    <t>豊島修平</t>
  </si>
  <si>
    <t>•  『ワンパンマン』：ギアスパー
•  『あんさんぶるスターズ！！』：冴霧笑主
•  『アルカナ・ファミリア コレツィオーネ！』：シモン</t>
  </si>
  <si>
    <t>豊永利行</t>
  </si>
  <si>
    <t>•  『デュラララ!!』：竜ヶ峰帝人
•  『ユーリ!!! on ICE』：勝生勇利
•  『Free!』：椎名旭
•  『文豪ストレイドッグス』：谷崎潤一郎
•  『ハイキュー!!』：白布賢二郎
•  『ドラゴンクエスト ダイの大冒険』：ポップ
•  『東京喰種トーキョーグール』：永近英良</t>
  </si>
  <si>
    <t>•  『うたの☆プリンスさまっ♪』：愛島セシル
•  『薄桜鬼』：斎藤一
•  『刀剣乱舞』：三日月宗近
•  『弱虫ペダル』：今泉俊輔
•  『あんさんぶるスターズ！！』：三毛縞斑
•  『DIABOLIK LOVERS』：逆巻シュウ
•  『ハイキュー!!』：佐久早聖臣
•  『ジョジョの奇妙な冒険 黄金の風』：グイード・ミスタ
•  『NARUTO』：犬塚キバ
•  『Thunderbolt Fantasy 東離劍遊紀』：凜雪鴉</t>
  </si>
  <si>
    <t>中澤まさとも</t>
  </si>
  <si>
    <t>大典太光世</t>
  </si>
  <si>
    <t>•  『ギヴン』：中山春樹
•  『あんさんぶるスターズ！！』：風早巽
•  『ハイキュー!!』：二口堅治
•  『ブルーロック』：久遠渉
•  『DRAMAtical Murder』：クリア
•  『ヤリチン☆ビッチ部』：鹿谷樹</t>
  </si>
  <si>
    <t>中島ヨシキ</t>
  </si>
  <si>
    <t>•  『あんさんぶるスターズ！』：南雲鉄虎
•  『アイドルマスター SideM』：山下次郎
•  『ヒナまつり』：新田義史
•  『プランダラ』：リヒトー＝バッハ
•  『スタンドマイヒーローズ』：桐嶋宏弥
•  『Dr.STONE』：上井陽
•  『Unnamed Memory』：オスカー</t>
  </si>
  <si>
    <t>仲村宗悟</t>
  </si>
  <si>
    <t>•  『アイドルマスター SideM』：天道輝
•  『THE FIRST SLAM DUNK』：宮城リョータ
•  『ブルーロック』：我牙丸吟
•  『TSUKIPRO THE ANIMATION』：久我壱星
•  『MILGRAM』：シドウ（桐崎獅童）
•  『アオペラ -aoppella!?-』：深海ふかみ
•  『刀剣乱舞』：北谷菜切</t>
  </si>
  <si>
    <t>仲村水希</t>
  </si>
  <si>
    <t>•  『魔法使いの約束』：ムル
•  『ちはやふる3』：土屋憲一</t>
  </si>
  <si>
    <t>•  『呪術廻戦』：五条悟
•  『魔法科高校の劣等生』：司波達也
•  『CLANNAD』：岡崎朋也
•  『マクロスF』：早乙女アルト
•  『おそ松さん』：松野カラ松
•  『ハイキュー!!』：黒尾鉄朗
•  『ジョジョの奇妙な冒険 黄金の風』：ブローノ・ブチャラティ
•  『氷菓』：折木奉太郎
•  『ワールドトリガー』：迅悠一
•  『僕のヒーローアカデミア』：ホークス
•  『Dr.STONE』：獅子王司</t>
  </si>
  <si>
    <t>•  『ルパン三世』：石川五ェ門
•  『ハイキュー!!』：及川徹
•  『ヘタリア』：イタリア
•  『君に届け』：風早翔太
•  『HUNTER×HUNTER』（2011年版）：ヒソカ＝モロウ
•  『BLEACH』：ウルキオラ・シファー
•  『ONE PIECE』：ユースタス・キッド
•  『呪術廻戦』：脹相
•  『FAIRY TAIL』：ジェラール・フェルナンデス／ミストガン</t>
  </si>
  <si>
    <t>新田杏樹</t>
  </si>
  <si>
    <t>•  『あんさんぶるスターズ！』：仙石忍
•  『白猫プロジェクト』：ショウ</t>
  </si>
  <si>
    <t>二葉要</t>
  </si>
  <si>
    <t>西山宏太朗</t>
  </si>
  <si>
    <t>ソハヤノツルキ</t>
  </si>
  <si>
    <t>•  『アイドリッシュセブン』：棗巳波
•  『あんさんぶるスターズ！』：深海奏汰
•  『学園ベビーシッターズ』：鹿島竜一
•  『A3!』：皆木綴
•  『B-PROJECT』：寺光唯月
•  『美男高校地球防衛部LOVE！』：鬼怒川熱史
•  『スタンドマイヒーローズ』：都築京介</t>
  </si>
  <si>
    <t>野上翔</t>
  </si>
  <si>
    <t>•  『アイドルマスター SideM』：伊瀬谷四季
•  『ゾイドワイルド ZERO』：レオ・コンラッド
•  『TSUKIPRO THE ANIMATION』：久我壱流
•  『A3!』：迫田ケン
•  『夫婦以上、恋人未満。』：賀茂貞春</t>
  </si>
  <si>
    <t>野島健児</t>
  </si>
  <si>
    <t>•  『PSYCHO-PASS サイコパス』：宜野座伸元
•  『BANANA FISH』：奥村英二
•  『あんさんぶるスターズ！』：逆先夏目
•  『美少女戦士セーラームーンCrystal』：地場衛／タキシード仮面
•  『ハイキュー!!』：北信介
•  『ハイスクールD×D』：木場祐斗
•  『干物妹！うまるちゃん』：土間タイヘイ
•  『弱虫ペダル』：黒田雪成
•  『原神』：アルベド
•  『恋と深空』：マヒル</t>
  </si>
  <si>
    <t>野島裕史</t>
  </si>
  <si>
    <t>•  『イナズマイレブン』：豪炎寺修也
•  『黒子のバスケ』：伊月俊
•  『ARIA』：出雲暁
•  『キングダム』：蒙恬
•  『OVERMAN キングゲイナー』：ゲイナー・サンガ
•  『デジモンセイバーズ』：トーマ・H・ノルシュタイン
•  『灼眼のシャナ』：池速人
•  『ワールドトリガー』：村上鋼</t>
  </si>
  <si>
    <t>野津山幸宏</t>
  </si>
  <si>
    <t>•  『ヒプノシスマイク -Division Rap Battle-』：有栖川帝統
•  『東京リベンジャーズ』：林良平（ぺーやん）
•  『終末のワルキューレ』：ヘイムダル
•  『戦隊大失格』：小熊蘭丸
•  『ラグナクリムゾン』：フー</t>
  </si>
  <si>
    <t>橋本晃太朗</t>
  </si>
  <si>
    <t>•  『あんさんぶるスターズ！』：伏見弓弦
•  『KING OF PRISM』：御徒町ツルギ
•  『トライナイツ』：島原淳</t>
  </si>
  <si>
    <t>畠中祐</t>
  </si>
  <si>
    <t>緑川光</t>
  </si>
  <si>
    <t>•  『遊☆戯☆王ZEXAL』：九十九遊馬
•  『僕のヒーローアカデミア』：上鳴電気
•  『KING OF PRISM』：香賀美タイガ
•  『東京リベンジャーズ』：柴八戒
•  『SK∞ エスケーエイト』：喜屋武暦
•  『甲鉄城のカバネリ』：生駒
•  『うしおととら』：蒼月潮
•  『ウルトラマンZ』：ナツカワ・ハルキ
•  『ザ・スーパーマリオブラザーズ・ムービー』：ルイージ</t>
  </si>
  <si>
    <t>羽多野渉</t>
  </si>
  <si>
    <t>•  『FAIRY TAIL』： ガジル・レッドフォックス
•  『アイドリッシュセブン』： 八乙女楽
•  『僕のヒーローアカデミア』： 心操人使
•  『黒子のバスケ』： 実渕玲央
•  『あんさんぶるスターズ！』： 乙狩アドニス
•  『ユーリ!!! on ICE』： ギオルギー・ポポーヴィッチ
•  『ダイヤのA』： 増子透
•  『信長の忍び』： 織田信長</t>
  </si>
  <si>
    <t>服部想之介</t>
  </si>
  <si>
    <t>数珠丸恒次</t>
  </si>
  <si>
    <t>•  『Readyyy!』： 真田淳之介
•  『ときめきメモリアル Girl’s Side 4th Heart』： 本多行
•  『あんさんぶるスターズ！！』： 甘楽チトセ</t>
  </si>
  <si>
    <t>花江夏樹</t>
  </si>
  <si>
    <t>•  『鬼滅の刃』： 竈門炭治郎
•  『東京喰種トーキョーグール』： 金木研／佐々木琲世
•  『四月は君の嘘』： 有馬公生
•  『ヴァニタスの手記』： ヴァニタス
•  『サマータイムレンダ』： 網代慎平
•  『ALDNOAH.ZERO』： 界塚伊奈帆
•  『ダイヤのA』： 小湊春市</t>
  </si>
  <si>
    <t>濱健人</t>
  </si>
  <si>
    <t>•  『刀剣乱舞』： 陸奥守吉行
•  『アイドルマスター SideM』： 木村龍
•  『A3!』： 七尾太一
•  『カードファイト!! ヴァンガード レギオンメイト編』： オリビエ・ガイヤール</t>
  </si>
  <si>
    <t>浜田賢二</t>
  </si>
  <si>
    <t>間島淳司</t>
  </si>
  <si>
    <t>•  『デュエル・マスターズ』シリーズ： 切札勝利
•  『黒子のバスケ』： 木吉鉄平
•  『機動戦士ガンダム00』： パトリック・コーラサワー
•  『鋼の錬金術師 FULLMETAL ALCHEMIST』： ヴァトー・ファルマン
•  『ONE PIECE』： キラー／イナズマ
•  『コップクラフト』： ジャック・ロス</t>
  </si>
  <si>
    <t>比留間俊哉</t>
  </si>
  <si>
    <t>•  『あんさんぶるスターズ！』： 真白友也
•  『アイドルマスター SideM』： 九十九一希（2代目）
•  『THE NEW GATE』： ヴィルヘルム・エイビス
•  『DAYS』： 甲斐貴文
•  『かみさまみならい ヒミツのここたま』： 一之瀬清太郎</t>
  </si>
  <si>
    <t>廣瀬大介</t>
  </si>
  <si>
    <t>•  『プロジェクトセカイ カラフルステージ！ feat. 初音ミク』： 天馬司
•  『A3!』： 斑鳩三角
•  『王室教師ハイネ』： レオンハルト・フォン・グランツライヒ
•  『グッド・ナイト・ワールド』： イチ／有間太一郎</t>
  </si>
  <si>
    <t>広瀬裕也</t>
  </si>
  <si>
    <t>•  『SSSS.GRIDMAN』： 響裕太
•  『アイドリッシュセブン』： 亥清悠
•  『金装のヴェルメイユ～崖っぷち魔術師は最強の厄災と魔法世界を突き進む～』： アルト・ゴールドフィルド
•  『魔都精兵のスレイブ』： 和倉優希
•  『ダンジョン飯』： ホルム</t>
  </si>
  <si>
    <t>にっかり青江</t>
  </si>
  <si>
    <t>日野聡</t>
  </si>
  <si>
    <t>•  『オーバーロード』： アインズ・ウール・ゴウン／モモンガ
•  『鬼滅の刃』： 煉獄杏寿郎
•  『ハイキュー!!』： 澤村大地
•  『銀魂』： 神威
•  『ゼロの使い魔』： 平賀才人
•  『灼眼のシャナ』： 坂井悠二
•  『NARUTO -ナルト- 疾風伝』： サイ
•  『弱虫ペダル』： 新開隼人</t>
  </si>
  <si>
    <t>平川大輔</t>
  </si>
  <si>
    <t>•  『ジョジョの奇妙な冒険 スターダストクルセイダース』： 花京院典明
•  『Free!』： 竜ヶ崎怜
•  『DIABOLIK LOVERS』： 逆巻ライト
•  『イタズラなKiss』： 入江直樹
•  『School Days』： 伊藤誠
•  『巌窟王』： フランツ・デピネー
•  『鬼滅の刃』： 魘夢</t>
  </si>
  <si>
    <t>深町寿成</t>
  </si>
  <si>
    <t>•  『ありふれた職業で世界最強』： 南雲ハジメ
•  『アイドルマスター SideM』： 黒野玄武
•  『史上最強の大魔王、村人Aに転生する』： アード・メテオール
•  『18TRIP』： 神名雪風
•  『DREAM!ing』： 虎澤一生
•  『神之塔 -Tower of God-』： ハツ</t>
  </si>
  <si>
    <t>福島潤</t>
  </si>
  <si>
    <t>森川智之</t>
  </si>
  <si>
    <t>•  『この素晴らしい世界に祝福を！』： カズマ
•  『弱虫ペダル』： 鳴子章吉
•  『転生したらスライムだった件』： ガビル
•  『アクエリオンEVOL』： ジン・ムソウ
•  『琴浦さん』： 真鍋義久
•  『理系が恋に落ちたので証明してみた。』： 犬飼虎輔</t>
  </si>
  <si>
    <t>福山潤</t>
  </si>
  <si>
    <t>•  『コードギアス 反逆のルルーシュ』： ルルーシュ・ランペルージ
•  『暗殺教室』： 殺せんせー
•  『おそ松さん』： 松野一松
•  『青の祓魔師』： 奥村雪男
•  『中二病でも恋がしたい！』： 富樫勇太
•  『WORKING!!』： 小鳥遊宗太
•  『七つの大罪』： キング
•  『ペルソナ5』： 主人公（ジョーカー）
•  『吸血鬼すぐ死ぬ』： ドラルク</t>
  </si>
  <si>
    <t>古川慎</t>
  </si>
  <si>
    <t>•  『ワンパンマン』： サイタマ
•  『かぐや様は告らせたい〜天才たちの恋愛頭脳戦〜』： 白銀御行
•  『転生したらスライムだった件』： ベニマル
•  『憂国のモリアーティ』： シャーロック・ホームズ
•  『ゴールデンタイム』： 多田万里
•  『吸血鬼すぐ死ぬ』： ロナルド
•  『機動戦士ガンダム 水星の魔女』： シャディク・ゼネリ</t>
  </si>
  <si>
    <t>古田一紀</t>
  </si>
  <si>
    <t>鬼丸国綱</t>
  </si>
  <si>
    <t>•  『ディズニー ツイステッドワンダーランド』： カリム・アルアジーム
•  『遊☆戯☆王SEVENS』： 霧島ロア
•  『フットサルボーイズ!!!!!』： 南雲竜
•  『キャロル＆チューズデイ』： リッキー</t>
  </si>
  <si>
    <t>細貝圭</t>
  </si>
  <si>
    <t>細谷佳正</t>
  </si>
  <si>
    <t>•  『進撃の巨人』： ライナー・ブラウン
•  『テニスの王子様』： 白石蔵ノ介
•  『機動戦士ガンダム 鉄血のオルフェンズ』： オルガ・イツカ
•  『黒子のバスケ』： 日向順平
•  『文豪ストレイドッグス』： 国木田独歩
•  『ハイキュー!!』： 東峰旭
•  『Free!』： 山崎宗介
•  『僕のヒーローアカデミア』： 常闇踏陰
•  『キングダム』： 王賁</t>
  </si>
  <si>
    <t>堀金蒼平</t>
  </si>
  <si>
    <t>•  『18TRIP』： 畔川幾成
•  『信者ゼロの女神サマと始める異世界攻略』： 高月マコト
•  『メビウス・ダスト』： ハルト
•  『顔に出ない柏田さんと顔に出る太田君』： 佐田君</t>
  </si>
  <si>
    <t>堀江瞬</t>
  </si>
  <si>
    <t>•  『僕の心のヤバイやつ』： 市川京太郎
•  『彼女、お借りします』： 木ノ下和也
•  『ドラゴン、家を買う。』： レティ
•  『蜘蛛ですが、なにか？』： シュン
•  『さらざんまい』： 陣内燕太
•  『アクダマドライブ』： ハッカー
•  『アイドルマスター SideM』： ピエール
•  『社長、バトルの時間です！』： ミナト</t>
  </si>
  <si>
    <t>帆世雄一</t>
  </si>
  <si>
    <t>•  『あんさんぶるスターズ！』： 守沢千秋
•  『A3!』： 古市左京
•  『ようこそ実力至上主義の教室へ』： 石崎大地
•  『Fairy gone フェアリーゴーン』： クリストフ・ラーン
•  『魔法使いの約束』： レノックス
•  『ファイアーエムブレム 風花雪月』： フェリクス</t>
  </si>
  <si>
    <t>保志総一朗</t>
  </si>
  <si>
    <t>•  『機動戦士ガンダムSEED』／『SEED FREEDOM』： キラ・ヤマト
•  『最遊記』シリーズ： 孫悟空
•  『戦国BASARA』： 真田幸村
•  『アイドリッシュセブン』： 百
•  『ひぐらしのなく頃に』： 前原圭一
•  『スクライド』： カズマ
•  『そらのおとしもの』： 桜井智樹
•  『黒子のバスケ』： 笠松幸男</t>
  </si>
  <si>
    <t>鳴狐</t>
  </si>
  <si>
    <t>前野智昭</t>
  </si>
  <si>
    <t>•  『図書館戦争』：堂上篤
•  『うたの☆プリンスさまっ♪』：カミュ
•  『KING OF PRISM』：速水ヒロ
•  『はたらく細胞』：白血球（好中球）
•  『転生したらスライムだった件』：ヴェルドラ
•  『原神』：鍾離
•  『暁のヨナ』：ソン・ハク
•  『刀剣乱舞』：山姥切国広</t>
  </si>
  <si>
    <t>益山武明</t>
  </si>
  <si>
    <t>•  『アイドルマスター SideM』：紅井朱雀
•  『ソードアート・オンライン アリシゼーション』：エルドリエ・シンセシス・サーティワン
•  『ドメスティックな彼女』：柾岡悠弥
•  『プレイタの傷』：鷲峰ラン
•  『岸辺露伴は動かない』：修一</t>
  </si>
  <si>
    <t>•  『とらドラ！』：高須竜児
•  『これはゾンビですか？』：相川歩
•  『暗殺教室』：千葉龍之介
•  『刀剣乱舞』：にっかり青江
•  『メモリーズオフ』シリーズ： 稲穂信
•  『緋弾のアリア』：遠山金次</t>
  </si>
  <si>
    <t>増田俊樹</t>
  </si>
  <si>
    <t>•  『僕のヒーローアカデミア』：切島鋭児郎
•  『アイドリッシュセブン』：和泉一織
•  『あんさんぶるスターズ！！』：朔間零
•  『刀剣乱舞』：加州清光
•  『遊☆戯☆王ZEXAL』：神代凌牙
•  『進撃の巨人』：ポルコ・ガリアード
•  『ハイキュー!!』：縁下力</t>
  </si>
  <si>
    <t>松岡禎丞</t>
  </si>
  <si>
    <t>•  『ソードアート・オンライン』：キリト／桐ヶ谷和人
•  『鬼滅の刃』：嘴平伊之助
•  『食戟のソーマ』：幸平創真
•  『ダンジョンに出会いを求めるのは間違っているだろうか』：ベル・クラネル
•  『五等分の花嫁』：上杉風太郎
•  『ノーゲーム・ノーライフ』：空
•  『冴えない彼女の育てかた』：安芸倫也</t>
  </si>
  <si>
    <t>松田健一郎</t>
  </si>
  <si>
    <t>•  『SPY×FAMILY』：ボンド・フォージャー
•  『ヴィンランド・サガ』：トールズ
•  『ブラッククローバー』：ゴードン・アグリッパ
•  『刀剣乱舞』：祢々切丸
•  『DRAMAtical Murder』：ミンク
•  『ディスク・ウォーズ：アベンジャーズ』：ハルク</t>
  </si>
  <si>
    <t>三浦勝之</t>
  </si>
  <si>
    <t>•  『魔法使いの約束』：ラスティカ
•  『白猫プロジェクト ZERO CHRONICLE』：ヴァルアス
•  『古見さんは、コミュ症です。』：成瀬詩守斗
•  『SDガンダムワールド ヒーローズ』：佐助デルタガンダム
•  『ぼっち・ざ・ろっく！』：吉田銀次郎
•  『Readyyy!』：香坂安吾</t>
  </si>
  <si>
    <t>一期一振</t>
  </si>
  <si>
    <t>三木眞一郎</t>
  </si>
  <si>
    <t>•  『ポケットモンスター』：コジロウ
•  『頭文字D』：藤原拓海
•  『鋼の錬金術師 FULLMETAL ALCHEMIST』：ロイ・マスタング
•  『BLEACH』：浦原喜助
•  『機動戦士ガンダム00』：ロックオン・ストラトス（ニール／ライル）
•  『銀魂』：坂本辰馬
•  『薄桜鬼』：土方歳三</t>
  </si>
  <si>
    <t>光富崇雄</t>
  </si>
  <si>
    <t>•  『ナンバカ』：ハニー
•  『妖怪学校の先生はじめました！』：狢八雲
•  『18TRIP』：棗夜鷹
•  『転生したらスライムだった件』：魔術師風の男</t>
  </si>
  <si>
    <t>水島大宙</t>
  </si>
  <si>
    <t>•  『コードギアス 反逆のルルーシュ R2』：ロロ・ランペルージ
•  『瀬戸の花嫁』：満潮永澄
•  『WHITE ALBUM2』：北原春希
•  『地縛少年花子くん』：日向夏彦
•  『Fate』シリーズ：ガウェイン／シャーロック・ホームズ
•  『GIANT KILLING』：椿大介
•  『僕だけがいない街』：白鳥潤</t>
  </si>
  <si>
    <t>水中雅章</t>
  </si>
  <si>
    <t>•  『ようこそ実力至上主義の教室へ』：龍園翔
•  『異世界魔王と召喚少女の奴隷魔術』：ディアヴロ
•  『東京リベンジャーズ』：場地圭介
•  『シュガーアップル・フェアリーテイル』：シャル・フェン・シャル
•  『後宮の烏』：夏高峻
•  『現実主義勇者の王国再建記』：ポンチョ・パナコッタ</t>
  </si>
  <si>
    <t>•  『SLAM DUNK』：流川楓
•  『新機動戦記ガンダムW』：ヒイロ・ユイ
•  『スレイヤーズ』：ゼルガディス＝グレイワーズ
•  『あんさんぶるスターズ！』：天祥院英智
•  『DIABOLIK LOVERS』：逆巻アヤト
•  『ワンパンマン』：ガロウ
•  『名探偵コナン』：諸伏景光／スコッチ
•  『SSSS.GRIDMAN』：グリッドマン</t>
  </si>
  <si>
    <t>•  『結界師』：志々尾限
•  『暗殺教室』：菅谷創介
•  『蒼き鋼のアルペジオ -アルス・ノヴァ-』：橿原杏平
•  『刀剣乱舞』：次郎太刀／岩融</t>
  </si>
  <si>
    <t>宮田幸季</t>
  </si>
  <si>
    <t>•  『今日からマ王！』：村田健
•  『Free!』：似鳥愛一郎
•  『バカとテストと召喚獣』：土屋康太
•  『tactics』：一ノ宮勘太郎
•  『BLEACH』：山田花太郎
•  『鬼滅の刃』：村田
•  『弱虫ペダル』：杉元照文</t>
  </si>
  <si>
    <t>村瀬歩</t>
  </si>
  <si>
    <t>鯰尾藤四郎</t>
  </si>
  <si>
    <t>•  『ハイキュー!!』：日向翔陽
•  『魔入りました！入間くん』：鈴木入間
•  『あんさんぶるスターズ！』：姫宮桃李
•  『原神』：ウェンティ
•  『アイドルマスター SideM』：姫野かのん
•  『ひろがるスカイ！プリキュア』：夕凪ツバサ／キュアウィング
•  『王様ランキング』：カゲ</t>
  </si>
  <si>
    <t>村田太志</t>
  </si>
  <si>
    <t>•  『機動戦士ガンダム 鉄血のオルフェンズ』：ノルバ・シノ
•  『メイドインアビス』：ジルオ
•  『ベイビーステップ』：丸尾栄一郎
•  『美少女戦士セーラームーンEternal／Cosmos』：アルテミス
•  『THE FIRST SLAM DUNK』：桑田登紀
•  『WIND BREAKER』：榎本健史
•  『TSUKIPRO THE ANIMATION』：宗像廉</t>
  </si>
  <si>
    <t>森久保祥太郎</t>
  </si>
  <si>
    <t>•  『NARUTO -ナルト-』：奈良シカマル
•  『メジャー』：茂野吾郎
•  『弱虫ペダル』：巻島裕介
•  『うたの☆プリンスさまっ♪』：寿嶺二
•  『東京リベンジャーズ』：稀咲鉄太
•  『ペルソナ4』：花村陽介
•  『GetBackers -奪還屋-』：天野銀次
•  『薄桜鬼』：沖田総司</t>
  </si>
  <si>
    <t>•  『クレヨンしんちゃん』：野原ひろし（2代目）
•  『ファイナルファンタジーVII』：セフィロス
•  『鬼滅の刃』：産屋敷耀哉
•  『犬夜叉』：奈落
•  『ジョジョの奇妙な冒険 ダイヤモンドは砕けない』：吉良吉影
•  『名探偵コナン』：羽田秀吉
•  『メイドインアビス』：ボンドルド</t>
  </si>
  <si>
    <t>矢田悠祐</t>
  </si>
  <si>
    <t>八代拓</t>
  </si>
  <si>
    <t>•  『KING OF PRISM』：十王院カケル
•  『タイガーマスクW』：東ナオト／タイガーマスク
•  『炎炎ノ消防隊』：ヴァルカン・ジョゼフ
•  『アイドルマスター SideM』：柏木翼
•  『ドメスティックな彼女』：藤井夏生
•  『るろうに剣心 －明治剣客浪漫譚－』：相楽左之助
•  『ポケットモンスター』（2023年版）：フリード
•  『千銃士』：ブラウン・ベス</t>
  </si>
  <si>
    <t>安元洋貴</t>
  </si>
  <si>
    <t>•  『鬼灯の冷徹』：鬼灯
•  『BLEACH』：茶渡泰虎
•  『ヘタリア』：ドイツ
•  『弱虫ペダル』：金城真護
•  『ワンパンマン』：キング
•  『炎炎ノ消防隊』：カロン
•  『王様ランキング』：アピス</t>
  </si>
  <si>
    <t>山口智広</t>
  </si>
  <si>
    <t>・『あんさんぶるスターズ！！』： 椎名ニキ
・『ぷにるんず』： うるるん
・『ドラゴンボールDAIMA』： ピッコロ（ミニ）
・『CHEATING CRAFT』： 諸葛睦明
・『終末のワルキューレ』： ムニン</t>
  </si>
  <si>
    <t>山崎たくみ</t>
  </si>
  <si>
    <t>・『マクロスプラス』： イサム・ダイソン
・『機動武闘伝Gガンダム』： ジョルジュ・ド・サンド
・『忍たま乱太郎』： 鉢屋三郎／小松田秀作
・『銀魂』： 河上万斉
・『Fate/Zero』： ケイネス・エルメロイ・アーチボルト
・『しまじろう』： とりっぴー</t>
  </si>
  <si>
    <t>山下誠一郎</t>
  </si>
  <si>
    <t>・『陰の実力者になりたくて！』： シド・カゲノー／シャドウ
・『ホリミヤ』： 石川透
・『86-エイティシックス-』： ライデン・シュガ
・『夫婦以上、恋人未満。』： 薬院次郎
・『刀剣乱舞』： 薬研藤四郎
・『ディズニー ツイステッドワンダーランド』： エース・トラッポラ</t>
  </si>
  <si>
    <t>・『僕のヒーローアカデミア』： 緑谷出久
・『弱虫ペダル』： 小野田坂道
・『あんさんぶるスターズ！！』： 朔間凛月
・『ジョジョの奇妙な冒険 黄金の風』： ナランチャ・ギルガ
・『ポケットモンスター』： ゴウ</t>
  </si>
  <si>
    <t>山中真尋</t>
  </si>
  <si>
    <t>骨喰藤四郎</t>
  </si>
  <si>
    <t>・『刀剣乱舞』： 亀甲貞宗
・『君に届け』： 城之内宗一
・『ツキウタ。THE ANIMATION』： 月城奏
・『真の仲間じゃないと勇者のパーティーを追い出されたので、辺境でスローライフすることにしました』： ゴンズ
・『ゼロの使い魔』： ウェールズ・テューダー／レイナール
・『ヤリチン☆ビッチ部』： 糸目幸士郎</t>
  </si>
  <si>
    <t>山本和臣</t>
  </si>
  <si>
    <t>・『機動戦士ガンダムAGE』： キオ・アスノ
・『美男高校地球防衛部LOVE!』： 箱根有基
・『グレイプニル』： 春日勇
・『なんでここに先生が!?』： 高橋隆
・『あんさんぶるスターズ！』： 春川宙
・『日常』： 中之条剛</t>
  </si>
  <si>
    <t>山谷祥生</t>
  </si>
  <si>
    <t>・『一週間フレンズ。』： 長谷祐樹
・『暗殺教室』： 杉野友人
・『盾の勇者の成り上がり』： 川澄樹
・『A3!』： 向坂椋
・『魔入りました！入間くん』： シャックス・リード
・『アルドノア・ゼロ』： 箕国起助</t>
  </si>
  <si>
    <t>吉野裕行</t>
  </si>
  <si>
    <t>・『機動戦士ガンダム00』： アレルヤ・ハプティズム
・『ハイキュー!!』： 岩泉一
・『僕のヒーローアカデミア』： プレゼント・マイク（山田ひざし）
・『SPY×FAMILY』： フランキー・フランクリン
・『イナズマイレブン』： 鬼道有人
・『弱虫ペダル』： 荒北靖友</t>
  </si>
  <si>
    <t>代永翼</t>
  </si>
  <si>
    <t>・『Free!』： 葉月渚
・『アイドリッシュセブン』： 和泉三月
・『おおきく振りかぶって』： 三橋廉
・『カードファイト!! ヴァンガード』： 先導アイチ
・『弱虫ペダル』： 真波山岳
・『ちはやふる』： 駒野勉</t>
  </si>
  <si>
    <t>米内佑希</t>
  </si>
  <si>
    <t>・『あんさんぶるスターズ！』： 仁兎なずな
・『チア男子!!』： 坂東晴希
・『ピアシェ～私のイタリアン～』： 北原マロ</t>
  </si>
  <si>
    <t>KENN</t>
  </si>
  <si>
    <t>•  『遊☆戯☆王デュエルモンスターズGX』： 遊城十代
•  『アイドリッシュセブン』： 四葉環
•  『宇宙兄弟』： 南波日々人
•  『境界の彼方』： 神原秋人
•  『サイバーパンク エッジランナーズ』： デイビッド・マルティネス
•  『逆転裁判』シリーズ： 王泥喜法介
•  『エア・ギア』： 美鞍葛馬（カズ）
•  『アイ★チュウ』： 愛童星夜</t>
  </si>
  <si>
    <t>新垣樽助</t>
  </si>
  <si>
    <t>•  『テニスの王子様』： 木手永四郎
•  『Fate/Zero』： 間桐雁夜
•  『僕のヒーローアカデミア』： 通形ミリオ
•  『刀剣乱舞』： へし切長谷部／長曽祢虎徹
•  『囀る鳥は羽ばたかない』： 矢代
•  『NOBLESSE -ノブレス-』： カディス・エトラマ・デ・ライジェル
•  『攻殻機動隊 ARISE』： トグサ</t>
  </si>
  <si>
    <t>小村 将</t>
  </si>
  <si>
    <t>•  『七つの大罪 黙示録の四騎士』： パーシバル（主人公）
•  『劇場版 イナズマイレブン 新たなる英雄たちの序章』：笹波雲明
•  『オタクに優しいギャルはいない!?』： 瀬尾卓也</t>
  </si>
  <si>
    <t>永野由祐</t>
  </si>
  <si>
    <t>•  『アイドルマスター SideM』： 神楽麗
•  『魔法使いの約束』： リケ
•  『白い砂のアクアトープ』： 比嘉瑛士
•  『機動戦士Gundam GQuuuuuuX』： ケーン
•  『王様ゲーム The Animation』： 山下敬太
•  『泣きたい私は猫をかぶる』： 新堀歩</t>
  </si>
  <si>
    <t>渡辺拓海</t>
  </si>
  <si>
    <t>平野藤四郎</t>
  </si>
  <si>
    <t>•  『ハイキュー!!』： 芝山優生
•  『あんさんぶるスターズ！』： 高峯翠
•  『文豪とアルケミスト 〜審判ノ歯車〜』： 徳田秋声
•  『銀の匙 Silver Spoon』： 木野広行
•  『12歳。』： エイコー
•  『エリアの騎士』： 真屋信之介</t>
  </si>
  <si>
    <t>速水奨</t>
  </si>
  <si>
    <t>•  『超時空要塞マクロス』： マクシミリアン・ジーナス（マックス）
•  『BLEACH』： 藍染惣右介
•  『Fate/Zero』： 遠坂時臣
•  『銀魂』： 星海坊主
•  『ヒプノシスマイク』： 神宮寺寂雷
•  『戦国BASARA』： 明智光秀
•  『本好きの下剋上』： フェルディナンド
•  『ジョジョの奇妙な冒険 スターダストクルセイダース』： ヴァニラ・アイス</t>
  </si>
  <si>
    <t>黒田崇矢</t>
  </si>
  <si>
    <t>•  『龍が如く』シリーズ： 桐生一馬
•  『ヒプノシスマイク』： 天谷奴零
•  『魔入りました！入間くん』： サリバン
•  『呪術廻戦』： 夜蛾正道
•  『デュラララ!!』： サイモン・ブレジネフ
•  『妖怪ウォッチ シャドウサイド』： ジバニャン
•  『夏目友人帳』： 三篠
•  『オッドタクシー』： 黒田</t>
  </si>
  <si>
    <t>葉山翔太</t>
  </si>
  <si>
    <t>•  『ヒプノシスマイク』： 波羅夷空却
•  『美男高校地球防衛部HAPPY KISS!』： 道後一六
•  『東京リベンジャーズ』： 山岸一司
•  『ウルトラマンタイガ』： ウルトラマンフーマ
•  『ぶっちぎり?!』： 刃暮
•  『川越ボーイズ・シング』： 葉加瀬友
•  『REVENGER』： 惣二</t>
  </si>
  <si>
    <t>竹内栄治</t>
  </si>
  <si>
    <t>•  『ヒプノシスマイク』： 天国獄
•  『ようこそ実力至上主義の教室へ』： 須藤健
•  『デカダンス』： フェンネル
•  『東京リベンジャーズ』： 長内信高
•  『BANANA FISH』： スティーブン・トムソン
•  『ザ・スーパーマリオギャラクシー・ムービー』： フォックス・マクラウド</t>
  </si>
  <si>
    <t>浦田わたる</t>
  </si>
  <si>
    <t>•  『ACTORS -Songs Connection-』： 神樂蒼介
•  『アオペラ -aoppella!?-』： 紫垣明
•  『浦島坂田船の日常』： うらた
•  『KING OF PRISM』： 五反田ココロ／三枝タカヤ
•  『トライナイツ』： 片城雪也
•  『異世界のんびり農家』： グッチ
•  『ダイヤのA actII』： 高津広臣
•  『BORUTO-ボルト-』： クロヤギ・タヨリ</t>
  </si>
  <si>
    <t>濱野大輝</t>
  </si>
  <si>
    <t>•  『SSSS.DYNAZENON』： ガウマ
•  『チェンソーマン』： サムライソード
•  『トモダチゲーム』： 美笠天智
•  『アイドルマスター SideM』： 円城寺道流
•  『遊☆戯☆王VRAINS』： 鬼塚豪
•  『俺は全てを【パリイ】する』： ノール
•  『機動戦士ガンダム 鉄血のオルフェンズ』： ダンテ・モグロ
•  『BEYBLADE X』： 億長トグロ</t>
  </si>
  <si>
    <t>増元拓也</t>
  </si>
  <si>
    <t>厚藤四郎</t>
  </si>
  <si>
    <t>•  『アイドルマスター SideM』： 信玄誠司
•  『アオペラ -aoppella!?-』： 雛乃秀
•  『VAZZROCK THE ANIMATION』： 大黒岳
•  『かくりよの宿飯』： 縫ノ陰
•  『聲の形』： 広瀬啓祐
•  『野原ひろし 昼メシの流儀』： 川口
•  『バトルスピリッツ 赫盟のガレット』： ルシアン・パークス</t>
  </si>
  <si>
    <t>福原かつみ</t>
  </si>
  <si>
    <t>•  『W’z《ウィズ》』： 荒城幸也（ユキヤ）
•  『異世界はスマートフォンとともに。』： 望月冬夜
•  『不徳のギルド』： キクル・マダン
•  『超探偵事件簿 レインコード』： ユーマ＝ココヘッド
•  『カリスマ』： 本橋依央利
•  『ちゃんと吸えない吸血鬼ちゃん』： 千葉大地
•  『ループ7回目の悪役令嬢は、元敵国で自由気ままな花嫁生活を満喫する』： カイル・モーガン・クレヴァリー
•  『ベイブレードバースト ダイナマイトバトル』： 翠龍バサラ</t>
  </si>
  <si>
    <t>細田健太</t>
  </si>
  <si>
    <t>•  『Re:Monster』： ゴブ吉（→オガ吉→ミノ吉）
•  『カリスマ』： 猿川慧
•  『夢見る男子は現実主義者』： 山崎拓郎
•  『メカウデ』： ファイブ
•  『プラチナエンド』： 偽メトロポリマン</t>
  </si>
  <si>
    <t>日向朔公</t>
  </si>
  <si>
    <t>•  『妖怪学校の先生はじめました！』： 富士冬也
•  『カリスマ』： 湊大瀬
•  『マッシュル-MASHLE- 神覚者候補選抜試験編』： チェロロ・モルソー
•  『HeavenlyHelly』： ダーリョン</t>
  </si>
  <si>
    <t>大河元気</t>
  </si>
  <si>
    <t>•  『B-PROJECT』： 野目龍広
•  『遊☆戯☆王ZEXAL』： ミザエル
•  『MARGINAL#4』： 緋室キラ
•  『魔入りました！入間くん』： ガープ・ゴエモン
•  『カリスマ』： テラ
•  『2.43 清陰高校男子バレー部』： 戸倉工兵
•  『ぶっちぎり?!』： 灯荒仁
•  『地縛少年花子くん』： 山吹檸檬
•  『魔進戦隊キラメイジャー』： 魔進ジェッタ</t>
  </si>
  <si>
    <t>橋詰知久</t>
  </si>
  <si>
    <t>•  『進撃の巨人』： ベルトルト・フーバー
•  『GANGSTA.』： デリコ
•  『ALL OUT!!』： 佐野光
•  『カリスマ』： 天堂天彦
•  『ONE PIECE』： ポーカー
•  『テラフォーマーズ』： ティン</t>
  </si>
  <si>
    <t>竹内良太</t>
  </si>
  <si>
    <t>•  『ハイキュー!!』： 牛島若利
•  『魔法使いの嫁』： エリアス・エインズワース
•  『暗殺教室』： シロ
•  『NARUTO -ナルト- 疾風伝』： ダルイ
•  『Paradox Live THE ANIMATION』： 西門直明
•  『青のミブロ』： 芹沢鴨
•  『ID:INVADED』： 富久田保津
•  『ULTRAMAN』： ジャック</t>
  </si>
  <si>
    <t>林勇</t>
  </si>
  <si>
    <t>•  『ハイキュー!!』： 田中龍之介
•  『東京リベンジャーズ』： 佐野万次郎（マイキー）
•  『文豪ストレイドッグス』： 立原道造
•  『ムヒョとロージーの魔法律相談事務所』： ロージー（草野次郎）
•  『チア男子!!』： 遠野浩司
•  『ジョジョの奇妙な冒険』： スモーキー・ブラウン
•  『Paradox Live THE ANIMATION』： 神林匋平</t>
  </si>
  <si>
    <t>後藤藤四郎</t>
  </si>
  <si>
    <t>近藤孝行</t>
  </si>
  <si>
    <t>•  『テニスの王子様』： 大石秀一郎
•  『あの日見た花の名前を僕達はまだ知らない。』： 久川鉄道（ぽっぽ）
•  『東京喰種トーキョーグール』： 平子丈
•  『逆転裁判』シリーズ： 成歩堂龍一
•  『ジャックジャンヌ』： 高科更文
•  『灼眼のシャナ』： 田中栄太
•  『Paradox Live』： 翠石依織
•  『おとめ妖怪 ざくろ』： 沢鷹／花楯鷹敏</t>
  </si>
  <si>
    <t>志麻</t>
  </si>
  <si>
    <t>矢野奨吾</t>
  </si>
  <si>
    <t>•  『ギヴン』： 佐藤真冬
•  『ツルネ ―風舞高校弓道部―』／『つながりの一射』： 如月七緒
•  『アイドルマスター SideM』： 岡村直央
•  『Paradox Live』： 円山玲央
•  『群青のファンファーレ』： 有村優
•  『ヴィジュアルプリズン』： ジャック・ムートン
•  『美少年探偵団』： 足利飆太
•  『ハニーレモンソーダ』： 三浦界</t>
  </si>
  <si>
    <t>伊東歌詞太郎</t>
  </si>
  <si>
    <t>住谷哲栄</t>
  </si>
  <si>
    <t>•  『惑星のさみだれ』： ザン＝アマル
•  『Paradox Live』： 三洲寺甘太郎
•  『Fairy蘭丸〜あなたの心お助けします〜』： 天狼院シリウス
•  『Readyyy!』： 久瀬光希
•  『STATION IDOL LATCH!』： 空蝉塁
•  『HIGH CARD』： アップル・リンク
•  『TSUKIPRO THE ANIMATION 2』： 羽柴玄尉</t>
  </si>
  <si>
    <t>バトリ勝悟</t>
  </si>
  <si>
    <t>•  『カードファイト!! ヴァンガードG』シリーズ： 東海林カズマ
•  『Paradox Live』： 土佐凌牙
•  『白猫プロジェクト ZERO CHRONICLE』： ファイオス
•  『アラーニェの虫籠』： 未可耶
•  『イナズマイレブン オリオンの刻印』： アンドレアス・ベボ</t>
  </si>
  <si>
    <t>石橋陽彩</t>
  </si>
  <si>
    <t>•  『遊☆戯☆王SEVENS』／『ゴーラッシュ!!』： 王道遊我
•  『シンカリオン チェンジ ザ ワールド』： 大成タイセイ
•  『薫る花は凛と咲く』： 依田絢斗
•  『リメンバー・ミー』： ミゲル
•  『海獣の子供』： 海
•  『休日のわるものさん』： アカツキレッド
•  『ひみつのアイプリ』： 青空ひなた
•  『僕のヒーローアカデミア FINAL SEASON』： 照元光輝</t>
  </si>
  <si>
    <t>信濃藤四郎</t>
  </si>
  <si>
    <t>•  『スタミュ』： 月皇海斗
•  『遊☆戯☆王ゴーラッシュ!!』： ユウディアス・ベルギャー
•  『from ARGONAVIS』： フェリクス・ルイ＝クロード・モンドール
•  『プレイタの傷』： 甲斐ヤマト
•  『イナズマイレブンGO ギャラクシー』： リュゲル・バラン
•  『ACTORS -Songs Connection-』： 二条佐斗流
•  『永久少年 Eternal Boys』： リン・ジュンジェ</t>
  </si>
  <si>
    <t>・『機動戦士ガンダムSEED DESTINY』： シン・アスカ
・『銀魂』： 沖田総悟
・『鬼滅の刃』： 伊黒小芭内
・『うたの☆プリンスさまっ♪』： 聖川真斗
・『黒子のバスケ』： 紫原敦
・『銀河英雄伝説 Die Neue These』： ヤン・ウェンリー</t>
  </si>
  <si>
    <t>・『VAZZROCK THE ANIMATION』： 大山直助
・『ガンバレ！中村くん!!』： 大森司</t>
  </si>
  <si>
    <t>前田藤四郎</t>
  </si>
  <si>
    <t>・『VAZZROCK THE ANIMATION』： 小野田翔
・『ハイキュー!!』： 小見春樹
・『弱虫ペダル』： 井原友矢
・『僕だけがいない街』： カズ
・『うたわれるもの 偽りの仮面』： ウォシス</t>
  </si>
  <si>
    <t>・『ハンドレッド』： 如月ハヤト
・『カードファイト!! ヴァンガードG』： 江西サトル
・『妖怪ウォッチ シャドウサイド』： 月浪トウマ
・『VAZZROCK THE ANIMATION』： 久慈川悠人
・『迷家-マヨイガ-』： 美影ユラ</t>
  </si>
  <si>
    <t>・『フットサルボーイズ!!!!!』： 十河夏輝
・『number24』： 玉城蓮
・『TSUKIPRO THE ANIMATION 2』： 御風呂庵</t>
  </si>
  <si>
    <t>・『僕のヒーローアカデミア』： 鉄哲徹鐵／ガンヘッド
・『ウマ娘 プリティーダービー』： トレーナー
・『BEASTARS FINAL SEASON』： メロン
・『Fairy gone フェアリーゴーン』： ロバート・チェイス
・『しゃばけ』： 仁吉</t>
  </si>
  <si>
    <t>・『アルゴナビス from BanG Dream!』： 曙涼
・『骸骨騎士様、只今異世界へお出掛け中』： セルシカ
・『テクノロイド OVERMIND』： リッツ9号
・『ニル・アドミラリの天秤』： 轟木登巳蔵</t>
  </si>
  <si>
    <t>秋田藤四郎</t>
  </si>
  <si>
    <t>・『DEATH NOTE』： 夜神月
・『機動戦士ガンダム00』： 刹那・F・セイエイ
・『STEINS;GATE』： 岡部倫太郎
・『文豪ストレイドッグス』： 太宰治
・『Free!』： 松岡凛
・『うたの☆プリンスさまっ♪』： 一ノ瀬トキヤ</t>
  </si>
  <si>
    <t>・『Free!』： 橘真琴
・『七つの大罪』： バン
・『うたの☆プリンスさまっ♪』： 黒崎蘭丸
・『黒子のバスケ』： 高尾和成
・『東京リベンジャーズ』： 龍宮寺堅（ドラケン）
・『ケンガンアシュラ』： 十鬼蛇王馬</t>
  </si>
  <si>
    <t>・『黒執事』： セバスチャン・ミカエリス
・『ジョジョの奇妙な冒険 スターダストクルセイダース』： 空条承太郎
・『進撃の巨人』： エルヴィン・スミス
・『涼宮ハルヒの憂鬱』： 古泉一樹
・『おそ松さん』： 松野十四松
・『デュラララ!!』： 平和島静雄</t>
  </si>
  <si>
    <t>・『アイ★チュウ』： ラビ
・『ゴブリンスレイヤー』： ゴブリンシャーマン
・『天才王子の赤字国家再生術』： クスタヴィ
・『名探偵コナン』： 塀島湾也</t>
  </si>
  <si>
    <t>・『文豪ストレイドッグス』： 宮沢賢治
・『アイ★チュウ』： 桃井恭介
・『サンリオ男子』： 西宮諒</t>
  </si>
  <si>
    <t>・『アイ★チュウ』： 海部子規
・『東京喰種トーキョーグール:re』： 大芝亮汰
・『新幹線変形ロボ シンカリオン』： 担任の先生</t>
  </si>
  <si>
    <t>博多藤四郎</t>
  </si>
  <si>
    <t>・『暗殺教室』： 吉田大成
・『ダイヤのA』： 白州健二郎
・『アイ★チュウ』： 十文字蛮
・『BEASTARS』： ボス（フェネック）</t>
  </si>
  <si>
    <t>・『マクロスΔ』： テオ・ユッシラ／ザオ・ユッシラ
・『アイ★チュウ』： 朴木十夜
・『アルゴナビス from BanG Dream!』： 鞍馬唯臣</t>
  </si>
  <si>
    <t>・『機動戦士ガンダム 鉄血のオルフェンズ』： 昭弘・アルトランド
・『薔薇王の葬列』： ジョージ
・『君に届け』： 三上伸
・『ソードアート・オンライン オルタナティブ ガンゲイル・オンライン』： マックス
・『アイ★チュウ』： バベル</t>
  </si>
  <si>
    <t>・『ブルーロック VS. U-20 JAPAN』： 氷織羊
・『フラガリアメモリーズ』： クラークステラ
・『小市民シリーズ』： 一畑</t>
  </si>
  <si>
    <t>・『RobiHachi』： グラ
・『七つの大罪 怨嗟のエジンバラ』： タイロン
・『ビックリメン』： タカやん
・『新米オッサン冒険者、最強パーティに死ぬほど鍛えられて無敵になる。』： フリード・ディルムット
・『フラガリアメモリーズ』： ミュンナ</t>
  </si>
  <si>
    <t>・『フラガリアメモリーズ』： ハンギョン
・『WIND BREAKER』： 松本陽大
・『八男って、それはないでしょう！』： エーリッヒ
・『ニセモノの錬金術師』： パラケルスス</t>
  </si>
  <si>
    <t>・『Sonny Boy』： 久慈
・『フラガリアメモリーズ』： ピケロ</t>
  </si>
  <si>
    <t>乱藤四郎</t>
  </si>
  <si>
    <t>・『アイドルマスター SideM』： 冬美旬
・『KING OF PRISM』： 西園寺レオ
・『SK∞ エスケーエイト』： 知念実也（MIYA）
・『僕のヒーローアカデミア』： 口田甲司
・『ヴィジュアルプリズン』： ヴーヴ・エリザベス
・『活撃 刀剣乱舞』： こんのすけ</t>
  </si>
  <si>
    <t>・『アイドルマスター SideM』： 榊夏来
・『シンカリオン チェンジ ザ ワールド』： 岩見沢ソラチ
・『Let’s Play クエストだらけのマイライフ』： ダラス・ハドソン
・『ファイアーエムブレム 風花雪月』： ローレンツ
・『グレイプニル』： 花川</t>
  </si>
  <si>
    <t>・『アイドルマスター SideM』： 蒼井悠介
・『フットサルボーイズ!!!!!』： 水無瀬亜佐
・『薫る花は凛と咲く』： 清水宏太郎
・『転生したら第七王子だったので、気ままに魔術を極めます』： ジークウッド</t>
  </si>
  <si>
    <t>・『アイドルマスター SideM』： 華村翔真
・『Fairy蘭丸〜あなたの心お助けします〜』： 清怜うるう
・『八男って、それはないでしょう！』： エックハルト</t>
  </si>
  <si>
    <t>・『アイドルマスター SideM』： 清澄九郎
・『一血卍傑-ONLINE-』： オモダル</t>
  </si>
  <si>
    <t>・『アイドルマスター SideM』： 卯月巻緒
・『number24』： 斉藤風雅
・『ヘタリア The Beautiful World』： ルーマニア
・『無職転生 ～異世界行ったら本気だす～』： ソマル</t>
  </si>
  <si>
    <t>五虎退</t>
  </si>
  <si>
    <t>・『アイドルマスター SideM』： 橘志狼
・『薫る花は凛と咲く』： 宍戸俊也</t>
  </si>
  <si>
    <t>・『アイドルマスター SideM』： 姫野かのん（2代目）
・『アイドルと〇〇しちゃダメですか？』： 三峠音羽</t>
  </si>
  <si>
    <t>・『アイドルマスター SideM』： 兜大吾
・『半妖の夜叉姫』： 翡翠
・『幼馴染とはラブコメにならない』： 界世之介
・『月とライカと吸血姫』： セミョーン・アダモフ</t>
  </si>
  <si>
    <t>・『アイドルマスター SideM』： 北村想楽
・『ハイキュー!!』： 手白球彦
・『XL上司。』： 成田陸
・『シャングリラ・フロンティア』： レミー</t>
  </si>
  <si>
    <t>薬研藤四郎</t>
  </si>
  <si>
    <t>・『アイドルマスター SideM』： 天峰秀
・『川越ボーイズ・シング』： 日向進
・『遊☆戯☆王SEVENS』： グルグル（ゴーハ・ユウガ）
・『ハイドライバーズ』： 神代暁</t>
  </si>
  <si>
    <t>・『アイドルマスター SideM』： 花園百々人
・『千歳くんはラムネ瓶のなか』： 山崎健太
・『薫る花は凛と咲く』： 須藤海人
・『デッドアカウント』： 滑川霧</t>
  </si>
  <si>
    <t>・『アイドルランドプリパラ』： 大江戸シンヤ
・『KING OF PRISM -Your Endless Call- み〜んなきらめけ！プリズム☆ツアーズ』： 大江戸シンヤ</t>
  </si>
  <si>
    <t>・『地縛少年花子くん』： 横尾瞬
・『川越ボーイズ・シング』： 出井天使
・『アイドルランドプリパラ』： ウシミツ
・『古見さんは、コミュ症です。』： 米谷忠釈
・『デュエル・マスターズ WIN』： 斬札ウィン</t>
  </si>
  <si>
    <t>モード</t>
  </si>
  <si>
    <t>作品から選ぶ</t>
  </si>
  <si>
    <t>・『アオアシ』： 大友栄作
・『薬屋のひとりごと』： 馬閃
・『黒執事 -寄宿学校編-』： グレゴリー・バイオレット
・『Fate/strange Fake』： ジェスター・カルトゥーレ
・『群青のファンファーレ』： 桜庭惣司朗
・『アイドルランドプリパラ』： マリオ</t>
  </si>
  <si>
    <t>・『新世紀エヴァンゲリオン』： 渚カヲル
・『銀魂』： 桂小太郎
・『機動戦士ガンダムSEED』： アスラン・ザラ
・『最遊記』： 猪八戒
・『NARUTO -ナルト-』： 我愛羅
・『鬼滅の刃』： 猗窩座
・『文豪ストレイドッグス』： フョードル・ドストエフスキー</t>
  </si>
  <si>
    <t>・『幽☆遊☆白書』： 飛影
・『勇者王ガオガイガー』： 獅子王凱
・『勇者特急マイトガイン』： 旋風寺舞人
・『天元突破グレンラガン』： ヴィラル
・『機動戦士ガンダムSEED』： ムルタ・アズラエル</t>
  </si>
  <si>
    <t>包丁藤四郎</t>
  </si>
  <si>
    <t>・『らんま1/2』： 早乙女乱馬
・『名探偵コナン』： 工藤新一／怪盗キッド
・『犬夜叉』： 犬夜叉
・『ONE PIECE』： ウソップ
・『DEATH NOTE』： L</t>
  </si>
  <si>
    <t>・『機動戦士Ζガンダム』： ナレーション／ヘンケン・ベッケナー
・『金田一少年の事件簿』： 剣持勇
・『NARUTO -ナルト-』： 猿飛アスマ
・『ONE PIECE』： アーロン</t>
  </si>
  <si>
    <t>・『BLEACH』： 黒崎一護
・『TIGER &amp; BUNNY』： バーナビー・ブルックスJr.
・『キングダム』： 信
・『FINAL FANTASY X』： ティーダ</t>
  </si>
  <si>
    <t>・『ONE PIECE』： ロロノア・ゾロ
・『銀魂』： 土方十四郎
・『戦国BASARA』： 伊達政宗
・『サムライチャンプルー』： ムゲン
・『血界戦線』： ザップ・レンフロ
・『xxxHOLiC』： 百目鬼静</t>
  </si>
  <si>
    <t>・『遊☆戯☆王デュエルモンスターズGX』： 藤原優介
・『ワールドトリガー』： 半崎義人
・『ONE PIECE』： ブルーギリー
・『戦場のヴァルキュリア』： ラマール・ヴァルト</t>
  </si>
  <si>
    <t>大包平</t>
  </si>
  <si>
    <t>・『るろうに剣心 -明治剣客浪漫譚-』： 相楽左之助
・『ポケットモンスター』： タケシ／ソーナンス
・『機動戦艦ナデシコ』： テンカワ・アキト
・『おじゃる丸』： キスケ
・『SHAMAN KING』： ホロホロ</t>
  </si>
  <si>
    <t>・『勇者指令ダグオン』： 刃柴竜
・『星のカービィ』： メタナイト卿
・『Kanon』： 相沢祐一
・『コードギアス 反逆のルルーシュ』： 朝比奈省悟／ルキアーノ・ブラッドリー</t>
  </si>
  <si>
    <t>・『銀魂』： 近藤勲
・『ヒカルの碁』： 藤原佐為
・『キューティーハニーF』： 早見青児
・『ヴァンパイア騎士』： 一条拓麻
・『戦場のヴァルキュリア』： ウェルキン・ギュンター</t>
  </si>
  <si>
    <t>・『夏目友人帳』： 北本篤史
・『黒執事』： フレッド・アバーライン
・『真・三國無双』シリーズ： 孫権／姜維
・『ワールドトリガー』： 菊地原士郎
・『天使のしっぽ』： 睦悟郎</t>
  </si>
  <si>
    <t>・『MFゴースト』： 八潮翔
・『Fairy蘭丸～あなたの心お助けします～』： 歩照瀬焔
・『遊☆戯☆王ゴーラッシュ!!』： 竜宮フェイザー
・『ゼノブレイド3』： ランツ</t>
  </si>
  <si>
    <t>鶯丸</t>
  </si>
  <si>
    <t>・『約束のネバーランド』： ドン
・『カードファイト!! ヴァンガード』シリーズ： ヤマモト</t>
  </si>
  <si>
    <t>・『メダリスト』： 蛇崩遊大
・『SPIRITPACT-黄泉の契り-』： 端木寺明
・『囀る鳥は羽ばたかない The clouds gather』： 杉本隼人</t>
  </si>
  <si>
    <t>・『回復術士のやり直し』： ケヤル／ケヤルガ
・『モブから始まる探索英雄譚』： 高木海斗
・『セブンナイツ レボリューション -英雄の継承者-』： ギルダン
・『ドリフェス!R』： 日高なな緒</t>
  </si>
  <si>
    <t>・『number24』： 近衛素直
・『86-エイティシックス-』： チセ・オーセン
・『ゲゲゲの鬼太郎』（第6作）： 冬真／健人
・『ワールドトリガー』： 隠岐孝二
・『ラブオールプレー』： 有村哲也</t>
  </si>
  <si>
    <t>・『君のことが大大大大大好きな100人の彼女』： 愛城恋太郎
・『怪獣8号』： 市川レノ
・『ダンジョン飯』： カブルー
・『勇者が死んだ！』： トウカ・スコット
・『アオアシ』： 朝利マーチス淳</t>
  </si>
  <si>
    <t>明石国行</t>
  </si>
  <si>
    <t>・『夢見る男子は現実主義者』： 佐城渉
・『アン・シャーリー』： ギルバート・ブライス
・『フットサルボーイズ!!!!!』： 京極聖
・『KING OF PRISM -Shiny Seven Stars-』： レヴォントゥレット・ニッカネン</t>
  </si>
  <si>
    <t>・『HERO MASK』： エドモンド・チャンドラー
・『東京ディバンカー』： エドワード・ハート
・『アウターバンクス』： レイフ・キャメロン</t>
  </si>
  <si>
    <t>・『ようこそ実力至上主義の教室へ』： 本堂遼太郎
・『メジャーセカンド』： 千葉兄
・『プラチナエンド』： 田中</t>
  </si>
  <si>
    <t>・『東京ディバンカー』： 桐崎次郎
・『ファイアーエムブレム 万紫千紅』： イオ
・『おねがいっパトロンさま！』： エーカー</t>
  </si>
  <si>
    <t>蛍丸</t>
  </si>
  <si>
    <t>・『ぬきたし THE ANIMATION』： 橘淳之介
・『黄昏アウトフォーカス』： 加賀利テル
・『陛下わたしを忘れてください』： ニケ・ペルセポネー
・『真・女神転生V Vengeance』： 主人公-</t>
  </si>
  <si>
    <t>・『スケートリーディング☆スターズ』： 倉吉虎之助
・『2.43 清陰高校男子バレー部』： 朝松壱成
・『あひるの空』： 長治正治
・『ワールドトリガー』： 水上敏志
・『JOCHUM』： レイン</t>
  </si>
  <si>
    <t>・『黒子のバスケ』： 福田寛
・『INGRESS THE ANIMATION』： ハンク・ジョンソン
・『空挺ドラゴンズ』： リー
・『RErideD－刻越えのデリダ－』： ヴィドー・フェルカー
・『ファイナル・スペース』： ゲイリー／ムーンケーキ</t>
  </si>
  <si>
    <t>・『シンカリオン チェンジ ザ ワールド』： 最上ガンマ
・『逃げ上手の若君』： 諏訪盛高
・『ヴィジランテ -僕のヒーローアカデミア ILLEGALS-』： エンペラー四浦
・『ベイブレードX』： 陣内バリキ</t>
  </si>
  <si>
    <t>愛染国俊</t>
  </si>
  <si>
    <t>・『ドラえもん』： 骨川スネ夫
・『PSYCHO-PASS サイコパス』： 狡噛慎也
・『STEINS;GATE』： 橋田至
・『機動武闘伝Gガンダム』： ドモン・カッシュ
・『のだめカンタービレ』： 千秋真一
・『鬼滅の刃』： 不死川実弥
・『フルメタル・パニック！』： 相良宗介</t>
  </si>
  <si>
    <t>・『ドラゴンボール』シリーズ： 人造人間17号
・『新機動戦記ガンダムW』： トロワ・バートン
・『聖戦士ダンバイン』： ショウ・ザマ
・『戦国BASARA』： 毛利元就</t>
  </si>
  <si>
    <t>・『行け！稲中卓球部』： 田辺・ミッチェル・五郎
・『デジモンフロンティア』： 柴山純平
・『激闘！クラッシュギアTURBO』： 織座ジロウ
・『出撃！マシンロボレスキュー』： 歌田進／歌田強</t>
  </si>
  <si>
    <t>・『チェンソーマン』： デンジ
・『UniteUp!』： 清瀬明良
・『WIND BREAKER』： 兎耳山丁子
・『七つの大罪 黙示録の四騎士』： ドニー
・『逃げ上手の若君』： 吹雪</t>
  </si>
  <si>
    <t>千子村正</t>
  </si>
  <si>
    <t>・『ブルーロック』： 伊右衛門送人
・『新テニスの王子様 U-17 WORLD CUP』： A・フランケンシュタイナー
・『火狩りの王』： 火十
・『夜桜さんちの大作戦』： 山ちゃん</t>
  </si>
  <si>
    <t>・『美男高校地球防衛部HAPPY KISS!』： 修善寺鏡太郎
・『東京リベンジャーズ 三天戦争編』： 明司武臣
・『うらみちお兄さん』： 土井柴雄</t>
  </si>
  <si>
    <t>・『夏目友人帳』： 夏目貴志
・『〈物語〉シリーズ』： 阿良々木暦
・『進撃の巨人』： リヴァイ
・『ONE PIECE』： トラファルガー・ロー
・『黒子のバスケ』： 赤司征十郎
・『おそ松さん』： チョロ松
・『デュラララ!!』： 折原臨也
・『斉木楠雄のΨ難』： 斉木楠雄</t>
  </si>
  <si>
    <t>・『鋼の錬金術師』： ロイ・マスタング
・『攻殻機動隊 STAND ALONE COMPLEX』： サイトー
・『ひぐらしのなく頃に』： 富竹ジロウ
・『ソードアート・オンライン』： ヒースクリフ
・『ジョジョの奇妙な冒険』： ナレーション</t>
  </si>
  <si>
    <t>蜻蛉切</t>
  </si>
  <si>
    <t>・『TRIGUN』： ヴァッシュ・ザ・スタンピード
・『テニスの王子様』： 桃城武
・『BLEACH』： 平子真子
・『はじめの一歩』： 千堂武士
・『ボボボーボ・ボーボボ』： 首領パッチ
・『カードキャプターさくら』： ケルベロス
・『ワンパンマン』： ぷりぷりプリズナー</t>
  </si>
  <si>
    <t>・『涼宮ハルヒの憂鬱』： 谷口
・『らき☆すた』： 白石みのる
・『蒼穹のファフナー』： 近藤剣司
・『日常』： 阪本さん
・『長門有希ちゃんの消失』： 谷口</t>
  </si>
  <si>
    <t>・『ゾイド -ZOIDS-』： バン・フライハイト
・『ヴァンパイア騎士』： 玖蘭枢
・『弱虫ペダル』： 手嶋純太
・『ロザリオとバンパイア』： 青野月音
・『ドラゴンボール改』： ジース
・『東京喰種:re』： 旧多二福
・『ファイナルファンタジーXIII-2』： ノエル・クライス</t>
  </si>
  <si>
    <t xml:space="preserve">・『サザエさん』： ノリスケ
・『ドラえもん』： のび太のパパ
・『テイルズ オブ ジ アビス』： ガイ・セシル
・『SK∞ エスケーエイト』： 南城虎次郎（ジョー）
</t>
  </si>
  <si>
    <t>・『鬼滅の刃』： 冨岡義勇
・『コードギアス 反逆のルルーシュ』： 枢木スザク
・『モブサイコ100』： 霊幻新隆
・『おそ松さん』： 松野おそ松
・『PSYCHO-PASS サイコパス』： 槙島聖護
・『NARUTO -ナルト-』： サソリ
・『ダイヤのA』： 御幸一也
・『ジョジョの奇妙な冒険 ダイヤモンドは砕けない』： 岸辺露伴</t>
  </si>
  <si>
    <t>・『BLEACH』： 阿散井恋次
・『ゴールデンカムイ』： 白石由竹
・『NARUTO -ナルト-』： 秋道チョウジ
・『弱虫ペダル』： 田所迅
・『キングダム』： 桓騎
・『とっとこハム太郎』： タイショーくん</t>
  </si>
  <si>
    <t>・『フットサルボーイズ!!!!!』： 久我巧生
・『文豪とアルケミスト』： ハワード・P・ラヴクラフト</t>
  </si>
  <si>
    <t>・『DOUBLE DECKER! ダグ&amp;キリル』： ダグ・ビリンガム
・『DEATH STRANDING』： ヒッグス
・『86-エイティシックス-』： ジェローム・カールシュタール
・『明日ちゃんのセーラー服』： 明日サト
・『デリシャスパーティ♡プリキュア』： フェンネル</t>
  </si>
  <si>
    <t>物吉貞宗</t>
  </si>
  <si>
    <t>・『聖闘士星矢 冥王ハーデス冥界編』： キグナス氷河
・『おねがい☆ティーチャー』： 四道跨
・『正解するカド』： 真道幸路朗
・『ドラゴンボール改』： ザーボン
・『ワールドトリガー』： 歌川遼
・『ONE PIECE』： アブサロム</t>
  </si>
  <si>
    <t>・『Dr.STONE』： クロム
・『よふかしのうた』： 夜守コウ
・『弱キャラ友崎くん』： 友崎文也
・『HIGH CARD』： フィン・オールドマン
・『君は放課後インソムニア』： 中見丸太
・『天国大魔境』： マル
・『結婚指輪物語』： サトウ</t>
  </si>
  <si>
    <t>・『ブルーピリオド』： 矢口八虎
・『セスタス -The Roman Fighter-』： セスタス
・『シャングリラ・フロンティア』： アラミース
・『WIND BREAKER』： 鹿沼稔
・『フットサルボーイズ!!!!!』： 樫良木ルイ
・『テクノロイド オーバーマインド』： ケイ</t>
  </si>
  <si>
    <t>太鼓鐘貞宗</t>
  </si>
  <si>
    <t>・『夏目友人帳』： 田沼要
・『デュラララ!!』： 矢霧誠二
・『SERVAMP-サーヴァンプ-』： スノウリリイ
・『舞-HiME』： 倉内和也</t>
  </si>
  <si>
    <t>•  『カードファイト!! ヴァンガード』シリーズ： 新田シン
•  『アルゴナビス from BanG Dream!』：桔梗凛生
•  『トライナイツ』：翔谷・ピアーズ・ヴァレンタイン
•  『Helck』：ゼルジオン
•  『ビックリメン』：牛若
•  『DD北斗の拳』：バット</t>
  </si>
  <si>
    <t>•  『喧嘩番長 乙女 -Girl Beats Boys-』： 小山田孝雪
• 『モンスターストライク』： 大友宗麟
•  『イケメン幕末◆運命の恋』：近藤勇</t>
  </si>
  <si>
    <t>•  『イナズマイレブン』：飛鷹征矢
•  『ヘタリア』シリーズ： オランダ
•  『夢色パティシエール』：ホセ・ドミンゴ
•  『THE UNLIMITED 兵部京介』：犬神初
•  『遊☆戯☆王デュエルモンスターズGX』：アモン・ガラム</t>
  </si>
  <si>
    <t>•  『遊☆戯☆王5D’s』：風馬走一
•  『家庭教師ヒットマンREBORN!』：エンゾ
•  『ナゾトキネ』：川下駒造
•  『断罪のマリア』シリーズ： ヴェガ</t>
  </si>
  <si>
    <t>亀甲貞宗</t>
  </si>
  <si>
    <t>•  『フューチャーカード バディファイト』シリーズ： 新井谷ライタ／ツヴァイダー
•  『ダンボール戦機WARS』：吹野タダシ
•  『ヘタリア The Beautiful World』：キプロス
•  『夢王国と眠れる100人の王子様』：カイネ</t>
  </si>
  <si>
    <t>•  『ONE PIECE』：サンジ
•  『最遊記』シリーズ： 沙悟浄
•  『TIGER &amp; BUNNY』：鏑木・T・虎徹／ワイルドタイガー
•  『宇宙兄弟』：南波六太
•  『BLACK LAGOON』：ベニー</t>
  </si>
  <si>
    <t>•  『ロクでなし魔術講師と禁忌教典』：セタ＝ファスト
•  『セントールの悩み』：猫見豊
•  『アホガール』：牛窪
•  『トライブクルクル』：大道寺格之進
•  『劇場版 弱虫ペダル』：塩野</t>
  </si>
  <si>
    <t>•  『ゆびさきと恋々』：波岐逸臣
•  『ハイキュー!! TO THE TOP』：昼神幸郎
•  『ツルネ』シリーズ： 佐瀬大悟
•  『夢王国と眠れる100人の王子様』：キエル
•  『新テニスの王子様 U-17 WORLD CUP』：ミルキー・ミルマン
•  『平家物語』：平重衡
•  『機動戦士ガンダム 閃光のハサウェイ』：シベット・アンハーン</t>
  </si>
  <si>
    <t>•  『バトルスピリッツ 覇王』：大泉マナブ
•  『キングダム』：万極
•  『チェンソーマン』：円
•  『GIANT KILLING』：赤崎遼
•  『マーベル フューチャー・アベンジャーズ』：ロキ
•  『天国大魔境』：猿渡</t>
  </si>
  <si>
    <t>燭台切光忠</t>
  </si>
  <si>
    <t>•  『僕のヒーローアカデミア』：セメントス／マニュアル／庄田二連撃
•  『進撃の巨人』：フランツ・ケフカ／ソニー
•  『SK∞ エスケーエイト』：岡正吉
•  『黒子のバスケ』：望月和宏</t>
  </si>
  <si>
    <t>•  『リトルバスターズ！』：宮沢謙吾
•  『ワールドトリガー』：奈良坂透
•  『テニスの王子様』：佐伯虎次郎
•  『HAUNTEDじゃんくしょん』：北城遥都
•  『HARELUYA II BØY』：一条誠
•  『魔装機神サイバスター』：安藤ケン</t>
  </si>
  <si>
    <t>•  『アオアシ』：亀山航
•  『デリシャスパーティ♡プリキュア』：赤井とうま
•  『暗殺者である俺のステータスが勇者よりも明らかに強いのだが』：津田友也</t>
  </si>
  <si>
    <t>•  『妖怪ウォッチ』シリーズ： トムニャン／担任の先生
•  『進撃の巨人』：ミリウス・ゼルムスキー
•  『BANANA FISH』：グリフィン・カーレンリース
•  『はじめの一歩 Rising』：赤松勇
•  『黒子のバスケ』：原一哉
•  『サクガン』：アフーロ</t>
  </si>
  <si>
    <t>•  『名探偵コナン』：毛利小五郎（2代目）
•  『はじめの一歩』：鷹村守
•  『Fate/Zero』：衛宮切嗣
•  『血界戦線』：クラウス・V・ラインヘルツ
•  『うしおととら』：とら
•  『うたわれるもの』：ハクオロ
•  『バキ』／『範馬刃牙』：烈海王
•  『文豪ストレイドッグス』：福沢諭吉</t>
  </si>
  <si>
    <t>大般若長光</t>
  </si>
  <si>
    <t>•  『ガイストクラッシャー』：ルナティック・ザントマン
•  『マギ』：ボヤン
•  『台風のノルダ』：神崎先生
•  『セブンナイツ レボリューション』：理事長</t>
  </si>
  <si>
    <t>•  『不機嫌なモノノケ庵』：伏見慎士
•  『ようこそ実力至上主義の教室へ』：戸塚弥彦
•  『ゆらぎ荘の幽奈さん』：兵頭聡
•  『BNA ビー・エヌ・エー』：日下部勝</t>
  </si>
  <si>
    <t>•  『暗殺教室』：木村正義
•  『ようこそ実力至上主義の教室へ』：外村秀雄
•  『夢王国と眠れる100人の王子様』：ドーマウス
•  『ハマトラ』：ノビカワ
•  『アマガミSS+』：真壁</t>
  </si>
  <si>
    <t>•  『僕のヒーローアカデミア』：障子目蔵
•  『この素晴らしい世界に祝福を！』：バニル
•  『ログ・ホライズン』：アインス
•  『DRIFTERS』：カフェト
•  『D.Gray-man HALLOW』：ティキ・ミック
•  『ガンスリンガー ストラトス』：片桐鏡磨</t>
  </si>
  <si>
    <t>•  『桜蘭高校ホスト部』：鳳鏡夜
•  『地獄少女』：一目連
•  『DEATH NOTE』：魅上照
•  『機動戦士ガンダム 鉄血のオルフェンズ』：ガエリオ・ボードウィン
•  『HUNTER×HUNTER』（第2作）：イルミ＝ゾルディック
•  『SSSS.GRIDMAN』：ヴィット</t>
  </si>
  <si>
    <t>小竜景光</t>
  </si>
  <si>
    <t>•  『カウボーイビバップ』：スパイク・スピーゲル
•  『新世紀エヴァンゲリオン』：加持リョウジ
•  『らんま1/2』：響良牙
•  『銀魂』：吉田松陽／虚
•  『ドラゴンボール超』：ビルス
•  『ルパン三世』：銭形警部
•  『攻殻機動隊』：トグサ</t>
  </si>
  <si>
    <t>•  『TIGER &amp; BUNNY』：キース・グッドマン／スカイハイ
•  『ヘタリア』：スペイン
•  『黒子のバスケ』：土田聡史
•  『神撃のバハムート GENESIS／VIRGIN SOUL』：カイザル・リドファルド
•  『D.Gray-man HALLOW』：コムイ・リー
•  『戦隊大失格』：ブルーキーパー</t>
  </si>
  <si>
    <t>•  『BLEACH』：市丸ギン
•  『銀魂』：東城歩
•  『弱虫ペダル』：御堂筋翔
•  『鬼灯の冷徹』：白澤
•  『薄桜鬼』：原田左之助
•  『絶対可憐チルドレン』：兵部京介
•  『仮面ライダー電王』：ウラタロス
•  『ソニックシリーズ』：シャドウ・ザ・ヘッジホッグ
•  『Fate』シリーズ： カルナ
•  『呪術廻戦』：禪院直哉</t>
  </si>
  <si>
    <t>•  『クレヨンしんちゃん』：野原ひろし（初代）
•  『鋼の錬金術師』：マース・ヒューズ
•  『HUNTER×HUNTER』：レオリオ
•  『交響詩篇エウレカセブン』：ホランド・ノヴァク
•  『機動戦士ガンダム00』：アリー・アル・サーシェス
•  『青の祓魔師』：藤本獅郎
•  『Dr.STONE』：石神百夜
•  『ファイナルファンタジーVII』：レノ</t>
  </si>
  <si>
    <t>•  『ハイキュー!! TO THE TOP』：赤木路成
•  『グレイプニル』：岩尾
•  『アオアシ』：小早川透士
•  『Transformers: War for Cybertron』：ミラージュ</t>
  </si>
  <si>
    <t>•  『ハイキュー!!』シリーズ： 木下久志
•  『Free!』：魚住拓也
•  『パズドラ』：鳳ショウ／パク五郎
•  『SSSS.DYNAZENON』：ナレーションβ</t>
  </si>
  <si>
    <t>•  『【推しの子】』：神崎
•  『劇場版ハイキュー!! ゴミ捨て場の決戦』：千鹿谷栄吉
•  『台風のノルダ』：ノッポ
•  『夢王国と眠れる100人の王子様』：ルーフェン</t>
  </si>
  <si>
    <t>江雪左文字</t>
  </si>
  <si>
    <t>•  『薄桜鬼』シリーズ： 永倉新八
•  『戦国BASARA』：前田利家
•  『シドニアの騎士』：勢威一郎
•  『ゼーガペイン』：シマ
•  『ACTORS -Songs Connection-』：五月女燎
•  『聖闘士星矢 THE LOST CANVAS 冥王神話』：ヒュプノス
•  『NARUTO』：神月イズモ</t>
  </si>
  <si>
    <t>•  『機動戦士Ζガンダム』：カミーユ・ビダン
•  『ちびまる子ちゃん』：丸尾末男
•  『キャプテン翼』（昭和版）：若島津健
•  『名探偵コナン』：風見裕也
•  『おそ松さん』：ダヨーン
•  『薄桜鬼』：山南敬助
•  『海がきこえる』：杜崎拓
•  『スレイヤーズ』：ラドック＝ランザード／ズーマ</t>
  </si>
  <si>
    <t>•  『薄桜鬼』シリーズ： 山崎烝
•  『PEACE MAKER鐵』：松田重助</t>
  </si>
  <si>
    <t>•  『美男高校地球防衛部LOVE! LOVE!』：別府日彦
•  『弱虫ペダル』シリーズ： 船津和歩
•  『シュート! Goal to the Future』：羽生健二／羽生雄二
•  『即死チートが最強すぎて、異世界のやつらがまるで相手にならないんですが。』：橘裕樹
•  『ダイヤのA』：山口健</t>
  </si>
  <si>
    <t>•  『勇者王ガオガイガー』：ビッチャー／ウォーリアーJ
•  『BLEACH』：コン
•  『銀魂』：伊東鴨太郎
•  『コードギアス 反逆のルルーシュ』：扇要
•  『Fate/stay night』：柳洞一成
•  『ペルソナ4 the ANIMATION』：足立透
•  『おくさまは女子高生』：市丸恭介</t>
  </si>
  <si>
    <t>•  『古見さんは、コミュ症です。』：園田大勢
•  『劇場版ポケットモンスター ココ』：アップリュー
•  『アオのハコ』：舘山</t>
  </si>
  <si>
    <t>•  『ソウルイーター』：フランケン・シュタイン博士
•  『アイシールド21』：キッド（武者小路紫苑）
•  『二十面相の娘』：二十面相
•  『チェンソーマン』：暴力の魔人
•  『七つの大罪』：ヘンドリクセン
•  『うたわれるもの』シリーズ： ミカヅチ
•  『86―エイティシックス―』：エルンスト・ツィマーマン</t>
  </si>
  <si>
    <t>•  『NARUTO -ナルト-』：うちはイタチ
•  『BLEACH』：浮竹十四郎
•  『戦姫絶唱シンフォギア』シリーズ： 風鳴弦十郎
•  『ゲッターロボ』シリーズ： 流竜馬
•  『金色のコルダ』シリーズ： 金澤紘人
•  『ONE PIECE』：フルボディ</t>
  </si>
  <si>
    <t>•  『半妖の夜叉姫』：弥勒
•  『アイカツ！』：ジョニー別府
•  『ジョジョの奇妙な冒険 スターダストクルセイダース』：オインゴ
•  『MAJOR』：眉村健
•  『スカルマン』：御子神隼人
•  『おおきく振りかぶって』：巣山尚治
•  『ゾイドワイルド ZERO』：バズ・カニンガム</t>
  </si>
  <si>
    <t>•  『アルゴナビス from BanG Dream!』：七星蓮
•  『カードファイト!! ヴァンガード overDress／will+Dress』：石亀ザクサ
•  『ぼくたちのリメイク』：橋場恭也
•  『好きな子がめがねを忘れた』：小村楓
•  『農民関連のスキルばっか上げてたら何故か強くなった。』：リークス</t>
  </si>
  <si>
    <t>宗三左文字</t>
  </si>
  <si>
    <t>•  『STATION IDOL LATCH!』：一条肇（品川駅）
•  『Readyyy!』：柳川彗
•  『ダンダダン』：ヨシキチ</t>
  </si>
  <si>
    <t>•  『うたわれるもの』シリーズ： クロウ
•  『ONE PIECE』：ハイルディン／バスティーユ／ホールデム
•  『本好きの下剋上』：ギュンター
•  『アイシールド21』：峨王力哉
•  『BLEACH 千年血戦篇』：ジェラルド・ヴァルキリー
•  『ジョジョの奇妙な冒険 ストーンオーシャン』：スポーツマックス</t>
  </si>
  <si>
    <t>•  『ドラゴンボール』シリーズ： ベジータ
•  『名探偵コナン』：服部平次
•  『聖闘士星矢』：アンドロメダ瞬
•  『銀河英雄伝説』：ラインハルト・フォン・ローエングラム
•  『機動戦士ガンダム0083 STARDUST MEMORY』：コウ・ウラキ
•  『夢戦士ウイングマン』：広野健太／ウイングマン
•  『幽☆遊☆白書』：鴉</t>
  </si>
  <si>
    <t>小夜左文字</t>
  </si>
  <si>
    <t>•  『ヘタリア』シリーズ： ロシア
•  『美少女戦士セーラームーン』シリーズ： アルテミス
•  『鋼の錬金術師 FULLMETAL ALCHEMIST』：グラトニー
•  『ゾンビランドサガ』：ロメロ
•  『僕のヒーローアカデミア』：根津校長
•  『忍たま乱太郎』：川西左近（初代）</t>
  </si>
  <si>
    <t>•  『ヘタリア』シリーズ： プロイセン／エストニア／ギリシャ
•  『新テニスの王子様』：三津谷あくと
•  『プレイタの傷』：嵐柴エイジ
•  『魔女と野獣』：シュルク
•  『メガネブ！』：相馬輝</t>
  </si>
  <si>
    <t>•  『機動戦士ガンダムSEED』シリーズ： ディアッカ・エルスマン
•  『ヘタリア』シリーズ： オーストリア
•  『激闘!クラッシュギアTURBO』：万願寺タケシ
•  『異世界のんびり農家』：グラッツ</t>
  </si>
  <si>
    <t>•  『ヘタリア』シリーズ： スウェーデン
•  『銀魂』：アゴ美
•  『エウレカセブンAO』：ピッポ</t>
  </si>
  <si>
    <t>•  『ヘタリア』シリーズ： オーストラリア
•  『魔術士オーフェンはぐれ旅 キムラック編』：フレッディン</t>
  </si>
  <si>
    <t>•  『THE ビッグオー』：ロジャー・スミス
•  『こちら葛飾区亀有公園前派出所』：中川圭一
•  『文豪ストレイドッグス』：森鴎外
•  『宇宙戦艦ヤマト2199』：古代守</t>
  </si>
  <si>
    <t>•  『SLAM DUNK』：桜木花道
•  『ドラゴンボール』シリーズ： トランクス
•  『鎧伝サムライトルーパー』：真田遼／烈火のリョウ
•  『戦国無双』シリーズ： 真田幸村
•  『ケロロ軍曹』：ドロロ兵長
•  『Yes!プリキュア5』：ココ／小々田コージ
•  『最遊記』シリーズ： 紅孩児</t>
  </si>
  <si>
    <t>加州清光</t>
  </si>
  <si>
    <t>•  『攻殻機動隊』：バトー
•  『メタルギアソリッド』シリーズ： ソリッド・スネーク／ビッグ・ボス
•  『ONE PIECE』：マーシャル・D・ティーチ（黒ひげ）
•  『ブラック・ジャック』：ブラック・ジャック
•  『Fate/Zero』：ライダー（イスカンダル）
•  『僕のヒーローアカデミア』：オール・フォー・ワン
•  『バキ』：範馬勇次郎
•  『ルパン三世』：次元大介（2代目）
•  『機動戦士ガンダム0083』：アナベル・ガトー</t>
  </si>
  <si>
    <t>•  『厨病激発ボーイ』：厨二葉
•  『ベルゼブブ嬢のお気に召すまま。』：ミュリン
•  『ベイブレードバースト 超ゼツ』：墨江フブキ
•  『美男高校地球防衛部 HAPPY KISS!』：万座太子
•  『さわらないで小手指くん』：小手指向陽
•  『真夜中ハートチューン』：山吹有栖</t>
  </si>
  <si>
    <t>•  『Collar×Malice』：峰岸誠司
•  『泡沫のユークロニア』：潮路
•  『真紅の焔 真田忍法帳』：豊臣秀頼</t>
  </si>
  <si>
    <t>•  『テニスの王子様』シリーズ： 日吉若
•  『逆転裁判 ～その「真実」、異議あり！』：糸鋸圭介
•  『アイシールド21』：黒木浩二／ケルベロス
•  『家庭教師ヒットマンREBORN!』：沢田家光
•  『こちら葛飾区亀有公園前派出所』：左近寺竜之介</t>
  </si>
  <si>
    <t>•  『フットサルボーイズ!!!!!』：秋月奏夜
•  『メギド72』：ガープ／バラム</t>
  </si>
  <si>
    <t>大和守安定</t>
  </si>
  <si>
    <t>•  『ヴィジランテ -僕のヒーローアカデミア ILLEGALS-』：飯田天晴／インゲニウム
•  『新テニスの王子様 U-17 WORLD CUP』：ジャン・フィッツジェラルド
•  『僕のヒーローアカデミア』：シンリンカムイ
•  『遊☆戯☆王ARC-V』：ジャン・ミシェル・ロジェ</t>
  </si>
  <si>
    <t>•  『D.Gray-man HALLOW』：クロス・マリアン
•  『僕のヒーローアカデミア』：Mr.コンプレス
•  『ハートの国のアリス』：エリオット＝マーチ
•  『うたわれるもの 二人の白皇』：ソヤンケクル
•  『ガイストクラッシャー』：ジーク・バナ</t>
  </si>
  <si>
    <t>•  『ブラッククローバー』：マグナ・スウィング
•  『BEASTARS』：ドーム／スナガ
•  『星刻の竜騎士』：マクシミリアン・ラッセル
•  『コードギアス 亡国のアキト』：アラン・ネッケル
•  『機動戦士ガンダム 鉄血のオルフェンズ』：デルマ・アルトランド</t>
  </si>
  <si>
    <t>•  『メダリスト』：千羽輪太郎
•  『邪神ちゃんドロップキック』：三郎
•  『BOYS be MAID！』：妃崎余花</t>
  </si>
  <si>
    <t>•  『ダンジョンの中のひと』：ガイアム
•  『転生貴族、鑑定スキルで成り上がる』：バーニィ
•  『ホリミヤ -piece-』：男子生徒A</t>
  </si>
  <si>
    <t>•  『from ARGONAVIS』／『アルゴナビス from BanG Dream!』：的場航海
•  『【推しの子】』：鳴嶋メルト
•  『色づく世界の明日から』：山吹将
•  『トライナイツ』：宝立友未
•  『高良くんと天城くん』：高良瞬</t>
  </si>
  <si>
    <t>歌仙兼定</t>
  </si>
  <si>
    <t>•  『STRANGE EDEN』：由良野千里
•  『原神』： シェーンブルン</t>
  </si>
  <si>
    <t>•  『STRANGE EDEN』：咬
•  『楽楽飯店』： シア</t>
  </si>
  <si>
    <t>•  『Library of Ruina』：ケセド
•  『美男高校地球防衛部ハイカラ！』：酸ヶ湯愛琉志</t>
  </si>
  <si>
    <t>•  『トモダチゲーム』：四部誠
•  『杖と剣のウィストリア』：リリール・マース
•  『青のミブロ』：野口健司
•  『無能なナナ』：石井リュウジ
•  『ハイキュー!! TO THE TOP』：月岡千春
•  『魔導具師ダリヤはうつむかない』：トビアス・オルランド</t>
  </si>
  <si>
    <t>和泉守兼定</t>
  </si>
  <si>
    <t>•  『おねがいっパトロンさま！』：猫屋敷良夜
•  『補講男子』：柏谷信</t>
  </si>
  <si>
    <t>•  『桜蘭高校ホスト部』：常陸院馨
•  『のだめカンタービレ』：奥山真澄
•  『狂乱家族日記』：乱崎銀夏
•  『東京喰種√A』：宇井郡
•  『ぼくらの』：カコ（加古功）
•  『エウレカセブンAO』：ハン・ジュノ
•  『デュエル・マスターズ』：愛善真</t>
  </si>
  <si>
    <t>•  『うたわれるもの』シリーズ： オボロ
•  『桜蘭高校ホスト部』：銛之塚崇
•  『バクマン。』：港浦吾郎
•  『GIANT KILLING』：杉江勇作
•  『オトッペ』：ペッペラーノ／ポトレイン
•  『MAJOR』：薬師寺／牟田</t>
  </si>
  <si>
    <t>•  『緋色の欠片』シリーズ： 狗谷遼
•  『学園ハンサム』：鏡蓮児
•  『BROTHERS CONFLICT』：佐々倉和馬</t>
  </si>
  <si>
    <t>•  『テニスの王子様』： 樺地崇弘／木更津淳
•  『Fate/Zero』：キャスター（ジル・ド・レェ）
•  『Fate/Apocrypha』：赤のバーサーカー（スパルタクス）
•  『七つの大罪』：タルミエル
•  『新テニスの王子様』：樺地崇弘</t>
  </si>
  <si>
    <t>•  『美男高校地球防衛部ハイカラ！』：雲仙新九郎
•  『モンスターストライク』： エシカル</t>
  </si>
  <si>
    <t>•  『美男高校地球防衛部ハイカラ！』：卯花惣輔
•  『SHAMAN KING』：コンチ／ニクロム
•  『SHAMAN KING FLOWERS』：コンチ
•  『NOMAD メガロボクス2』：サンタ</t>
  </si>
  <si>
    <t>陸奥守吉行</t>
  </si>
  <si>
    <t>•  『美男高校地球防衛部ハイカラ！』：長万部潮
•  『リモート☆ホスト』：亜土夢</t>
  </si>
  <si>
    <t>山姥切国広</t>
  </si>
  <si>
    <t>山伏国広</t>
  </si>
  <si>
    <t>堀川国広</t>
  </si>
  <si>
    <t>蜂須賀虎徹</t>
  </si>
  <si>
    <t>浦島虎徹</t>
  </si>
  <si>
    <t>長曽祢虎徹</t>
  </si>
  <si>
    <t>髭切</t>
  </si>
  <si>
    <t>膝丸</t>
  </si>
  <si>
    <t>大倶利伽羅</t>
  </si>
  <si>
    <t>へし切長谷部</t>
  </si>
  <si>
    <t>不動行光</t>
  </si>
  <si>
    <t>獅子王</t>
  </si>
  <si>
    <t>同田貫正国</t>
  </si>
  <si>
    <t>鶴丸国永</t>
  </si>
  <si>
    <t>太郎太刀</t>
  </si>
  <si>
    <t>次郎太刀</t>
  </si>
  <si>
    <t>日本号</t>
  </si>
  <si>
    <t>御手杵</t>
  </si>
  <si>
    <t>巴形薙刀</t>
  </si>
  <si>
    <t>静形薙刀</t>
  </si>
  <si>
    <t>毛利藤四郎</t>
  </si>
  <si>
    <t>謙信景光</t>
  </si>
  <si>
    <t>日向正宗</t>
  </si>
  <si>
    <t>小烏丸</t>
  </si>
  <si>
    <t>抜丸</t>
  </si>
  <si>
    <t>南泉一文字</t>
  </si>
  <si>
    <t>山姥切長義</t>
  </si>
  <si>
    <t>篭手切江</t>
  </si>
  <si>
    <t>豊前江</t>
  </si>
  <si>
    <t>桑名江</t>
  </si>
  <si>
    <t>松井江</t>
  </si>
  <si>
    <t>村雲江</t>
  </si>
  <si>
    <t>稲葉江</t>
  </si>
  <si>
    <t>富田江</t>
  </si>
  <si>
    <t>五月雨江</t>
  </si>
  <si>
    <t>地蔵行平</t>
  </si>
  <si>
    <t>水心子正秀</t>
  </si>
  <si>
    <t>源清麿</t>
  </si>
  <si>
    <t>南海太郎朝尊</t>
  </si>
  <si>
    <t>肥前忠広</t>
  </si>
  <si>
    <t>治金丸</t>
  </si>
  <si>
    <t>泛塵</t>
  </si>
  <si>
    <t>北谷菜切</t>
  </si>
  <si>
    <t>太閤左文字</t>
  </si>
  <si>
    <t>京極正宗</t>
  </si>
  <si>
    <t>九鬼正宗</t>
  </si>
  <si>
    <t>白山吉光</t>
  </si>
  <si>
    <t>七星剣</t>
  </si>
  <si>
    <t>丙子椒林剣</t>
  </si>
  <si>
    <t>小豆長光</t>
  </si>
  <si>
    <t>千代金丸</t>
  </si>
  <si>
    <t>山鳥毛</t>
  </si>
  <si>
    <t>古今伝授の太刀</t>
  </si>
  <si>
    <t>日光一文字</t>
  </si>
  <si>
    <t>一文字則宗</t>
  </si>
  <si>
    <t>姫鶴一文字</t>
  </si>
  <si>
    <t>福島光忠</t>
  </si>
  <si>
    <t>笹貫</t>
  </si>
  <si>
    <t>雲生</t>
  </si>
  <si>
    <t>道誉一文字</t>
  </si>
  <si>
    <t>古備前信房</t>
  </si>
  <si>
    <t>狐ヶ崎為次</t>
  </si>
  <si>
    <t>波平行安</t>
  </si>
  <si>
    <t>柏太刀</t>
  </si>
  <si>
    <t>桃太郎祐定</t>
  </si>
  <si>
    <t>祢々切丸</t>
  </si>
  <si>
    <t>大千鳥十文字槍</t>
  </si>
  <si>
    <t>火車切</t>
  </si>
  <si>
    <t>孫六兼元</t>
  </si>
  <si>
    <t>後家兼光</t>
  </si>
  <si>
    <t>安宅切</t>
  </si>
  <si>
    <t>大慶直胤</t>
  </si>
  <si>
    <t>面影</t>
  </si>
  <si>
    <t>雲次</t>
  </si>
  <si>
    <t>雲重</t>
  </si>
  <si>
    <t>二筋樋貞宗</t>
  </si>
  <si>
    <t>実休光忠</t>
  </si>
  <si>
    <t>石田正宗</t>
  </si>
  <si>
    <t>人間無骨</t>
  </si>
  <si>
    <t>八丁念仏</t>
  </si>
  <si>
    <t>倶利伽羅江</t>
  </si>
  <si>
    <t>三郎国宗</t>
  </si>
  <si>
    <t>朝倉藤四郎</t>
  </si>
  <si>
    <t>佐久間咲也</t>
  </si>
  <si>
    <t>碓氷真澄</t>
  </si>
  <si>
    <t>皆木綴</t>
  </si>
  <si>
    <t>茅ヶ崎至</t>
  </si>
  <si>
    <t>シトロン</t>
  </si>
  <si>
    <t>卯木千景</t>
  </si>
  <si>
    <t>皇天馬</t>
  </si>
  <si>
    <t>瑠璃川幸</t>
  </si>
  <si>
    <t>向坂椋</t>
  </si>
  <si>
    <t>斑鳩三角</t>
  </si>
  <si>
    <t>三好一成</t>
  </si>
  <si>
    <t>兵頭九門</t>
  </si>
  <si>
    <t>摂津万里</t>
  </si>
  <si>
    <t>兵頭十座</t>
  </si>
  <si>
    <t>七尾太一</t>
  </si>
  <si>
    <t>伏見臣</t>
  </si>
  <si>
    <t>古市左京</t>
  </si>
  <si>
    <t>泉田莇</t>
  </si>
  <si>
    <t>月岡紬</t>
  </si>
  <si>
    <t>高遠丞</t>
  </si>
  <si>
    <t>御影密</t>
  </si>
  <si>
    <t>有栖川誉</t>
  </si>
  <si>
    <t>雪白東</t>
  </si>
  <si>
    <t>ガイ</t>
  </si>
  <si>
    <t>オズ</t>
  </si>
  <si>
    <t>アーサー</t>
  </si>
  <si>
    <t>カイン</t>
  </si>
  <si>
    <t>リケ</t>
  </si>
  <si>
    <t>スノウ</t>
  </si>
  <si>
    <t>ホワイト</t>
  </si>
  <si>
    <t>ミスラ</t>
  </si>
  <si>
    <t>オーエン</t>
  </si>
  <si>
    <t>ブラッドリー</t>
  </si>
  <si>
    <t>ファウスト</t>
  </si>
  <si>
    <t>シノ</t>
  </si>
  <si>
    <t>ヒースクリフ</t>
  </si>
  <si>
    <t>ネロ</t>
  </si>
  <si>
    <t>シャイロック</t>
  </si>
  <si>
    <t>ムル</t>
  </si>
  <si>
    <t>クロエ</t>
  </si>
  <si>
    <t>ラスティカ</t>
  </si>
  <si>
    <t>フィガロ</t>
  </si>
  <si>
    <t>ルチル</t>
  </si>
  <si>
    <t>レノックス</t>
  </si>
  <si>
    <t>ミチル</t>
  </si>
  <si>
    <t>リドル・ローズハート</t>
  </si>
  <si>
    <t>エース・トラッポラ</t>
  </si>
  <si>
    <t>デュース・スペード</t>
  </si>
  <si>
    <t>トレイ・クローバー</t>
  </si>
  <si>
    <t>ケイト・ダイヤモンド</t>
  </si>
  <si>
    <t>レオナ・キングスカラー</t>
  </si>
  <si>
    <t>ラギー・ブッチ</t>
  </si>
  <si>
    <t>ジャック・ハウル</t>
  </si>
  <si>
    <t>アズール・アーシェングロット</t>
  </si>
  <si>
    <t>ジェイド・リーチ</t>
  </si>
  <si>
    <t>フロイド・リーチ</t>
  </si>
  <si>
    <t>カリム・アルアジーム</t>
  </si>
  <si>
    <t>ジャミル・バイパー</t>
  </si>
  <si>
    <t>ヴィル・シェーンハイト</t>
  </si>
  <si>
    <t>エペル・フェルミエ</t>
  </si>
  <si>
    <t>ルーク・ハント</t>
  </si>
  <si>
    <t>イデア・シュラウド</t>
  </si>
  <si>
    <t>オルト・シュラウド</t>
  </si>
  <si>
    <t>マレウス・ドラコニア</t>
  </si>
  <si>
    <t>リリア・ヴァンルージュ</t>
  </si>
  <si>
    <t>シルバー</t>
  </si>
  <si>
    <t>セベク・ジグボルト</t>
  </si>
  <si>
    <t>ベリアン・クライアン</t>
  </si>
  <si>
    <t>ロノ・フォンティーヌ</t>
  </si>
  <si>
    <t>フルーレ・ガルシア</t>
  </si>
  <si>
    <t>ルカス・トンプシー</t>
  </si>
  <si>
    <t>ハウレス・クリフォード</t>
  </si>
  <si>
    <t>アモン・リード</t>
  </si>
  <si>
    <t>ラムリ・ベネット</t>
  </si>
  <si>
    <t>ボスキ・アリーナス</t>
  </si>
  <si>
    <t>バスティン・ケリー</t>
  </si>
  <si>
    <t>フェネス・オズワルド</t>
  </si>
  <si>
    <t>ラト・バッカ</t>
  </si>
  <si>
    <t>ミヤジ・オルディア</t>
  </si>
  <si>
    <t>ナック・シュタイン</t>
  </si>
  <si>
    <t>テディ・ブラウン</t>
  </si>
  <si>
    <t>カワカミ・ハナマル</t>
  </si>
  <si>
    <t>シノノメ・ユーハン</t>
  </si>
  <si>
    <t>ベレン・クライアン</t>
  </si>
  <si>
    <t>シロ</t>
  </si>
  <si>
    <t>クロウザー・ノックス</t>
  </si>
  <si>
    <t>浜咲楓</t>
  </si>
  <si>
    <t>大黒可不可</t>
  </si>
  <si>
    <t>西園練牙</t>
  </si>
  <si>
    <t>叢雲添</t>
  </si>
  <si>
    <t>神名雪風</t>
  </si>
  <si>
    <t>鹿礼光</t>
  </si>
  <si>
    <t>五十竹あく太</t>
  </si>
  <si>
    <t>衣川季肋</t>
  </si>
  <si>
    <t>斜木七基</t>
  </si>
  <si>
    <t>輝矢宗氏</t>
  </si>
  <si>
    <t>久楽間潮</t>
  </si>
  <si>
    <t>北片來人</t>
  </si>
  <si>
    <t>畔川幾成</t>
  </si>
  <si>
    <t>夏焼千弥</t>
  </si>
  <si>
    <t>木ノ内太緒</t>
  </si>
  <si>
    <t>百目鬼潜</t>
  </si>
  <si>
    <t>蜂乃屋凪</t>
  </si>
  <si>
    <t>白光糖衣</t>
  </si>
  <si>
    <t>白光琉衣</t>
  </si>
  <si>
    <t>棗夜鷹</t>
  </si>
  <si>
    <t>夜半子タろ</t>
  </si>
  <si>
    <t>皇坂逢</t>
  </si>
  <si>
    <t>城瀬由鶴</t>
  </si>
  <si>
    <t>須王芦佳</t>
  </si>
  <si>
    <t>綾戸恋</t>
  </si>
  <si>
    <t>宇京真央</t>
  </si>
  <si>
    <t>樋宮明星</t>
  </si>
  <si>
    <t>環野揺</t>
  </si>
  <si>
    <t>槻本大河</t>
  </si>
  <si>
    <t>壱川春日</t>
  </si>
  <si>
    <t>隠岐谷誓</t>
  </si>
  <si>
    <t>節見静</t>
  </si>
  <si>
    <t>御門尊</t>
  </si>
  <si>
    <t>新開戦</t>
  </si>
  <si>
    <t>相沢篠信</t>
  </si>
  <si>
    <t>在間樹帆</t>
  </si>
  <si>
    <t>祠堂恭耶</t>
  </si>
  <si>
    <t>立科吏来</t>
  </si>
  <si>
    <t>恩田灯世</t>
  </si>
  <si>
    <t>新名有</t>
  </si>
  <si>
    <t>神家</t>
  </si>
  <si>
    <t>麻波麗</t>
  </si>
  <si>
    <t>クロウ</t>
  </si>
  <si>
    <t>イツキ</t>
  </si>
  <si>
    <t>グランフレア</t>
  </si>
  <si>
    <t>ルージュ</t>
  </si>
  <si>
    <t>ノア</t>
  </si>
  <si>
    <t>カナン</t>
  </si>
  <si>
    <t>アデル</t>
  </si>
  <si>
    <t>フォルクス</t>
  </si>
  <si>
    <t>メリーローズ</t>
  </si>
  <si>
    <t>エスト</t>
  </si>
  <si>
    <t>カイ</t>
  </si>
  <si>
    <t>シオン</t>
  </si>
  <si>
    <t>ギー</t>
  </si>
  <si>
    <t>オスカー</t>
  </si>
  <si>
    <t>クーヘン</t>
  </si>
  <si>
    <t>キュイ</t>
  </si>
  <si>
    <t>リッシュ</t>
  </si>
  <si>
    <t>ヴァルター</t>
  </si>
  <si>
    <t>サール</t>
  </si>
  <si>
    <t>シイラ</t>
  </si>
  <si>
    <t>エルマ</t>
  </si>
  <si>
    <t>ウルバノ</t>
  </si>
  <si>
    <t>キニス</t>
  </si>
  <si>
    <t>ラグーン</t>
  </si>
  <si>
    <t>トワ</t>
  </si>
  <si>
    <t>リンク</t>
  </si>
  <si>
    <t>ホロウ</t>
  </si>
  <si>
    <t>旭</t>
  </si>
  <si>
    <t>シラヌイ</t>
  </si>
  <si>
    <t>御影</t>
  </si>
  <si>
    <t>タマユラ</t>
  </si>
  <si>
    <t>葵</t>
  </si>
  <si>
    <t>カミュ</t>
  </si>
  <si>
    <t>セブン</t>
  </si>
  <si>
    <t>ユミル</t>
  </si>
  <si>
    <t>ヴィクトル</t>
  </si>
  <si>
    <t>レン</t>
  </si>
  <si>
    <t>ケント</t>
  </si>
  <si>
    <t>ヒース</t>
  </si>
  <si>
    <t>スズカ</t>
  </si>
  <si>
    <t>アレックス</t>
  </si>
  <si>
    <t>エミリオ</t>
  </si>
  <si>
    <t>サイラス</t>
  </si>
  <si>
    <t>ハリエット</t>
  </si>
  <si>
    <t>シハル</t>
  </si>
  <si>
    <t>アルマ</t>
  </si>
  <si>
    <t>リュコス</t>
  </si>
  <si>
    <t>ダステ</t>
  </si>
  <si>
    <t>天祥院英智</t>
  </si>
  <si>
    <t>日々樹渉</t>
  </si>
  <si>
    <t>姫宮桃李</t>
  </si>
  <si>
    <t>伏見弓弦</t>
  </si>
  <si>
    <t>氷鷹北斗</t>
  </si>
  <si>
    <t>明星スバル</t>
  </si>
  <si>
    <t>遊木真</t>
  </si>
  <si>
    <t>衣更真緒</t>
  </si>
  <si>
    <t>守沢千秋</t>
  </si>
  <si>
    <t>深海奏汰</t>
  </si>
  <si>
    <t>南雲鉄虎</t>
  </si>
  <si>
    <t>高峯翠</t>
  </si>
  <si>
    <t>仙石忍</t>
  </si>
  <si>
    <t>蓮巳敬人</t>
  </si>
  <si>
    <t>鬼龍紅郎</t>
  </si>
  <si>
    <t>神崎颯馬</t>
  </si>
  <si>
    <t>滝維吹</t>
  </si>
  <si>
    <t>朔間零</t>
  </si>
  <si>
    <t>羽風薫</t>
  </si>
  <si>
    <t>大神晃牙</t>
  </si>
  <si>
    <t>乙狩アドニス</t>
  </si>
  <si>
    <t>月永レオ</t>
  </si>
  <si>
    <t>瀬名泉</t>
  </si>
  <si>
    <t>朔間凛月</t>
  </si>
  <si>
    <t>鳴上嵐</t>
  </si>
  <si>
    <t>朱桜司</t>
  </si>
  <si>
    <t>仁兎なずな</t>
  </si>
  <si>
    <t>天満光</t>
  </si>
  <si>
    <t>真白友也</t>
  </si>
  <si>
    <t>紫之創</t>
  </si>
  <si>
    <t>葵ひなた</t>
  </si>
  <si>
    <t>葵ゆうた</t>
  </si>
  <si>
    <t>斎宮宗</t>
  </si>
  <si>
    <t>影片みか</t>
  </si>
  <si>
    <t>逆先夏目</t>
  </si>
  <si>
    <t>青葉つむぎ</t>
  </si>
  <si>
    <t>春川宙</t>
  </si>
  <si>
    <t>三毛縞斑</t>
  </si>
  <si>
    <t>乱凪砂</t>
  </si>
  <si>
    <t>巴日和</t>
  </si>
  <si>
    <t>七種茨</t>
  </si>
  <si>
    <t>漣ジュン</t>
  </si>
  <si>
    <t>天城一彩</t>
  </si>
  <si>
    <t>白鳥藍良</t>
  </si>
  <si>
    <t>礼瀬マヨイ</t>
  </si>
  <si>
    <t>風早巽</t>
  </si>
  <si>
    <t>天城燐音</t>
  </si>
  <si>
    <t>HiMERU</t>
  </si>
  <si>
    <t>桜河こはく</t>
  </si>
  <si>
    <t>椎名ニキ</t>
  </si>
  <si>
    <t>小鹿ジュイス</t>
  </si>
  <si>
    <t>円果望見</t>
  </si>
  <si>
    <t>久遠舞珠</t>
  </si>
  <si>
    <t>甘楽チトセ</t>
  </si>
  <si>
    <t>エス</t>
  </si>
  <si>
    <t>カンナ</t>
  </si>
  <si>
    <t>ユメ</t>
  </si>
  <si>
    <t>ライカ</t>
  </si>
  <si>
    <t>七瀬陸</t>
  </si>
  <si>
    <t>和泉一織</t>
  </si>
  <si>
    <t>二階堂大和</t>
  </si>
  <si>
    <t>和泉三月</t>
  </si>
  <si>
    <t>四葉環</t>
  </si>
  <si>
    <t>逢坂壮五</t>
  </si>
  <si>
    <t>六弥ナギ</t>
  </si>
  <si>
    <t>八乙女楽</t>
  </si>
  <si>
    <t>九条天</t>
  </si>
  <si>
    <t>十龍之介</t>
  </si>
  <si>
    <t>百</t>
  </si>
  <si>
    <t>千</t>
  </si>
  <si>
    <t>亥清悠</t>
  </si>
  <si>
    <t>狗丸トウマ</t>
  </si>
  <si>
    <t>棗巳波</t>
  </si>
  <si>
    <t>御堂虎於</t>
  </si>
  <si>
    <t>山田一郎</t>
  </si>
  <si>
    <t>山田二郎</t>
  </si>
  <si>
    <t>山田三郎</t>
  </si>
  <si>
    <t>碧棺左馬刻</t>
  </si>
  <si>
    <t>入間銃兎</t>
  </si>
  <si>
    <t>毒島メイソン理鶯</t>
  </si>
  <si>
    <t>神宮寺寂雷</t>
  </si>
  <si>
    <t>伊弉冉一二三</t>
  </si>
  <si>
    <t>観音坂独歩</t>
  </si>
  <si>
    <t>飴村乱数</t>
  </si>
  <si>
    <t>夢野幻太郎</t>
  </si>
  <si>
    <t>有栖川帝統</t>
  </si>
  <si>
    <t>白膠木簓</t>
  </si>
  <si>
    <t>躑躅森盧笙</t>
  </si>
  <si>
    <t>天谷奴零</t>
  </si>
  <si>
    <t>波羅夷空却</t>
  </si>
  <si>
    <t>四十物十四</t>
  </si>
  <si>
    <t>天国獄</t>
  </si>
  <si>
    <t>鈴宮壱</t>
  </si>
  <si>
    <t>丹波燐</t>
  </si>
  <si>
    <t>雁屋園道貴</t>
  </si>
  <si>
    <t>四方ルカ</t>
  </si>
  <si>
    <t>宗円寺雨夜</t>
  </si>
  <si>
    <t>是沢舞斗</t>
  </si>
  <si>
    <t>綾瀬光緒</t>
  </si>
  <si>
    <t>紫垣明</t>
  </si>
  <si>
    <t>宗円寺朝晴</t>
  </si>
  <si>
    <t>猫屋敷由比</t>
  </si>
  <si>
    <t>深海ふかみ</t>
  </si>
  <si>
    <t>春宮永臣</t>
  </si>
  <si>
    <t>柊迫侃</t>
  </si>
  <si>
    <t>大里帆波</t>
  </si>
  <si>
    <t>反郷粋</t>
  </si>
  <si>
    <t>雛乃秀</t>
  </si>
  <si>
    <t>伊佐良和</t>
  </si>
  <si>
    <t>伊藤ふみや：小野友樹</t>
  </si>
  <si>
    <t>草薙理解：山中真尋</t>
  </si>
  <si>
    <t>本橋依央利：福原かつみ</t>
  </si>
  <si>
    <t>猿川慧：細田健太</t>
  </si>
  <si>
    <t>湊大瀬：日向朔公</t>
  </si>
  <si>
    <t>テラ：大河元気</t>
  </si>
  <si>
    <t>天堂天彦：橋詰知久</t>
  </si>
  <si>
    <t>朱雀野アレン：梶原岳人</t>
  </si>
  <si>
    <t>燕夏準：村瀬歩</t>
  </si>
  <si>
    <t>西門直明：竹内良太</t>
  </si>
  <si>
    <t>神林匋平：林勇</t>
  </si>
  <si>
    <t>棗リュウ：花江夏樹</t>
  </si>
  <si>
    <t>闇堂四季：寺島惇太</t>
  </si>
  <si>
    <t>矢戸乃上珂波汰：小林裕介</t>
  </si>
  <si>
    <t>矢戸乃上那由汰：豊永利行</t>
  </si>
  <si>
    <t>翠石依織：近藤孝行</t>
  </si>
  <si>
    <t>雅邦善：志麻</t>
  </si>
  <si>
    <t>征木北斎：土岐隼一</t>
  </si>
  <si>
    <t>伊藤紗月：畠中祐</t>
  </si>
  <si>
    <t>円山玲央：矢野奨吾</t>
  </si>
  <si>
    <t>九頭竜智生：小野賢章</t>
  </si>
  <si>
    <t>辰宮晴臣：諏訪部順一</t>
  </si>
  <si>
    <t>大和憧吾：中島ヨシキ</t>
  </si>
  <si>
    <t>緋景斗真：伊東歌詞太郎</t>
  </si>
  <si>
    <t>三洲寺甘太郎：住谷哲栄</t>
  </si>
  <si>
    <t>白忠成：置鮎龍太郎</t>
  </si>
  <si>
    <t>御山京：天月</t>
  </si>
  <si>
    <t>イツキ：北村諒</t>
  </si>
  <si>
    <t>ロクタ：千葉翔也</t>
  </si>
  <si>
    <t>犬飼憂人：古川慎</t>
  </si>
  <si>
    <t>土佐凌牙：バトリ勝悟</t>
  </si>
  <si>
    <t>甲斐田紫音：立花慎之介</t>
  </si>
  <si>
    <t>御子柴賢太：小林千晃</t>
  </si>
  <si>
    <t>ノア：石橋陽彩</t>
  </si>
  <si>
    <t>夜舟章杜：堂島颯人</t>
  </si>
  <si>
    <t>鳳アキラ：豊永利行</t>
  </si>
  <si>
    <t>ウィル・スプラウト：近藤隆</t>
  </si>
  <si>
    <t>ブラッド・ビームス：羽多野渉</t>
  </si>
  <si>
    <t>オスカー・ベイル：佐藤拓也</t>
  </si>
  <si>
    <t>如月レン：石谷春貴</t>
  </si>
  <si>
    <t>ガスト・アドラー：日野聡</t>
  </si>
  <si>
    <t>ヴィクター・ヴァレンタイン：諏訪部順一</t>
  </si>
  <si>
    <t>マリオン・ブライス：小野賢章</t>
  </si>
  <si>
    <t>レオナルド・ライト・Jr：村瀬歩</t>
  </si>
  <si>
    <t>フェイス・ビームス：ランズベリー・アーサー</t>
  </si>
  <si>
    <t>キース・マックス：津田健次郎</t>
  </si>
  <si>
    <t>ディノ・アルバーニ：鈴村健一</t>
  </si>
  <si>
    <t>グレイ・リヴァース：岡本信彦</t>
  </si>
  <si>
    <t>ビリー・ワイズ：中島ヨシキ</t>
  </si>
  <si>
    <t>アッシュ・オルブライト：木村昴</t>
  </si>
  <si>
    <t>ジェイ・キッドマン：森川智之</t>
  </si>
  <si>
    <t>セイジ・スカイフォール：小林裕介</t>
  </si>
  <si>
    <t>ニコ：堀江瞬</t>
  </si>
  <si>
    <t>ジュード・アレス：鈴木崚汰</t>
  </si>
  <si>
    <t>ビアンキ・ロウ：田丸篤志</t>
  </si>
  <si>
    <t>師走駆：梶裕貴</t>
  </si>
  <si>
    <t>睦月始：鳥海浩輔</t>
  </si>
  <si>
    <t>如月恋：増田俊樹</t>
  </si>
  <si>
    <t>弥生春：前野智昭</t>
  </si>
  <si>
    <t>卯月新：細谷佳正</t>
  </si>
  <si>
    <t>皐月葵：KENN</t>
  </si>
  <si>
    <t>水無月涙：蒼井翔太</t>
  </si>
  <si>
    <t>文月海：羽多野渉</t>
  </si>
  <si>
    <t>葉月陽：柿原徹也</t>
  </si>
  <si>
    <t>長月夜：近藤隆</t>
  </si>
  <si>
    <t>神無月郁：小野賢章</t>
  </si>
  <si>
    <t>霜月隼：木村良平</t>
  </si>
  <si>
    <t>大原空：豊永利行</t>
  </si>
  <si>
    <t>在原守人：小野友樹</t>
  </si>
  <si>
    <t>神楽坂宗司：古川慎</t>
  </si>
  <si>
    <t>宗像廉：村田太志</t>
  </si>
  <si>
    <t>七瀬望：沢城千春</t>
  </si>
  <si>
    <t>衛藤昂輝：土岐隼一</t>
  </si>
  <si>
    <t>八重樫剣介：山谷祥生</t>
  </si>
  <si>
    <t>桜庭涼太：山下大輝</t>
  </si>
  <si>
    <t>藤村衛：寺島惇太</t>
  </si>
  <si>
    <t>篁志季：江口拓也</t>
  </si>
  <si>
    <t>奥井翼：斉藤壮馬</t>
  </si>
  <si>
    <t>世良里津花：花江夏樹</t>
  </si>
  <si>
    <t>村瀬大：梅原裕一郎</t>
  </si>
  <si>
    <t>和泉柊羽：武内駿輔</t>
  </si>
  <si>
    <t>堀宮英知：西山宏太朗</t>
  </si>
  <si>
    <t>久我壱星：仲村宗悟</t>
  </si>
  <si>
    <t>久我壱流：野上翔</t>
  </si>
  <si>
    <t>グリ：島﨑信長</t>
  </si>
  <si>
    <t>ビスJr.：平川大輔</t>
  </si>
  <si>
    <t>シュタイン：田丸篤志</t>
  </si>
  <si>
    <t>リーゼ：石川界人</t>
  </si>
  <si>
    <t>ディア：高橋英則</t>
  </si>
  <si>
    <t>眞宮孝明：新垣樽助</t>
  </si>
  <si>
    <t>吉良凰香：小林裕介</t>
  </si>
  <si>
    <t>築一紗：山中真尋</t>
  </si>
  <si>
    <t>築二葉：白井悠介</t>
  </si>
  <si>
    <t>大山直助：笹翼</t>
  </si>
  <si>
    <t>白瀬優馬：堀江瞬</t>
  </si>
  <si>
    <t>小野田翔：菊池幸利</t>
  </si>
  <si>
    <t>久慈川悠人：長谷川芳明</t>
  </si>
  <si>
    <t>天羽玲司：佐藤拓也</t>
  </si>
  <si>
    <t>立花歩：坂泰斗</t>
  </si>
  <si>
    <t>大黒岳：増元拓也</t>
  </si>
  <si>
    <t>名積ルカ：河本啓佑</t>
  </si>
  <si>
    <t>数寄川零：田所陽向</t>
  </si>
  <si>
    <t>御風呂庵：千葉瑞己</t>
  </si>
  <si>
    <t>ケイ：日野聡</t>
  </si>
  <si>
    <t>銀星：小林裕介</t>
  </si>
  <si>
    <t>夜光：河西健吾</t>
  </si>
  <si>
    <t>ソテツ：竹内良太</t>
  </si>
  <si>
    <t>ギィ：石川界人</t>
  </si>
  <si>
    <t>吉野：田丸篤志</t>
  </si>
  <si>
    <t>黒曜： 近藤隆</t>
  </si>
  <si>
    <t>晶：沖野晃司</t>
  </si>
  <si>
    <t>シン：津田健次郎</t>
  </si>
  <si>
    <t>鷹見：新垣樽助</t>
  </si>
  <si>
    <t>大牙：秋谷啓斗</t>
  </si>
  <si>
    <t>リンドウ：中島ヨシキ</t>
  </si>
  <si>
    <t>マイカ：村瀬歩</t>
  </si>
  <si>
    <t>メノウ：斉藤壮馬</t>
  </si>
  <si>
    <t>真珠：逢坂良太</t>
  </si>
  <si>
    <t>ネコメ：羽多野渉</t>
  </si>
  <si>
    <t>ミズキ：岡本信彦</t>
  </si>
  <si>
    <t>リコ：小笠原仁</t>
  </si>
  <si>
    <t>ヒース：井出卓也</t>
  </si>
  <si>
    <t>藍：阿部敦</t>
  </si>
  <si>
    <t>金剛：田所陽向</t>
  </si>
  <si>
    <t>ヒナタ：山下大輝</t>
  </si>
  <si>
    <t>柘榴：白井悠介</t>
  </si>
  <si>
    <t>玻璃：株元英彰</t>
  </si>
  <si>
    <t>カスミ：平川大輔</t>
  </si>
  <si>
    <t>青桐：八代拓</t>
  </si>
  <si>
    <t>一十木音也：寺島拓篤</t>
  </si>
  <si>
    <t>聖川真斗：鈴村健一</t>
  </si>
  <si>
    <t>四ノ宮那月：谷山紀章</t>
  </si>
  <si>
    <t>一ノ瀬トキヤ：宮野真守</t>
  </si>
  <si>
    <t>神宮寺レン：諏訪部順一</t>
  </si>
  <si>
    <t>来栖翔：下野紘</t>
  </si>
  <si>
    <t>愛島セシル：鳥海浩輔</t>
  </si>
  <si>
    <t>寿嶺二：森久保祥太郎</t>
  </si>
  <si>
    <t>黒崎蘭丸：鈴木達央</t>
  </si>
  <si>
    <t>美風藍：蒼井翔太</t>
  </si>
  <si>
    <t>カミュ：前野智昭</t>
  </si>
  <si>
    <t>鳳瑛一：緑川光</t>
  </si>
  <si>
    <t>皇綺羅：小野大輔</t>
  </si>
  <si>
    <t>帝ナギ：代永翼</t>
  </si>
  <si>
    <t>鳳瑛二：内田雄馬</t>
  </si>
  <si>
    <t>桐生院ヴァン：高橋英則</t>
  </si>
  <si>
    <t>日向大和：木村良平</t>
  </si>
  <si>
    <t>天草シオン：山下大輝</t>
  </si>
  <si>
    <t>愛童星夜：KENN</t>
  </si>
  <si>
    <t>湊奏多：井口祐一</t>
  </si>
  <si>
    <t>御剣晃：豊永利行</t>
  </si>
  <si>
    <t>枢木皐月：森久保祥太郎</t>
  </si>
  <si>
    <t>枢木睦月：近藤隆</t>
  </si>
  <si>
    <t>ノア：花江夏樹</t>
  </si>
  <si>
    <t>レオン：増田俊樹</t>
  </si>
  <si>
    <t>黎朝陽：榎木淳弥</t>
  </si>
  <si>
    <t>ラビ：中西尚也</t>
  </si>
  <si>
    <t>リュカ：梅原裕一郎</t>
  </si>
  <si>
    <t>日下部虎彦：生田鷹司</t>
  </si>
  <si>
    <t>桃井恭介：花倉桔道</t>
  </si>
  <si>
    <t>鳶倉アキヲ：田丸篤志</t>
  </si>
  <si>
    <t>海部子規：谷地克文</t>
  </si>
  <si>
    <t>折原輝：松岡禎丞</t>
  </si>
  <si>
    <t>若王子楽：平川大輔</t>
  </si>
  <si>
    <t>華房心：村瀬歩</t>
  </si>
  <si>
    <t>神楽坂ルナ：天﨑滉平</t>
  </si>
  <si>
    <t>及川桃助：山本和臣</t>
  </si>
  <si>
    <t>轟一誠：前野智昭</t>
  </si>
  <si>
    <t>赤羽根双海：内田雄馬</t>
  </si>
  <si>
    <t>三千院鷹通：白井悠介</t>
  </si>
  <si>
    <t>エヴァ・アームストロング：下野紘</t>
  </si>
  <si>
    <t>山野辺澪：柿原徹也</t>
  </si>
  <si>
    <t>十文字蛮：下妻由幸</t>
  </si>
  <si>
    <t>竜胆椿：小野友樹</t>
  </si>
  <si>
    <t>朴木十夜：峰岸佳</t>
  </si>
  <si>
    <t>斑尾巽：斉藤壮馬</t>
  </si>
  <si>
    <t>杜若葵：木村良平</t>
  </si>
  <si>
    <t>夜鶴黒羽：小林裕介</t>
  </si>
  <si>
    <t>麗朔空：西山宏太朗</t>
  </si>
  <si>
    <t>バベル：たくみ靖明</t>
  </si>
  <si>
    <t>ハルリット：梶原岳人</t>
  </si>
  <si>
    <t>メロルド：林勇</t>
  </si>
  <si>
    <t>プルース：寺島拓篤</t>
  </si>
  <si>
    <t>ロマリシュ：土岐隼一</t>
  </si>
  <si>
    <t>リミチャ：日向朔公</t>
  </si>
  <si>
    <t>サナー：仲村宗悟</t>
  </si>
  <si>
    <t>シエロモート：島﨑信長</t>
  </si>
  <si>
    <t>クロード：坂田将吾</t>
  </si>
  <si>
    <t>ウィルメッシュ：千葉翔也</t>
  </si>
  <si>
    <t>クラークステラ：三上瑛士</t>
  </si>
  <si>
    <t>ルタールステラ：榊原優希</t>
  </si>
  <si>
    <t>ミュンナ：徳留慎乃佑</t>
  </si>
  <si>
    <t>バドバルマ：武内駿輔</t>
  </si>
  <si>
    <t>チャコ：小笠原仁</t>
  </si>
  <si>
    <t>アルペック：畠中祐</t>
  </si>
  <si>
    <t>タッサム：村瀬歩</t>
  </si>
  <si>
    <t>ハンギョン：松岡洋平</t>
  </si>
  <si>
    <t>ピケロ：町本成史</t>
  </si>
  <si>
    <t>青山樹：杉田智和</t>
  </si>
  <si>
    <t>今大路峻：浪川大輔</t>
  </si>
  <si>
    <t>夏目春：梶裕貴</t>
  </si>
  <si>
    <t>関大輔：前野智昭</t>
  </si>
  <si>
    <t>渡部悟：鳥海浩輔</t>
  </si>
  <si>
    <t>由井孝太郎：花江夏樹</t>
  </si>
  <si>
    <t>荒木田蒼生：高塚智人</t>
  </si>
  <si>
    <t>朝霧司：柿原徹也</t>
  </si>
  <si>
    <t>服部耀：江口拓也</t>
  </si>
  <si>
    <t>菅野夏樹：山谷祥生</t>
  </si>
  <si>
    <t>桧山貴臣：白井悠介</t>
  </si>
  <si>
    <t>神楽亜貴：山下誠一郎</t>
  </si>
  <si>
    <t>槙慶太：八代拓</t>
  </si>
  <si>
    <t>大谷羽鳥：内田雄馬</t>
  </si>
  <si>
    <t>都築京介：西山宏太朗</t>
  </si>
  <si>
    <t>都築誠：武内駿輔</t>
  </si>
  <si>
    <t>山崎カナメ：山下大輝</t>
  </si>
  <si>
    <t>桐嶋宏弥：中島ヨシキ</t>
  </si>
  <si>
    <t>九条壮馬：沢城千春</t>
  </si>
  <si>
    <t>宮瀬豪：梅原裕一郎</t>
  </si>
  <si>
    <t>新堂清志：増田俊樹</t>
  </si>
  <si>
    <t>可愛ひかる：下野紘</t>
  </si>
  <si>
    <t>宝生潔：斉藤壮馬</t>
  </si>
  <si>
    <t>日向志音：KENN</t>
  </si>
  <si>
    <t>早乙女郁人：細谷佳正</t>
  </si>
  <si>
    <t>瀬尾鳴海：子安武人</t>
  </si>
  <si>
    <r>
      <t>天ヶ瀬冬馬：</t>
    </r>
    <r>
      <rPr>
        <u/>
        <sz val="11"/>
        <color rgb="FF1155CC"/>
        <rFont val="Arial,sans-serif"/>
      </rPr>
      <t>寺島拓篤</t>
    </r>
  </si>
  <si>
    <r>
      <t>伊集院北斗：</t>
    </r>
    <r>
      <rPr>
        <u/>
        <sz val="11"/>
        <color rgb="FF1155CC"/>
        <rFont val="Arial,sans-serif"/>
      </rPr>
      <t>神原大地</t>
    </r>
  </si>
  <si>
    <r>
      <t>御手洗翔太：</t>
    </r>
    <r>
      <rPr>
        <u/>
        <sz val="11"/>
        <color rgb="FF1155CC"/>
        <rFont val="Arial,sans-serif"/>
      </rPr>
      <t>松岡禎丞</t>
    </r>
  </si>
  <si>
    <r>
      <t>天道輝：</t>
    </r>
    <r>
      <rPr>
        <u/>
        <sz val="11"/>
        <color rgb="FF1155CC"/>
        <rFont val="Arial,sans-serif"/>
      </rPr>
      <t>仲村宗悟</t>
    </r>
  </si>
  <si>
    <r>
      <t>桜庭薫：</t>
    </r>
    <r>
      <rPr>
        <u/>
        <sz val="11"/>
        <color rgb="FF1155CC"/>
        <rFont val="Arial,sans-serif"/>
      </rPr>
      <t>内田雄馬</t>
    </r>
  </si>
  <si>
    <r>
      <t>柏木翼：</t>
    </r>
    <r>
      <rPr>
        <u/>
        <sz val="11"/>
        <color rgb="FF1155CC"/>
        <rFont val="Arial,sans-serif"/>
      </rPr>
      <t>八代拓</t>
    </r>
  </si>
  <si>
    <r>
      <t>鷹城恭二：</t>
    </r>
    <r>
      <rPr>
        <u/>
        <sz val="11"/>
        <color rgb="FF1155CC"/>
        <rFont val="Arial,sans-serif"/>
      </rPr>
      <t>梅原裕一郎</t>
    </r>
  </si>
  <si>
    <r>
      <t>ピエール：</t>
    </r>
    <r>
      <rPr>
        <u/>
        <sz val="11"/>
        <color rgb="FF1155CC"/>
        <rFont val="Arial,sans-serif"/>
      </rPr>
      <t>堀江瞬</t>
    </r>
  </si>
  <si>
    <r>
      <t>渡辺みのり：</t>
    </r>
    <r>
      <rPr>
        <u/>
        <sz val="11"/>
        <color rgb="FF1155CC"/>
        <rFont val="Arial,sans-serif"/>
      </rPr>
      <t>高塚智人</t>
    </r>
  </si>
  <si>
    <r>
      <t>伊瀬谷四季：</t>
    </r>
    <r>
      <rPr>
        <u/>
        <sz val="11"/>
        <color rgb="FF1155CC"/>
        <rFont val="Arial,sans-serif"/>
      </rPr>
      <t>野上翔</t>
    </r>
  </si>
  <si>
    <r>
      <t>秋山隼人：</t>
    </r>
    <r>
      <rPr>
        <u/>
        <sz val="11"/>
        <color rgb="FF1155CC"/>
        <rFont val="Arial,sans-serif"/>
      </rPr>
      <t>千葉翔也</t>
    </r>
  </si>
  <si>
    <r>
      <t>若里春名：</t>
    </r>
    <r>
      <rPr>
        <u/>
        <sz val="11"/>
        <color rgb="FF1155CC"/>
        <rFont val="Arial,sans-serif"/>
      </rPr>
      <t>白井悠介</t>
    </r>
  </si>
  <si>
    <r>
      <t>冬美旬：</t>
    </r>
    <r>
      <rPr>
        <u/>
        <sz val="11"/>
        <color rgb="FF1155CC"/>
        <rFont val="Arial,sans-serif"/>
      </rPr>
      <t>永塚拓馬</t>
    </r>
  </si>
  <si>
    <r>
      <t>榊夏来：</t>
    </r>
    <r>
      <rPr>
        <u/>
        <sz val="11"/>
        <color rgb="FF1155CC"/>
        <rFont val="Arial,sans-serif"/>
      </rPr>
      <t>渡辺紘</t>
    </r>
  </si>
  <si>
    <r>
      <t>蒼井享介：</t>
    </r>
    <r>
      <rPr>
        <u/>
        <sz val="11"/>
        <color rgb="FF1155CC"/>
        <rFont val="Arial,sans-serif"/>
      </rPr>
      <t>山谷祥生</t>
    </r>
  </si>
  <si>
    <r>
      <t>蒼井悠介：</t>
    </r>
    <r>
      <rPr>
        <u/>
        <sz val="11"/>
        <color rgb="FF1155CC"/>
        <rFont val="Arial,sans-serif"/>
      </rPr>
      <t>菊池勇成</t>
    </r>
  </si>
  <si>
    <r>
      <t>硲道夫：</t>
    </r>
    <r>
      <rPr>
        <u/>
        <sz val="11"/>
        <color rgb="FF1155CC"/>
        <rFont val="Arial,sans-serif"/>
      </rPr>
      <t>伊東健人</t>
    </r>
  </si>
  <si>
    <r>
      <t>舞田類：</t>
    </r>
    <r>
      <rPr>
        <u/>
        <sz val="11"/>
        <color rgb="FF1155CC"/>
        <rFont val="Arial,sans-serif"/>
      </rPr>
      <t>榎木淳弥</t>
    </r>
  </si>
  <si>
    <r>
      <t>山下次郎：</t>
    </r>
    <r>
      <rPr>
        <u/>
        <sz val="11"/>
        <color rgb="FF1155CC"/>
        <rFont val="Arial,sans-serif"/>
      </rPr>
      <t>中島ヨシキ</t>
    </r>
  </si>
  <si>
    <r>
      <t>華村翔真：</t>
    </r>
    <r>
      <rPr>
        <u/>
        <sz val="11"/>
        <color rgb="FF1155CC"/>
        <rFont val="Arial,sans-serif"/>
      </rPr>
      <t>バレッタ裕</t>
    </r>
  </si>
  <si>
    <r>
      <t>猫柳キリオ：</t>
    </r>
    <r>
      <rPr>
        <u/>
        <sz val="11"/>
        <color rgb="FF1155CC"/>
        <rFont val="Arial,sans-serif"/>
      </rPr>
      <t>山下大輝</t>
    </r>
  </si>
  <si>
    <r>
      <t>清澄九郎：</t>
    </r>
    <r>
      <rPr>
        <u/>
        <sz val="11"/>
        <color rgb="FF1155CC"/>
        <rFont val="Arial,sans-serif"/>
      </rPr>
      <t>中田祐矢</t>
    </r>
  </si>
  <si>
    <r>
      <t>握野英雄：</t>
    </r>
    <r>
      <rPr>
        <u/>
        <sz val="11"/>
        <color rgb="FF1155CC"/>
        <rFont val="Arial,sans-serif"/>
      </rPr>
      <t>熊谷健太郎</t>
    </r>
  </si>
  <si>
    <r>
      <t>木村龍：</t>
    </r>
    <r>
      <rPr>
        <u/>
        <sz val="11"/>
        <color rgb="FF1155CC"/>
        <rFont val="Arial,sans-serif"/>
      </rPr>
      <t>濱健人</t>
    </r>
  </si>
  <si>
    <r>
      <t>信玄誠司：</t>
    </r>
    <r>
      <rPr>
        <u/>
        <sz val="11"/>
        <color rgb="FF1155CC"/>
        <rFont val="Arial,sans-serif"/>
      </rPr>
      <t>増元拓也</t>
    </r>
  </si>
  <si>
    <r>
      <t>紅井朱雀：</t>
    </r>
    <r>
      <rPr>
        <u/>
        <sz val="11"/>
        <color rgb="FF1155CC"/>
        <rFont val="Arial,sans-serif"/>
      </rPr>
      <t>益山武明</t>
    </r>
  </si>
  <si>
    <r>
      <t>黒野玄武：</t>
    </r>
    <r>
      <rPr>
        <u/>
        <sz val="11"/>
        <color rgb="FF1155CC"/>
        <rFont val="Arial,sans-serif"/>
      </rPr>
      <t>深町寿成</t>
    </r>
  </si>
  <si>
    <r>
      <t>神谷幸広：</t>
    </r>
    <r>
      <rPr>
        <u/>
        <sz val="11"/>
        <color rgb="FF1155CC"/>
        <rFont val="Arial,sans-serif"/>
      </rPr>
      <t>狩野翔</t>
    </r>
  </si>
  <si>
    <r>
      <t>東雲荘一郎：</t>
    </r>
    <r>
      <rPr>
        <u/>
        <sz val="11"/>
        <color rgb="FF1155CC"/>
        <rFont val="Arial,sans-serif"/>
      </rPr>
      <t>天﨑滉平</t>
    </r>
  </si>
  <si>
    <r>
      <t>アスラン=ベルゼビュートII世：</t>
    </r>
    <r>
      <rPr>
        <u/>
        <sz val="11"/>
        <color rgb="FF1155CC"/>
        <rFont val="Arial,sans-serif"/>
      </rPr>
      <t>古川慎</t>
    </r>
  </si>
  <si>
    <r>
      <t>卯月巻緒：</t>
    </r>
    <r>
      <rPr>
        <u/>
        <sz val="11"/>
        <color rgb="FF1155CC"/>
        <rFont val="Arial,sans-serif"/>
      </rPr>
      <t>児玉卓也</t>
    </r>
  </si>
  <si>
    <r>
      <t>水嶋咲：</t>
    </r>
    <r>
      <rPr>
        <u/>
        <sz val="11"/>
        <color rgb="FF1155CC"/>
        <rFont val="Arial,sans-serif"/>
      </rPr>
      <t>小林大紀</t>
    </r>
  </si>
  <si>
    <r>
      <t>神楽麗：</t>
    </r>
    <r>
      <rPr>
        <u/>
        <sz val="11"/>
        <color rgb="FF1155CC"/>
        <rFont val="Arial,sans-serif"/>
      </rPr>
      <t>永野由祐</t>
    </r>
  </si>
  <si>
    <r>
      <t>都築圭：</t>
    </r>
    <r>
      <rPr>
        <u/>
        <sz val="11"/>
        <color rgb="FF1155CC"/>
        <rFont val="Arial,sans-serif"/>
      </rPr>
      <t>土岐隼一</t>
    </r>
  </si>
  <si>
    <r>
      <t>大河タケル：</t>
    </r>
    <r>
      <rPr>
        <u/>
        <sz val="11"/>
        <color rgb="FF1155CC"/>
        <rFont val="Arial,sans-serif"/>
      </rPr>
      <t>寺島惇太</t>
    </r>
  </si>
  <si>
    <r>
      <t>牙崎漣：</t>
    </r>
    <r>
      <rPr>
        <u/>
        <sz val="11"/>
        <color rgb="FF1155CC"/>
        <rFont val="Arial,sans-serif"/>
      </rPr>
      <t>小松昌平</t>
    </r>
  </si>
  <si>
    <r>
      <t>円城寺道流：</t>
    </r>
    <r>
      <rPr>
        <u/>
        <sz val="11"/>
        <color rgb="FF1155CC"/>
        <rFont val="Arial,sans-serif"/>
      </rPr>
      <t>濱野大輝</t>
    </r>
  </si>
  <si>
    <r>
      <t>岡村直央：</t>
    </r>
    <r>
      <rPr>
        <u/>
        <sz val="11"/>
        <color rgb="FF1155CC"/>
        <rFont val="Arial,sans-serif"/>
      </rPr>
      <t>矢野奨吾</t>
    </r>
  </si>
  <si>
    <r>
      <t>橘志狼：</t>
    </r>
    <r>
      <rPr>
        <u/>
        <sz val="11"/>
        <color rgb="FF1155CC"/>
        <rFont val="Arial,sans-serif"/>
      </rPr>
      <t>古畑恵介</t>
    </r>
  </si>
  <si>
    <r>
      <t>姫野かのん：</t>
    </r>
    <r>
      <rPr>
        <u/>
        <sz val="11"/>
        <color rgb="FF1155CC"/>
        <rFont val="Arial,sans-serif"/>
      </rPr>
      <t>伊能幸輝</t>
    </r>
  </si>
  <si>
    <r>
      <t>九十九一希：</t>
    </r>
    <r>
      <rPr>
        <u/>
        <sz val="11"/>
        <color rgb="FF1155CC"/>
        <rFont val="Arial,sans-serif"/>
      </rPr>
      <t>比留間俊哉</t>
    </r>
  </si>
  <si>
    <r>
      <t>兜大吾：</t>
    </r>
    <r>
      <rPr>
        <u/>
        <sz val="11"/>
        <color rgb="FF1155CC"/>
        <rFont val="Arial,sans-serif"/>
      </rPr>
      <t>浦尾岳大</t>
    </r>
  </si>
  <si>
    <r>
      <t>葛之葉雨彦：</t>
    </r>
    <r>
      <rPr>
        <u/>
        <sz val="11"/>
        <color rgb="FF1155CC"/>
        <rFont val="Arial,sans-serif"/>
      </rPr>
      <t>笠間淳</t>
    </r>
  </si>
  <si>
    <r>
      <t>北村想楽：</t>
    </r>
    <r>
      <rPr>
        <u/>
        <sz val="11"/>
        <color rgb="FF1155CC"/>
        <rFont val="Arial,sans-serif"/>
      </rPr>
      <t>汐谷文康</t>
    </r>
  </si>
  <si>
    <r>
      <t>古論クリス：</t>
    </r>
    <r>
      <rPr>
        <u/>
        <sz val="11"/>
        <color rgb="FF1155CC"/>
        <rFont val="Arial,sans-serif"/>
      </rPr>
      <t>駒田航</t>
    </r>
  </si>
  <si>
    <r>
      <t>天峰秀：</t>
    </r>
    <r>
      <rPr>
        <u/>
        <sz val="11"/>
        <color rgb="FF1155CC"/>
        <rFont val="Arial,sans-serif"/>
      </rPr>
      <t>伊瀬結陸</t>
    </r>
  </si>
  <si>
    <r>
      <t>花園百々人：</t>
    </r>
    <r>
      <rPr>
        <u/>
        <sz val="11"/>
        <color rgb="FF1155CC"/>
        <rFont val="Arial,sans-serif"/>
      </rPr>
      <t>宮﨑雅也</t>
    </r>
  </si>
  <si>
    <r>
      <t>眉見鋭心：</t>
    </r>
    <r>
      <rPr>
        <u/>
        <sz val="11"/>
        <color rgb="FF1155CC"/>
        <rFont val="Arial,sans-serif"/>
      </rPr>
      <t>大塚剛央</t>
    </r>
  </si>
  <si>
    <r>
      <t>一条シン：</t>
    </r>
    <r>
      <rPr>
        <u/>
        <sz val="11"/>
        <color rgb="FF1155CC"/>
        <rFont val="Arial,sans-serif"/>
      </rPr>
      <t>寺島惇太</t>
    </r>
  </si>
  <si>
    <r>
      <t>太刀花ユキノジョウ：</t>
    </r>
    <r>
      <rPr>
        <u/>
        <sz val="11"/>
        <color rgb="FF1155CC"/>
        <rFont val="Arial,sans-serif"/>
      </rPr>
      <t>斉藤壮馬</t>
    </r>
  </si>
  <si>
    <r>
      <t>香賀美タイガ：</t>
    </r>
    <r>
      <rPr>
        <u/>
        <sz val="11"/>
        <color rgb="FF1155CC"/>
        <rFont val="Arial,sans-serif"/>
      </rPr>
      <t>畠中祐</t>
    </r>
  </si>
  <si>
    <r>
      <t>十王院カケル：</t>
    </r>
    <r>
      <rPr>
        <u/>
        <sz val="11"/>
        <color rgb="FF1155CC"/>
        <rFont val="Arial,sans-serif"/>
      </rPr>
      <t>八代拓</t>
    </r>
  </si>
  <si>
    <r>
      <t>鷹梁ミナト：</t>
    </r>
    <r>
      <rPr>
        <u/>
        <sz val="11"/>
        <color rgb="FF1155CC"/>
        <rFont val="Arial,sans-serif"/>
      </rPr>
      <t>五十嵐雅</t>
    </r>
  </si>
  <si>
    <r>
      <t>西園寺レオ：</t>
    </r>
    <r>
      <rPr>
        <u/>
        <sz val="11"/>
        <color rgb="FF1155CC"/>
        <rFont val="Arial,sans-serif"/>
      </rPr>
      <t>永塚拓馬</t>
    </r>
  </si>
  <si>
    <r>
      <t>涼野ユウ：</t>
    </r>
    <r>
      <rPr>
        <u/>
        <sz val="11"/>
        <color rgb="FF1155CC"/>
        <rFont val="Arial,sans-serif"/>
      </rPr>
      <t>内田雄馬</t>
    </r>
  </si>
  <si>
    <r>
      <t>如月ルヰ：</t>
    </r>
    <r>
      <rPr>
        <u/>
        <sz val="11"/>
        <color rgb="FF1155CC"/>
        <rFont val="Arial,sans-serif"/>
      </rPr>
      <t>蒼井翔太</t>
    </r>
  </si>
  <si>
    <r>
      <t>大和アレクサンダー：</t>
    </r>
    <r>
      <rPr>
        <u/>
        <sz val="11"/>
        <color rgb="FF1155CC"/>
        <rFont val="Arial,sans-serif"/>
      </rPr>
      <t>武内駿輔</t>
    </r>
  </si>
  <si>
    <r>
      <t>高田馬場ジョージ：</t>
    </r>
    <r>
      <rPr>
        <u/>
        <sz val="11"/>
        <color rgb="FF1155CC"/>
        <rFont val="Arial,sans-serif"/>
      </rPr>
      <t>杉田智和</t>
    </r>
  </si>
  <si>
    <r>
      <t>神浜コウジ：</t>
    </r>
    <r>
      <rPr>
        <u/>
        <sz val="11"/>
        <color rgb="FF1155CC"/>
        <rFont val="Arial,sans-serif"/>
      </rPr>
      <t>柿原徹也</t>
    </r>
  </si>
  <si>
    <r>
      <t>速水ヒロ：</t>
    </r>
    <r>
      <rPr>
        <u/>
        <sz val="11"/>
        <color rgb="FF1155CC"/>
        <rFont val="Arial,sans-serif"/>
      </rPr>
      <t>前野智昭</t>
    </r>
  </si>
  <si>
    <r>
      <t>仁科カヅキ：</t>
    </r>
    <r>
      <rPr>
        <u/>
        <sz val="11"/>
        <color rgb="FF1155CC"/>
        <rFont val="Arial,sans-serif"/>
      </rPr>
      <t>増田俊樹</t>
    </r>
  </si>
  <si>
    <r>
      <t>法月仁：</t>
    </r>
    <r>
      <rPr>
        <u/>
        <sz val="11"/>
        <color rgb="FF1155CC"/>
        <rFont val="Arial,sans-serif"/>
      </rPr>
      <t>三木眞一郎</t>
    </r>
  </si>
  <si>
    <r>
      <t>氷室聖：</t>
    </r>
    <r>
      <rPr>
        <u/>
        <sz val="11"/>
        <color rgb="FF1155CC"/>
        <rFont val="Arial,sans-serif"/>
      </rPr>
      <t>関俊彦</t>
    </r>
  </si>
  <si>
    <r>
      <t>黒川冷：</t>
    </r>
    <r>
      <rPr>
        <u/>
        <sz val="11"/>
        <color rgb="FF1155CC"/>
        <rFont val="Arial,sans-serif"/>
      </rPr>
      <t>森久保祥太郎</t>
    </r>
  </si>
  <si>
    <r>
      <t>山田リョウ：</t>
    </r>
    <r>
      <rPr>
        <u/>
        <sz val="11"/>
        <color rgb="FF1155CC"/>
        <rFont val="Arial,sans-serif"/>
      </rPr>
      <t>浪川大輔</t>
    </r>
  </si>
  <si>
    <r>
      <t>夢川ショウゴ：</t>
    </r>
    <r>
      <rPr>
        <u/>
        <sz val="11"/>
        <color rgb="FF1155CC"/>
        <rFont val="Arial,sans-serif"/>
      </rPr>
      <t>山下誠一郎</t>
    </r>
  </si>
  <si>
    <r>
      <t>三鷹アサヒ：</t>
    </r>
    <r>
      <rPr>
        <u/>
        <sz val="11"/>
        <color rgb="FF1155CC"/>
        <rFont val="Arial,sans-serif"/>
      </rPr>
      <t>小林竜之</t>
    </r>
  </si>
  <si>
    <r>
      <t>高瀬コヨイ：</t>
    </r>
    <r>
      <rPr>
        <u/>
        <sz val="11"/>
        <color rgb="FF1155CC"/>
        <rFont val="Arial,sans-serif"/>
      </rPr>
      <t>土田玲央</t>
    </r>
  </si>
  <si>
    <r>
      <t>大江戸シンヤ：</t>
    </r>
    <r>
      <rPr>
        <u/>
        <sz val="11"/>
        <color rgb="FF1155CC"/>
        <rFont val="Arial,sans-serif"/>
      </rPr>
      <t>河合健太郎</t>
    </r>
  </si>
  <si>
    <r>
      <t>ウシミツ：</t>
    </r>
    <r>
      <rPr>
        <u/>
        <sz val="11"/>
        <color rgb="FF1155CC"/>
        <rFont val="Arial,sans-serif"/>
      </rPr>
      <t>鵜澤正太郎</t>
    </r>
  </si>
  <si>
    <r>
      <t>マリオ：</t>
    </r>
    <r>
      <rPr>
        <u/>
        <sz val="11"/>
        <color rgb="FF1155CC"/>
        <rFont val="Arial,sans-serif"/>
      </rPr>
      <t>橘龍丸</t>
    </r>
  </si>
  <si>
    <r>
      <t>三枝タカヤ：</t>
    </r>
    <r>
      <rPr>
        <u/>
        <sz val="11"/>
        <color rgb="FF1155CC"/>
        <rFont val="Arial,sans-serif"/>
      </rPr>
      <t>浦田わたる</t>
    </r>
  </si>
  <si>
    <r>
      <t>花倉アユミ：</t>
    </r>
    <r>
      <rPr>
        <u/>
        <sz val="11"/>
        <color rgb="FF1155CC"/>
        <rFont val="Arial,sans-serif"/>
      </rPr>
      <t>天月</t>
    </r>
  </si>
  <si>
    <r>
      <t>伊吹橙真：</t>
    </r>
    <r>
      <rPr>
        <u/>
        <sz val="11"/>
        <color rgb="FF1155CC"/>
        <rFont val="Arial,sans-serif"/>
      </rPr>
      <t>梶原岳人</t>
    </r>
  </si>
  <si>
    <r>
      <t>ひゅーい：</t>
    </r>
    <r>
      <rPr>
        <u/>
        <sz val="11"/>
        <color rgb="FF1155CC"/>
        <rFont val="Arial,sans-serif"/>
      </rPr>
      <t>田丸篤志</t>
    </r>
  </si>
  <si>
    <r>
      <t>ショウ：</t>
    </r>
    <r>
      <rPr>
        <u/>
        <sz val="11"/>
        <color rgb="FF1155CC"/>
        <rFont val="Arial,sans-serif"/>
      </rPr>
      <t>近藤隆</t>
    </r>
  </si>
  <si>
    <r>
      <t>ヒビキ：</t>
    </r>
    <r>
      <rPr>
        <u/>
        <sz val="11"/>
        <color rgb="FF1155CC"/>
        <rFont val="Arial,sans-serif"/>
      </rPr>
      <t>KENN</t>
    </r>
  </si>
  <si>
    <r>
      <t>ワタル：</t>
    </r>
    <r>
      <rPr>
        <u/>
        <sz val="11"/>
        <color rgb="FF1155CC"/>
        <rFont val="Arial,sans-serif"/>
      </rPr>
      <t>岡本信彦</t>
    </r>
  </si>
  <si>
    <r>
      <t>葉月珪：</t>
    </r>
    <r>
      <rPr>
        <u/>
        <sz val="11"/>
        <color rgb="FF1155CC"/>
        <rFont val="Arial,sans-serif"/>
      </rPr>
      <t>緑川光</t>
    </r>
  </si>
  <si>
    <r>
      <t>守村桜弥：</t>
    </r>
    <r>
      <rPr>
        <u/>
        <sz val="11"/>
        <color rgb="FF1155CC"/>
        <rFont val="Arial,sans-serif"/>
      </rPr>
      <t>石田彰</t>
    </r>
  </si>
  <si>
    <r>
      <t>三原色：</t>
    </r>
    <r>
      <rPr>
        <u/>
        <sz val="11"/>
        <color rgb="FF1155CC"/>
        <rFont val="Arial,sans-serif"/>
      </rPr>
      <t>三木眞一郎</t>
    </r>
  </si>
  <si>
    <r>
      <t>姫条まどか：</t>
    </r>
    <r>
      <rPr>
        <u/>
        <sz val="11"/>
        <color rgb="FF1155CC"/>
        <rFont val="Arial,sans-serif"/>
      </rPr>
      <t>置鮎龍太郎</t>
    </r>
  </si>
  <si>
    <r>
      <t>鈴鹿和馬：</t>
    </r>
    <r>
      <rPr>
        <u/>
        <sz val="11"/>
        <color rgb="FF1155CC"/>
        <rFont val="Arial,sans-serif"/>
      </rPr>
      <t>檜山修之</t>
    </r>
  </si>
  <si>
    <r>
      <t>日比谷渉：</t>
    </r>
    <r>
      <rPr>
        <u/>
        <sz val="11"/>
        <color rgb="FF1155CC"/>
        <rFont val="Arial,sans-serif"/>
      </rPr>
      <t>山口勝平</t>
    </r>
  </si>
  <si>
    <r>
      <t>氷室零一：</t>
    </r>
    <r>
      <rPr>
        <u/>
        <sz val="11"/>
        <color rgb="FF1155CC"/>
        <rFont val="Arial,sans-serif"/>
      </rPr>
      <t>子安武人</t>
    </r>
  </si>
  <si>
    <r>
      <t>天之橋一鶴：</t>
    </r>
    <r>
      <rPr>
        <u/>
        <sz val="11"/>
        <color rgb="FF1155CC"/>
        <rFont val="Arial,sans-serif"/>
      </rPr>
      <t>小杉十郎太</t>
    </r>
  </si>
  <si>
    <r>
      <t>蒼樹千晴：</t>
    </r>
    <r>
      <rPr>
        <u/>
        <sz val="11"/>
        <color rgb="FF1155CC"/>
        <rFont val="Arial,sans-serif"/>
      </rPr>
      <t>森久保祥太郎</t>
    </r>
  </si>
  <si>
    <r>
      <t>天童壬：</t>
    </r>
    <r>
      <rPr>
        <u/>
        <sz val="11"/>
        <color rgb="FF1155CC"/>
        <rFont val="Arial,sans-serif"/>
      </rPr>
      <t>保志総一朗</t>
    </r>
  </si>
  <si>
    <r>
      <t>佐伯瑛：</t>
    </r>
    <r>
      <rPr>
        <u/>
        <sz val="11"/>
        <color rgb="FF1155CC"/>
        <rFont val="Arial,sans-serif"/>
      </rPr>
      <t>森田成一</t>
    </r>
  </si>
  <si>
    <r>
      <t>志波勝己：</t>
    </r>
    <r>
      <rPr>
        <u/>
        <sz val="11"/>
        <color rgb="FF1155CC"/>
        <rFont val="Arial,sans-serif"/>
      </rPr>
      <t>中井和哉</t>
    </r>
  </si>
  <si>
    <r>
      <t>氷上格：</t>
    </r>
    <r>
      <rPr>
        <u/>
        <sz val="11"/>
        <color rgb="FF1155CC"/>
        <rFont val="Arial,sans-serif"/>
      </rPr>
      <t>鈴木千尋</t>
    </r>
  </si>
  <si>
    <r>
      <t>針谷幸之進：</t>
    </r>
    <r>
      <rPr>
        <u/>
        <sz val="11"/>
        <color rgb="FF1155CC"/>
        <rFont val="Arial,sans-serif"/>
      </rPr>
      <t>鈴村健一</t>
    </r>
  </si>
  <si>
    <r>
      <t>クリストファー・ウェザーフィールド：</t>
    </r>
    <r>
      <rPr>
        <u/>
        <sz val="11"/>
        <color rgb="FF1155CC"/>
        <rFont val="Arial,sans-serif"/>
      </rPr>
      <t>神原大地</t>
    </r>
  </si>
  <si>
    <t>天地翔太：成瀬誠</t>
  </si>
  <si>
    <r>
      <t>若王子貴文：</t>
    </r>
    <r>
      <rPr>
        <u/>
        <sz val="11"/>
        <color rgb="FF1155CC"/>
        <rFont val="Arial,sans-serif"/>
      </rPr>
      <t>森川智之</t>
    </r>
  </si>
  <si>
    <r>
      <t>真咲元春：</t>
    </r>
    <r>
      <rPr>
        <u/>
        <sz val="11"/>
        <color rgb="FF1155CC"/>
        <rFont val="Arial,sans-serif"/>
      </rPr>
      <t>うえだゆうじ</t>
    </r>
  </si>
  <si>
    <r>
      <t>赤城一雪：</t>
    </r>
    <r>
      <rPr>
        <u/>
        <sz val="11"/>
        <color rgb="FF1155CC"/>
        <rFont val="Arial,sans-serif"/>
      </rPr>
      <t>野島健児</t>
    </r>
  </si>
  <si>
    <r>
      <t>桜井琉夏：</t>
    </r>
    <r>
      <rPr>
        <u/>
        <sz val="11"/>
        <color rgb="FF1155CC"/>
        <rFont val="Arial,sans-serif"/>
      </rPr>
      <t>杉田智和</t>
    </r>
  </si>
  <si>
    <r>
      <t>桜井琥一：</t>
    </r>
    <r>
      <rPr>
        <u/>
        <sz val="11"/>
        <color rgb="FF1155CC"/>
        <rFont val="Arial,sans-serif"/>
      </rPr>
      <t>諏訪部順一</t>
    </r>
  </si>
  <si>
    <r>
      <t>不二山嵐：</t>
    </r>
    <r>
      <rPr>
        <u/>
        <sz val="11"/>
        <color rgb="FF1155CC"/>
        <rFont val="Arial,sans-serif"/>
      </rPr>
      <t>宮下栄治</t>
    </r>
  </si>
  <si>
    <r>
      <t>新名旬平：</t>
    </r>
    <r>
      <rPr>
        <u/>
        <sz val="11"/>
        <color rgb="FF1155CC"/>
        <rFont val="Arial,sans-serif"/>
      </rPr>
      <t>私市淳</t>
    </r>
  </si>
  <si>
    <r>
      <t>紺野玉緒：</t>
    </r>
    <r>
      <rPr>
        <u/>
        <sz val="11"/>
        <color rgb="FF1155CC"/>
        <rFont val="Arial,sans-serif"/>
      </rPr>
      <t>千葉進歩</t>
    </r>
  </si>
  <si>
    <r>
      <t>設楽聖司：</t>
    </r>
    <r>
      <rPr>
        <u/>
        <sz val="11"/>
        <color rgb="FF1155CC"/>
        <rFont val="Arial,sans-serif"/>
      </rPr>
      <t>立花慎之介</t>
    </r>
  </si>
  <si>
    <r>
      <t>平健太：</t>
    </r>
    <r>
      <rPr>
        <u/>
        <sz val="11"/>
        <color rgb="FF1155CC"/>
        <rFont val="Arial,sans-serif"/>
      </rPr>
      <t>菅沼久義</t>
    </r>
  </si>
  <si>
    <r>
      <t>風真玲太：</t>
    </r>
    <r>
      <rPr>
        <u/>
        <sz val="11"/>
        <color rgb="FF1155CC"/>
        <rFont val="Arial,sans-serif"/>
      </rPr>
      <t>梶裕貴</t>
    </r>
  </si>
  <si>
    <r>
      <t>颯砂希：</t>
    </r>
    <r>
      <rPr>
        <u/>
        <sz val="11"/>
        <color rgb="FF1155CC"/>
        <rFont val="Arial,sans-serif"/>
      </rPr>
      <t>佐藤拓也</t>
    </r>
  </si>
  <si>
    <r>
      <t>本多行：</t>
    </r>
    <r>
      <rPr>
        <u/>
        <sz val="11"/>
        <color rgb="FF1155CC"/>
        <rFont val="Arial,sans-serif"/>
      </rPr>
      <t>服部想之介</t>
    </r>
  </si>
  <si>
    <r>
      <t>七ツ森実：</t>
    </r>
    <r>
      <rPr>
        <u/>
        <sz val="11"/>
        <color rgb="FF1155CC"/>
        <rFont val="Arial,sans-serif"/>
      </rPr>
      <t>阿座上洋平</t>
    </r>
  </si>
  <si>
    <r>
      <t>柊夜ノ介：</t>
    </r>
    <r>
      <rPr>
        <u/>
        <sz val="11"/>
        <color rgb="FF1155CC"/>
        <rFont val="Arial,sans-serif"/>
      </rPr>
      <t>福山潤</t>
    </r>
  </si>
  <si>
    <r>
      <t>氷室一紀：</t>
    </r>
    <r>
      <rPr>
        <u/>
        <sz val="11"/>
        <color rgb="FF1155CC"/>
        <rFont val="Arial,sans-serif"/>
      </rPr>
      <t>田邊幸輔</t>
    </r>
  </si>
  <si>
    <r>
      <t>御影小次郎：</t>
    </r>
    <r>
      <rPr>
        <u/>
        <sz val="11"/>
        <color rgb="FF1155CC"/>
        <rFont val="Arial,sans-serif"/>
      </rPr>
      <t>吉野裕行</t>
    </r>
  </si>
  <si>
    <r>
      <t>白羽大地：</t>
    </r>
    <r>
      <rPr>
        <u/>
        <sz val="11"/>
        <color rgb="FF1155CC"/>
        <rFont val="Arial,sans-serif"/>
      </rPr>
      <t>植木慎英</t>
    </r>
  </si>
  <si>
    <r>
      <t>白羽空也：</t>
    </r>
    <r>
      <rPr>
        <u/>
        <sz val="11"/>
        <color rgb="FF1155CC"/>
        <rFont val="Arial,sans-serif"/>
      </rPr>
      <t>三宅貴大</t>
    </r>
  </si>
  <si>
    <r>
      <t>巴征道：</t>
    </r>
    <r>
      <rPr>
        <u/>
        <sz val="11"/>
        <color rgb="FF1155CC"/>
        <rFont val="Arial,sans-serif"/>
      </rPr>
      <t>代永翼</t>
    </r>
  </si>
  <si>
    <r>
      <t>大成功：</t>
    </r>
    <r>
      <rPr>
        <u/>
        <sz val="11"/>
        <color rgb="FF1155CC"/>
        <rFont val="Arial,sans-serif"/>
      </rPr>
      <t>下野紘</t>
    </r>
  </si>
  <si>
    <t>冠氷尋：堂島颯人</t>
  </si>
  <si>
    <t>磴塔真：駒田航</t>
  </si>
  <si>
    <t>ルーカス・エラント：浦尾岳大</t>
  </si>
  <si>
    <t>歩二魁斗：川島零士</t>
  </si>
  <si>
    <t>御堂亜嵐：田所陽向</t>
  </si>
  <si>
    <t>黒鷺玲音：保住有哉</t>
  </si>
  <si>
    <t>灰園翔平：浦田わたる</t>
  </si>
  <si>
    <t>艸楽陽：小野将夢</t>
  </si>
  <si>
    <t>音無叶空：廣瀬大介</t>
  </si>
  <si>
    <t>白波蓮：千葉翔也</t>
  </si>
  <si>
    <t>星喰大我：小笠原仁</t>
  </si>
  <si>
    <t>針条律：ランズベリー・アーサー</t>
  </si>
  <si>
    <t>加賀見昴流：山中真尋</t>
  </si>
  <si>
    <t>草薙伯玖：加藤渉</t>
  </si>
  <si>
    <t>殊玉善治：宮瀬尚也</t>
  </si>
  <si>
    <t>エドワード・ハート：高野憲太朗</t>
  </si>
  <si>
    <t>観月累：中島ヨシキ</t>
  </si>
  <si>
    <t>ライカ・コルト：吉高志音</t>
  </si>
  <si>
    <t>衣佐美佑理：木暮晃石</t>
  </si>
  <si>
    <t>桐崎次郎：小林秀行</t>
  </si>
  <si>
    <t>金剛座丈：柳晃平</t>
  </si>
  <si>
    <t>煤原未桜：竹田海渡</t>
  </si>
  <si>
    <t>エリアス・プラット：佐々木啓夫</t>
  </si>
  <si>
    <t>幻海シオン：橘龍丸</t>
  </si>
  <si>
    <t>ロミオ・S・ルッチ：石黒史剛</t>
  </si>
  <si>
    <t>源頼久：三木眞一郎</t>
  </si>
  <si>
    <t>森村天真：関智一</t>
  </si>
  <si>
    <t>イノリ：高橋直純</t>
  </si>
  <si>
    <t>流山詩紋：宮田幸季</t>
  </si>
  <si>
    <t>藤原鷹通：中原茂</t>
  </si>
  <si>
    <t>橘友雅：井上和彦</t>
  </si>
  <si>
    <t>永泉：保志総一朗</t>
  </si>
  <si>
    <t>安倍泰明：石田彰</t>
  </si>
  <si>
    <t>源頼忠：三木眞一郎</t>
  </si>
  <si>
    <t>平勝真：関智一</t>
  </si>
  <si>
    <t>イサト：高橋直純</t>
  </si>
  <si>
    <t>彰紋：宮田幸季</t>
  </si>
  <si>
    <t>藤原幸鷹：中原茂</t>
  </si>
  <si>
    <t>翡翠：井上和彦</t>
  </si>
  <si>
    <t>源泉水：保志総一朗</t>
  </si>
  <si>
    <t>安倍泰継：石田彰</t>
  </si>
  <si>
    <t>有川将臣：三木眞一郎</t>
  </si>
  <si>
    <t>源九郎義経：関智一</t>
  </si>
  <si>
    <t>ヒノエ：高橋直純</t>
  </si>
  <si>
    <t>武蔵坊弁慶：宮田幸季</t>
  </si>
  <si>
    <t>有川譲：中原茂</t>
  </si>
  <si>
    <t>梶原景時：井上和彦</t>
  </si>
  <si>
    <t>平敦盛：保志総一朗</t>
  </si>
  <si>
    <t>リズヴァーン：石田彰</t>
  </si>
  <si>
    <t>風早：井上和彦</t>
  </si>
  <si>
    <t>アシュヴィン：石田彰</t>
  </si>
  <si>
    <t>サザキ：関智一</t>
  </si>
  <si>
    <t>那岐：宮田幸季</t>
  </si>
  <si>
    <t>布都彦：保志総一朗</t>
  </si>
  <si>
    <t>柊：三木眞一郎</t>
  </si>
  <si>
    <t>遠夜：高橋直純</t>
  </si>
  <si>
    <t>葛城忍人：中原茂</t>
  </si>
  <si>
    <t>桐生瞬：寺島拓篤</t>
  </si>
  <si>
    <t>坂本龍馬：鈴村健一</t>
  </si>
  <si>
    <t>チナミ：阿部敦</t>
  </si>
  <si>
    <t>沖田総司：岡本信彦</t>
  </si>
  <si>
    <t>小松帯刀：立花慎之介</t>
  </si>
  <si>
    <t>福地桜智：竹本英史</t>
  </si>
  <si>
    <t>アーネスト・サトウ：四反田マイケル</t>
  </si>
  <si>
    <t>高杉晋作：安元洋貴</t>
  </si>
  <si>
    <t>有馬一：寺島拓篤</t>
  </si>
  <si>
    <t>ダリウス：鈴村健一</t>
  </si>
  <si>
    <t>コハク：阿部敦</t>
  </si>
  <si>
    <t>片霧秋兵：岡本信彦</t>
  </si>
  <si>
    <t>ルードハーネ：立花慎之介</t>
  </si>
  <si>
    <t>本条政虎：竹本英史</t>
  </si>
  <si>
    <t>萩尾九段：四反田マイケル</t>
  </si>
  <si>
    <t>里谷村雨：安元洋貴</t>
  </si>
  <si>
    <t>真田幸村：寺島拓篤</t>
  </si>
  <si>
    <t>天野五月：鈴村健一</t>
  </si>
  <si>
    <t>宮本武蔵：阿部敦</t>
  </si>
  <si>
    <t>佐々木大和：岡本信彦</t>
  </si>
  <si>
    <t>黒田長政：立花慎之介</t>
  </si>
  <si>
    <t>直江兼続：竹本英史</t>
  </si>
  <si>
    <t>阿国：四反田マイケル</t>
  </si>
  <si>
    <t>柳生宗矩：安元洋貴</t>
  </si>
  <si>
    <t>源頼朝：三浦勝之</t>
  </si>
  <si>
    <t>平清盛：戸谷菊之介</t>
  </si>
  <si>
    <t>佐伯昌長：綿貫竜之介</t>
  </si>
  <si>
    <t>上杉謙信：益山武明</t>
  </si>
  <si>
    <t>伊達政宗：木島隆一</t>
  </si>
  <si>
    <t>武田信玄：下鶴直幸</t>
  </si>
  <si>
    <t>桂小五郎：鈴木裕斗</t>
  </si>
  <si>
    <t>土方歳三：鈴木崚汰</t>
  </si>
  <si>
    <t>芥川龍之介：諏訪部順一</t>
  </si>
  <si>
    <t>太宰治：中村悠一</t>
  </si>
  <si>
    <t>萩原朔太郎：野島健児</t>
  </si>
  <si>
    <t>中原中也：柿原徹也</t>
  </si>
  <si>
    <t>泉鏡花：神谷浩史</t>
  </si>
  <si>
    <t>夏目漱石：鳥海浩輔</t>
  </si>
  <si>
    <t>宮沢賢治：代永翼</t>
  </si>
  <si>
    <t>谷崎潤一郎：岡本信彦</t>
  </si>
  <si>
    <t>永井荷風：置鮎龍太郎</t>
  </si>
  <si>
    <t>島崎藤村：立花慎之介</t>
  </si>
  <si>
    <t>田山花袋：梶裕貴</t>
  </si>
  <si>
    <t>志賀直哉：前野智昭</t>
  </si>
  <si>
    <t>森鴎外：大川透</t>
  </si>
  <si>
    <t>川端康成：関智一</t>
  </si>
  <si>
    <t>北原白秋：花江夏樹</t>
  </si>
  <si>
    <t>室生犀星：逢坂良太</t>
  </si>
  <si>
    <t>梶井基次郎：杉山紀彰</t>
  </si>
  <si>
    <t>広津和郎：福山潤</t>
  </si>
  <si>
    <t>武者小路実篤：KENN</t>
  </si>
  <si>
    <t>尾崎紅葉：緑川光</t>
  </si>
  <si>
    <t>坂口安吾：杉田智和</t>
  </si>
  <si>
    <t>江戸川乱歩：斉藤壮馬</t>
  </si>
  <si>
    <t>坪内逍遥：関俊彦</t>
  </si>
  <si>
    <t>二葉亭四迷：安元洋貴</t>
  </si>
  <si>
    <t>有島武郎：保志総一朗</t>
  </si>
  <si>
    <t>佐藤春夫：泰勇気</t>
  </si>
  <si>
    <t>小林多喜二：小西克幸</t>
  </si>
  <si>
    <t>井伏鱒二：武内駿輔</t>
  </si>
  <si>
    <t>横光利一：羽多野渉</t>
  </si>
  <si>
    <t>織田作之助：小野坂昌也</t>
  </si>
  <si>
    <t>堀辰雄：髙橋孝治</t>
  </si>
  <si>
    <t>中島敦：石川界人</t>
  </si>
  <si>
    <t>小泉八雲：内田雄馬</t>
  </si>
  <si>
    <t>正岡子規：白石稔</t>
  </si>
  <si>
    <t>若山牧水：宮下栄治</t>
  </si>
  <si>
    <t>高村光太郎：森田成一</t>
  </si>
  <si>
    <t>石川啄木：松岡禎丞</t>
  </si>
  <si>
    <t>国木田独歩：増田俊樹</t>
  </si>
  <si>
    <t>幸田露伴：子安武人</t>
  </si>
  <si>
    <t>松岡譲：岸尾だいすけ</t>
  </si>
  <si>
    <t>吉川英治：阿座上洋平</t>
  </si>
  <si>
    <t>山本有三：松本保典</t>
  </si>
  <si>
    <t>久米正雄：吉野裕行</t>
  </si>
  <si>
    <t>徳永直：山下大輝</t>
  </si>
  <si>
    <t>中野重治：赤羽根健治</t>
  </si>
  <si>
    <t>岩野泡鳴：林勇</t>
  </si>
  <si>
    <t>正宗白鳥：寺島拓篤</t>
  </si>
  <si>
    <t>徳冨蘆花：古川慎</t>
  </si>
  <si>
    <t>直木三十五：近藤隆</t>
  </si>
  <si>
    <t>夢野久作：浪川大輔</t>
  </si>
  <si>
    <t>中里介山：津田健次郎</t>
  </si>
  <si>
    <t>菊池寛：三木眞一郎</t>
  </si>
  <si>
    <t>伊藤左千夫：井口祐一</t>
  </si>
  <si>
    <t>三木露風：梶原岳人</t>
  </si>
  <si>
    <t>三好達治：寺島惇太</t>
  </si>
  <si>
    <t>新美南吉：村瀬歩</t>
  </si>
  <si>
    <t>小川未明：山本和臣</t>
  </si>
  <si>
    <t>吉井勇：佐藤拓也</t>
  </si>
  <si>
    <t>種田山頭火：阿部敦</t>
  </si>
  <si>
    <t>尾崎放哉：鈴木崚汰</t>
  </si>
  <si>
    <t>山田美妙：小林裕介</t>
  </si>
  <si>
    <t>鈴木三重吉：米内佑希</t>
  </si>
  <si>
    <t>内田百閒：八代拓</t>
  </si>
  <si>
    <t>斎藤茂吉：櫻井孝宏</t>
  </si>
  <si>
    <t>草野心平：西山宏太朗</t>
  </si>
  <si>
    <t>里見弴：石田彰</t>
  </si>
  <si>
    <t>折口信夫：興津和幸</t>
  </si>
  <si>
    <t>柳田國男：小野大輔</t>
  </si>
  <si>
    <t>島田清次郎：白井悠介</t>
  </si>
  <si>
    <t>檀一雄：小野友樹</t>
  </si>
  <si>
    <t>高浜虚子：鈴木達央</t>
  </si>
  <si>
    <t>河東碧梧桐：島﨑信長</t>
  </si>
  <si>
    <t>北村透谷：天﨑滉平</t>
  </si>
  <si>
    <t>徳田秋声：渡辺拓海</t>
  </si>
  <si>
    <t>トルストイ：下野紘</t>
  </si>
  <si>
    <t>ドストエフスキー：森川智之</t>
  </si>
  <si>
    <t>ゲーテ：井上和彦</t>
  </si>
  <si>
    <t>ボードレール：木村良平</t>
  </si>
  <si>
    <t>ランボー：小林千晃</t>
  </si>
  <si>
    <t>ヘミングウェイ：黒田崇矢</t>
  </si>
  <si>
    <t>フィッツジェラルド：駒田航</t>
  </si>
  <si>
    <t>ポー：伊藤健太郎</t>
  </si>
  <si>
    <t>ラヴクラフト：村上聡</t>
  </si>
  <si>
    <t>コナン・ドイル：三上哲</t>
  </si>
  <si>
    <t>ルイス・キャロル：蒼井翔太</t>
  </si>
  <si>
    <t>織田信長：杉田智和</t>
  </si>
  <si>
    <t>伊達政宗：加藤和樹</t>
  </si>
  <si>
    <t>豊臣秀吉：鳥海浩輔</t>
  </si>
  <si>
    <t>徳川家康：増田俊樹</t>
  </si>
  <si>
    <t>明智光秀：武内駿輔</t>
  </si>
  <si>
    <t>石田三成：山谷祥生</t>
  </si>
  <si>
    <t>森蘭丸：蒼井翔太</t>
  </si>
  <si>
    <t>前田慶次：沢城千春</t>
  </si>
  <si>
    <t>上杉謙信：三浦祥朗</t>
  </si>
  <si>
    <t>武田信玄：梅原裕一郎</t>
  </si>
  <si>
    <t>猿飛佐助：赤羽根健治</t>
  </si>
  <si>
    <t>真田幸村：小野賢章</t>
  </si>
  <si>
    <t>直江兼続：中川晃教</t>
  </si>
  <si>
    <t>今川義元：八代拓</t>
  </si>
  <si>
    <t>顕如：新垣樽助</t>
  </si>
  <si>
    <t>毛利元就：小西克幸</t>
  </si>
  <si>
    <t>帰蝶：梶裕貴</t>
  </si>
  <si>
    <t>足利義輝：山下大輝</t>
  </si>
  <si>
    <t>松永久秀：坂田将吾</t>
  </si>
  <si>
    <t>黒田官兵衛：佐藤拓也</t>
  </si>
  <si>
    <t>霧隠才蔵：小林千晃</t>
  </si>
  <si>
    <t>千利休：堂島颯人</t>
  </si>
  <si>
    <t>ウィリアム・レックス：立花慎之介</t>
  </si>
  <si>
    <t>ハリソン・グレイ：杉山紀彰</t>
  </si>
  <si>
    <t>エルバート・グリーティア：大塚剛央</t>
  </si>
  <si>
    <t>リアム・エヴァンス：西山宏太朗</t>
  </si>
  <si>
    <t>アルフォンス・シルベチカ：斉藤壮馬</t>
  </si>
  <si>
    <t>ロジャー・バレル：江口拓也</t>
  </si>
  <si>
    <t>ジュード・ジャザ：竹田海渡</t>
  </si>
  <si>
    <t>エリス・トワイライト：佐藤元</t>
  </si>
  <si>
    <t>ヴィクトル：高橋広樹</t>
  </si>
  <si>
    <t>ダリウス・フォーゲル：重松千晴</t>
  </si>
  <si>
    <t>ニカ・シュワルツ：柿原徹也</t>
  </si>
  <si>
    <t>リン・シュワルツ：田邊幸輔</t>
  </si>
  <si>
    <t>ユーレン：河西健吾</t>
  </si>
  <si>
    <t>ゼイン・レグルス：伊東健人</t>
  </si>
  <si>
    <t>ルシアン・モルサンドル：前野智昭</t>
  </si>
  <si>
    <t>レオン＝ドントゥール：加藤和樹</t>
  </si>
  <si>
    <t>シュヴァリエ＝ミシェーレ：小野友樹</t>
  </si>
  <si>
    <t>イヴ＝クロス：内田雄馬</t>
  </si>
  <si>
    <t>ノクト＝クライン：江口拓也</t>
  </si>
  <si>
    <t>クラヴィス＝ルルーシュ：野島健児</t>
  </si>
  <si>
    <t>リヒト＝クライン：大海将一郎</t>
  </si>
  <si>
    <t>ジン＝グランデ：安元洋貴</t>
  </si>
  <si>
    <t>ルーク＝ランドルフ：吉高志音</t>
  </si>
  <si>
    <t>サリエル＝ノワール：速水奨</t>
  </si>
  <si>
    <t>リオ＝オルティス：峯田大夢</t>
  </si>
  <si>
    <t>ギルベルト＝フォン＝オブシディアン：浅沼晋太郎</t>
  </si>
  <si>
    <t>キース＝ハウエル：羽多野渉</t>
  </si>
  <si>
    <t>シルヴィオ＝リッチ：佐藤拓也</t>
  </si>
  <si>
    <t>アゼル＝ラドワーン：寺島拓篤</t>
  </si>
  <si>
    <t>マティアス＝オースブリンク：阿座上洋平</t>
  </si>
  <si>
    <t>カガリ＝アマガセ：千葉翔也</t>
  </si>
  <si>
    <t>源頼朝：福山潤</t>
  </si>
  <si>
    <t>梶原景時：子安武人</t>
  </si>
  <si>
    <t>安達盛長：三木眞一郎</t>
  </si>
  <si>
    <t>平重衡：市川蒼</t>
  </si>
  <si>
    <t>玉藻：田丸篤志</t>
  </si>
  <si>
    <t>源義経：石田彰</t>
  </si>
  <si>
    <t>那須与一：鈴木崚汰</t>
  </si>
  <si>
    <t>武蔵坊弁慶：関智一</t>
  </si>
  <si>
    <t>鞍馬：森川智之</t>
  </si>
  <si>
    <t>安倍泰親：浪川大輔</t>
  </si>
  <si>
    <t>橘次末春：小松昌平</t>
  </si>
  <si>
    <t>伊吹：諏訪部順一</t>
  </si>
  <si>
    <t>崇徳院/顕仁：岩永徹也</t>
  </si>
  <si>
    <t>六花：中澤まさとも</t>
  </si>
  <si>
    <t>朱真遥音：KENN</t>
  </si>
  <si>
    <t>銀波律：蒼井翔太</t>
  </si>
  <si>
    <t>東雲詠介：谷山紀章</t>
  </si>
  <si>
    <t>蘇芳楽：梶裕貴</t>
  </si>
  <si>
    <t>眞白奏：深町寿成</t>
  </si>
  <si>
    <t>千草響一郎：伊東健人</t>
  </si>
  <si>
    <t>天宮アンリ：大河元気</t>
  </si>
  <si>
    <t>藍墨晃揮：近藤隆</t>
  </si>
  <si>
    <t>藤代旋：黒田崇矢</t>
  </si>
  <si>
    <t>銀波弓弦：植田圭輔</t>
  </si>
  <si>
    <t>椿麻琴：小野友樹</t>
  </si>
  <si>
    <t>木蘭宗詩：市川太一</t>
  </si>
  <si>
    <t>ナポレオン・ボナパルト：島﨑信長</t>
  </si>
  <si>
    <t>ヴォルフガング・アマデウス・モーツァルト：豊永利行</t>
  </si>
  <si>
    <t>レオナルド・ダ・ヴィンチ：津田健次郎</t>
  </si>
  <si>
    <t>アーサー・コナン・ドイル：木村良平</t>
  </si>
  <si>
    <t>フィンセント・ファン・ゴッホ：荒牧慶彦</t>
  </si>
  <si>
    <t>テオドルス・ファン・ゴッホ：佐藤永典</t>
  </si>
  <si>
    <t>太宰治：八代拓</t>
  </si>
  <si>
    <t>アイザック・ニュートン：蒼井翔太</t>
  </si>
  <si>
    <t>ジャンヌ・ダルク：染谷俊之</t>
  </si>
  <si>
    <t>ウィリアム・シェイクスピア：平川大輔</t>
  </si>
  <si>
    <t>サン・ジェルマン伯爵：堀江一眞</t>
  </si>
  <si>
    <t>セバスチャン：森嶋秀太</t>
  </si>
  <si>
    <t>ヴラド：斉藤壮馬</t>
  </si>
  <si>
    <t>ヨハン・ゲオルク・ファウスト：神尾晋一郎</t>
  </si>
  <si>
    <t>シャルル＝アンリ・サンソン：木島隆一</t>
  </si>
  <si>
    <t>ガリレオ・ガリレイ：古川慎</t>
  </si>
  <si>
    <t>フランシス・ドレーク：畠中祐</t>
  </si>
  <si>
    <t>ランスロット＝キングスレー：岡本信彦</t>
  </si>
  <si>
    <t>ヨナ＝クレメンス：花江夏樹</t>
  </si>
  <si>
    <t>エドガー＝ブライト：八代拓</t>
  </si>
  <si>
    <t>ゼロ：熊谷健太郎</t>
  </si>
  <si>
    <t>カイル＝アッシュ：古川慎</t>
  </si>
  <si>
    <t>レイ＝ブラックウェル：下野紘</t>
  </si>
  <si>
    <t>シリウス＝オズワルド：諏訪部順一</t>
  </si>
  <si>
    <t>ルカ＝クレメンス：榎木淳弥</t>
  </si>
  <si>
    <t>フェンリル＝ゴッドスピード：柿原徹也</t>
  </si>
  <si>
    <t>セス＝ハイド：村田太志</t>
  </si>
  <si>
    <t>ハール＝シルバー：寺島惇太</t>
  </si>
  <si>
    <t>ロキ＝ジェネッタ：村瀬歩</t>
  </si>
  <si>
    <t>ブラン＝ラパン：白井悠介</t>
  </si>
  <si>
    <t>オリヴァー＝ナイト：濱野大輝</t>
  </si>
  <si>
    <t>ムース＝アトラス：土岐隼一</t>
  </si>
  <si>
    <t>ディーン＝トゥイードル：和田雅成</t>
  </si>
  <si>
    <t>ダム（ダリム＝トゥイードル）：安里勇哉</t>
  </si>
  <si>
    <t>坂本龍馬：梅原裕一郎</t>
  </si>
  <si>
    <t>土方歳三：前野智昭</t>
  </si>
  <si>
    <t>徳川慶喜：堀江一眞</t>
  </si>
  <si>
    <t>高杉晋作：伊東健人</t>
  </si>
  <si>
    <t>沖田総司：小林裕介</t>
  </si>
  <si>
    <t>桂小五郎：駒田航</t>
  </si>
  <si>
    <t>齊藤一：古川慎</t>
  </si>
  <si>
    <t>大久保利通：堀江瞬</t>
  </si>
  <si>
    <t>篠宮恭：八代拓</t>
  </si>
  <si>
    <t>山崎烝：菊池幸利</t>
  </si>
  <si>
    <t>東雲幸男：武内駿輔</t>
  </si>
  <si>
    <t>近藤勇：朝霧友陽</t>
  </si>
  <si>
    <t>霧里[玄明]：天﨑滉平</t>
  </si>
  <si>
    <t>藤堂平助：八代拓</t>
  </si>
  <si>
    <t>武市半平太：木村良平</t>
  </si>
  <si>
    <t>岡田以蔵：内田雄馬</t>
  </si>
  <si>
    <t>吉田松陰：蒼井翔太</t>
  </si>
  <si>
    <t>アラン＝クロフォード：石川界人</t>
  </si>
  <si>
    <t>ルイ＝ハワード：立花慎之介</t>
  </si>
  <si>
    <t>ジル＝クリストフ：間島淳司</t>
  </si>
  <si>
    <t>レオ＝クロフォード：日野聡</t>
  </si>
  <si>
    <t>ゼノ＝ジェラルド：小西克幸</t>
  </si>
  <si>
    <t>ユーリ＝ノルベルト：小林裕介</t>
  </si>
  <si>
    <t>ロベール＝ブランシェ：峯暢也</t>
  </si>
  <si>
    <t>シド（ロイド＝グランディエ）：竹内良太</t>
  </si>
  <si>
    <t>アルバート＝ブルクハルト：手塚ヒロミチ</t>
  </si>
  <si>
    <t>カイン＝ロッシュ：KENN</t>
  </si>
  <si>
    <t>ノア＝レオンハート：白井悠介</t>
  </si>
  <si>
    <t>クロード＝ブラック：佐藤拓也</t>
  </si>
  <si>
    <t>シド：竹内良太</t>
  </si>
  <si>
    <t>レイヴィス＝ハルナイト：岡本信彦</t>
  </si>
  <si>
    <t>アインツ：菊池幸利</t>
  </si>
  <si>
    <t>アヴィ：鈴村健一</t>
  </si>
  <si>
    <t>アキト：子安武人</t>
  </si>
  <si>
    <t>アケディア：山本和臣</t>
  </si>
  <si>
    <t>アザリー：山谷祥生</t>
  </si>
  <si>
    <t>雷(アズマ)：江口拓也</t>
  </si>
  <si>
    <t>アダム：堀江瞬</t>
  </si>
  <si>
    <t>アディエル：豊永利行</t>
  </si>
  <si>
    <t>アピス：濱健人</t>
  </si>
  <si>
    <t>アポロ：小野大輔</t>
  </si>
  <si>
    <t>アマノ：小林裕介</t>
  </si>
  <si>
    <t>アルタイル：小野友樹</t>
  </si>
  <si>
    <t>アルデバラン：長谷川芳明</t>
  </si>
  <si>
    <t>アルフレッド：横田紘一</t>
  </si>
  <si>
    <t>アルマリ：赤羽根健治</t>
  </si>
  <si>
    <t>アンタレス：片山享</t>
  </si>
  <si>
    <t>イヴァン：天﨑滉平</t>
  </si>
  <si>
    <t>イザーク：三浦祥朗</t>
  </si>
  <si>
    <t>イナミ：羽多野渉</t>
  </si>
  <si>
    <t>イヌイ：佐藤拓也</t>
  </si>
  <si>
    <t>イラ：寺島惇太</t>
  </si>
  <si>
    <t>イリア：櫻井孝宏</t>
  </si>
  <si>
    <t>ヴァイリー：鈴木達央</t>
  </si>
  <si>
    <t>ヴァスティ：置鮎龍太郎</t>
  </si>
  <si>
    <t>ヴィオ：林勇</t>
  </si>
  <si>
    <t>ヴィム：江口拓也</t>
  </si>
  <si>
    <t>ウィル：石田彰</t>
  </si>
  <si>
    <t>ウェディ：古川慎</t>
  </si>
  <si>
    <t>エドモント：逢坂良太</t>
  </si>
  <si>
    <t>エルフェン：速水奨</t>
  </si>
  <si>
    <t>桜花(オウカ)：花江夏樹</t>
  </si>
  <si>
    <t>オズワルド：小西克幸</t>
  </si>
  <si>
    <t>オリオン：櫻井孝宏</t>
  </si>
  <si>
    <t>カーライル：黒田崇矢</t>
  </si>
  <si>
    <t>カイネ：黒沢季希</t>
  </si>
  <si>
    <t>カイリ：宮野真守</t>
  </si>
  <si>
    <t>楓(カエデ)：佐藤拓也</t>
  </si>
  <si>
    <t>カゲトラ：平田広明</t>
  </si>
  <si>
    <t>カストル：大河元気</t>
  </si>
  <si>
    <t>カノエ：藤原祐規</t>
  </si>
  <si>
    <t>カノト：上村祐翔</t>
  </si>
  <si>
    <t>カミロ：津田健次郎</t>
  </si>
  <si>
    <t>カリバーン：田丸篤志</t>
  </si>
  <si>
    <t>カルト：山下誠一郎</t>
  </si>
  <si>
    <t>カルロ：矢野智也</t>
  </si>
  <si>
    <t>キエル：宮崎遊</t>
  </si>
  <si>
    <t>キース：保志総一朗</t>
  </si>
  <si>
    <t>キャピタ：浜田賢二</t>
  </si>
  <si>
    <t>ギルバート：立花慎之介</t>
  </si>
  <si>
    <t>グウィード：武藤正史</t>
  </si>
  <si>
    <t>クラウン：野上翔</t>
  </si>
  <si>
    <t>グラッド：深町寿成</t>
  </si>
  <si>
    <t>グレアム：浅沼晋太郎</t>
  </si>
  <si>
    <t>グレイシア：細谷佳正</t>
  </si>
  <si>
    <t>クレト：山谷祥生</t>
  </si>
  <si>
    <t>クロノ：松岡禎丞</t>
  </si>
  <si>
    <t>ゲイリー：日野聡</t>
  </si>
  <si>
    <t>コーエン：大隈健太</t>
  </si>
  <si>
    <t>言祝(コトホギ)：鈴村健一</t>
  </si>
  <si>
    <t>コライユ：花倉桔道</t>
  </si>
  <si>
    <t>コロレ：鈴木千尋</t>
  </si>
  <si>
    <t>サイ：蒼井翔太</t>
  </si>
  <si>
    <t>砕牙(サイガ)：大川透</t>
  </si>
  <si>
    <t>サキア：小野賢章</t>
  </si>
  <si>
    <t>サラサ：鈴木裕斗</t>
  </si>
  <si>
    <t>ザント：梅原裕一郎</t>
  </si>
  <si>
    <t>ジーク：増田俊樹</t>
  </si>
  <si>
    <t>ジェイ：織田優成</t>
  </si>
  <si>
    <t>ジェット：中井和哉</t>
  </si>
  <si>
    <t>ジェラルド：内田雄馬</t>
  </si>
  <si>
    <t>ジェルバー：榎木淳弥</t>
  </si>
  <si>
    <t>紫雨(シグレ)：保志総一朗</t>
  </si>
  <si>
    <t>シザネ：神尾晋一郎</t>
  </si>
  <si>
    <t>シャオ：西山宏太朗</t>
  </si>
  <si>
    <t>シャロン：小宮逸人</t>
  </si>
  <si>
    <t>シュティマ：村田太志</t>
  </si>
  <si>
    <t>シュテル：緑川光</t>
  </si>
  <si>
    <t>シュニー：下野紘</t>
  </si>
  <si>
    <t>珠李(ジュリ)：近藤孝行</t>
  </si>
  <si>
    <t>ジョシュア：森久保祥太郎</t>
  </si>
  <si>
    <t>シリウス：八代拓</t>
  </si>
  <si>
    <t>シリル：永塚拓馬</t>
  </si>
  <si>
    <t>シン：加藤和樹</t>
  </si>
  <si>
    <t>澄快(スカイ)：浪川大輔</t>
  </si>
  <si>
    <t>スバル：熊谷健太郎</t>
  </si>
  <si>
    <t>スピカ：布施川一寛</t>
  </si>
  <si>
    <t>スペルヴィア：浅沼晋太郎</t>
  </si>
  <si>
    <t>セフィル：宮野真守</t>
  </si>
  <si>
    <t>セラス：小山力也</t>
  </si>
  <si>
    <t>ゼロ：小島英樹</t>
  </si>
  <si>
    <t>ソルベージュ：間島淳司</t>
  </si>
  <si>
    <t>ダグラス：諏訪部順一</t>
  </si>
  <si>
    <t>ダヤン：白井悠介</t>
  </si>
  <si>
    <t>ダルファー：沢城千春</t>
  </si>
  <si>
    <t>チェシャ猫：山下大輝</t>
  </si>
  <si>
    <t>ツヴァイ：本橋大輔</t>
  </si>
  <si>
    <t>ティーガ：岸尾だいすけ</t>
  </si>
  <si>
    <t>ディオン：浪川大輔</t>
  </si>
  <si>
    <t>ティンプラ：宮田幸季</t>
  </si>
  <si>
    <t>テオドール：土岐隼一</t>
  </si>
  <si>
    <t>デネブ：井口祐一</t>
  </si>
  <si>
    <t>テル：関智一</t>
  </si>
  <si>
    <t>凍哉(トウヤ)：榎木淳弥</t>
  </si>
  <si>
    <t>ドーマウス：川辺俊介</t>
  </si>
  <si>
    <t>トール：村田太志</t>
  </si>
  <si>
    <t>トト：西田雅一</t>
  </si>
  <si>
    <t>トトリ：山中真尋</t>
  </si>
  <si>
    <t>トニ：畠中祐</t>
  </si>
  <si>
    <t>ドライ：阿座上洋平</t>
  </si>
  <si>
    <t>トルマリ：村瀬歩</t>
  </si>
  <si>
    <t>ドローレ：白井悠介</t>
  </si>
  <si>
    <t>ドロワット：野島健児</t>
  </si>
  <si>
    <t>那由多(ナユタ)：松風雅也</t>
  </si>
  <si>
    <t>ネペンテス：高橋広樹</t>
  </si>
  <si>
    <t>ネロ：岡本信彦</t>
  </si>
  <si>
    <t>ノクス：高塚智人</t>
  </si>
  <si>
    <t>ハーツ：梶裕貴</t>
  </si>
  <si>
    <t>ハク：鳥海浩輔</t>
  </si>
  <si>
    <t>パティル：石川界人</t>
  </si>
  <si>
    <t>ハナレ：豊永利行</t>
  </si>
  <si>
    <t>ハルディーン：石川界人</t>
  </si>
  <si>
    <t>万里(バンリ)：杉田智和</t>
  </si>
  <si>
    <t>陽影(ヒカゲ)：中澤まさとも</t>
  </si>
  <si>
    <t>ビッキー：山寺宏一</t>
  </si>
  <si>
    <t>ヒナタ：村瀬歩</t>
  </si>
  <si>
    <t>ヒノト：梅原裕一郎</t>
  </si>
  <si>
    <t>白葉(ビャクヨウ)：森久保祥太郎</t>
  </si>
  <si>
    <t>フォイア：前野智昭</t>
  </si>
  <si>
    <t>フォーマ：大須賀純</t>
  </si>
  <si>
    <t>フォルカー：杉山紀彰</t>
  </si>
  <si>
    <t>藤目(フジメ)：井上剛</t>
  </si>
  <si>
    <t>フリッツ：遊佐浩二</t>
  </si>
  <si>
    <t>プリトヴェン：たくみ靖明</t>
  </si>
  <si>
    <t>フリュー：髙橋孝治</t>
  </si>
  <si>
    <t>フリュス：下野紘</t>
  </si>
  <si>
    <t>フレイグ：森川智之</t>
  </si>
  <si>
    <t>プロキオン：代永翼</t>
  </si>
  <si>
    <t>フロスト：新垣樽助</t>
  </si>
  <si>
    <t>ベウル：菅沼久義</t>
  </si>
  <si>
    <t>ベガ：羽多野渉</t>
  </si>
  <si>
    <t>ヘラクレス：伊藤健太郎</t>
  </si>
  <si>
    <t>ヘルト：山口勝平</t>
  </si>
  <si>
    <t>ペルラ：市来光弘</t>
  </si>
  <si>
    <t>マーチア：柿原徹也</t>
  </si>
  <si>
    <t>真琴(マコト)：花江夏樹</t>
  </si>
  <si>
    <t>マッドハッター：平川大輔</t>
  </si>
  <si>
    <t>マルタン：藤原啓治</t>
  </si>
  <si>
    <t>マルタン：井上和彦</t>
  </si>
  <si>
    <t>ミカエラ：島﨑信長</t>
  </si>
  <si>
    <t>ミチル：蒼井翔太</t>
  </si>
  <si>
    <t>ミヤ：小野賢章</t>
  </si>
  <si>
    <t>ミリオン：木村良平</t>
  </si>
  <si>
    <t>メディ：益山武明</t>
  </si>
  <si>
    <t>モルタ：武内駿輔</t>
  </si>
  <si>
    <t>ヤナギ：KENN</t>
  </si>
  <si>
    <t>ユーノ：宮下栄治</t>
  </si>
  <si>
    <t>ユリウス：鈴木達央</t>
  </si>
  <si>
    <t>ライアン：バレッタ裕</t>
  </si>
  <si>
    <t>ラス：高橋広樹</t>
  </si>
  <si>
    <t>ラトリア：泰勇気</t>
  </si>
  <si>
    <t>ランダ：松浦義之</t>
  </si>
  <si>
    <t>リード：相楽信頼</t>
  </si>
  <si>
    <t>リーヤ：近藤隆</t>
  </si>
  <si>
    <t>リエル：西山宏太朗</t>
  </si>
  <si>
    <t>リカ：興津和幸</t>
  </si>
  <si>
    <t>リッツ：斉藤壮馬</t>
  </si>
  <si>
    <t>リド：赤羽根健治</t>
  </si>
  <si>
    <t>ルーク：小松昌平</t>
  </si>
  <si>
    <t>ルグランジュ：河西健吾</t>
  </si>
  <si>
    <t>ルシアン：岡本信彦</t>
  </si>
  <si>
    <t>ルーファス：阿部敦</t>
  </si>
  <si>
    <t>ルーフェン：山口正秀</t>
  </si>
  <si>
    <t>ルベル：前野智昭</t>
  </si>
  <si>
    <t>ルルス：谷山紀章</t>
  </si>
  <si>
    <t>レイ：中村悠一</t>
  </si>
  <si>
    <t>レイヴン：鳥海浩輔</t>
  </si>
  <si>
    <t>レイス：広瀬裕也</t>
  </si>
  <si>
    <t>レオニー：寺島拓篤</t>
  </si>
  <si>
    <t>レジェ：細谷佳正</t>
  </si>
  <si>
    <t>ロイエ：三木眞一郎</t>
  </si>
  <si>
    <t>ロッソ：森田成一</t>
  </si>
  <si>
    <t>土方歳三：三木眞一郎</t>
  </si>
  <si>
    <t>沖田総司：森久保祥太郎</t>
  </si>
  <si>
    <t>斎藤一：鳥海浩輔</t>
  </si>
  <si>
    <t>藤堂平助：吉野裕行</t>
  </si>
  <si>
    <t>原田左之助：遊佐浩二</t>
  </si>
  <si>
    <t>風間千景：津田健次郎</t>
  </si>
  <si>
    <t>永倉新八：坪井智浩</t>
  </si>
  <si>
    <t>山南敬助：飛田展男</t>
  </si>
  <si>
    <t>山崎烝：鈴木貴征</t>
  </si>
  <si>
    <t>伊庭八郎：宮野真守</t>
  </si>
  <si>
    <t>相馬主計：梶裕貴</t>
  </si>
  <si>
    <t>坂本龍馬：小野大輔</t>
  </si>
  <si>
    <r>
      <t>長谷川康太：</t>
    </r>
    <r>
      <rPr>
        <u/>
        <sz val="11"/>
        <color rgb="FF1155CC"/>
        <rFont val="Arial"/>
        <family val="2"/>
        <scheme val="minor"/>
      </rPr>
      <t>江口拓也</t>
    </r>
  </si>
  <si>
    <r>
      <t>吉野俊介：</t>
    </r>
    <r>
      <rPr>
        <u/>
        <sz val="11"/>
        <color rgb="FF1155CC"/>
        <rFont val="Arial"/>
        <family val="2"/>
        <scheme val="minor"/>
      </rPr>
      <t>大須賀純</t>
    </r>
  </si>
  <si>
    <t>西宮諒：花倉桔道</t>
  </si>
  <si>
    <r>
      <t>水野祐：</t>
    </r>
    <r>
      <rPr>
        <u/>
        <sz val="11"/>
        <color rgb="FF1155CC"/>
        <rFont val="Arial"/>
        <family val="2"/>
        <scheme val="minor"/>
      </rPr>
      <t>斉藤壮馬</t>
    </r>
  </si>
  <si>
    <r>
      <t>源誠一郎：</t>
    </r>
    <r>
      <rPr>
        <u/>
        <sz val="11"/>
        <color rgb="FF1155CC"/>
        <rFont val="Arial"/>
        <family val="2"/>
        <scheme val="minor"/>
      </rPr>
      <t>内田雄馬</t>
    </r>
  </si>
  <si>
    <r>
      <t>箱根有基：</t>
    </r>
    <r>
      <rPr>
        <u/>
        <sz val="11"/>
        <color rgb="FF1155CC"/>
        <rFont val="Arial"/>
        <family val="2"/>
        <scheme val="minor"/>
      </rPr>
      <t>山本和臣</t>
    </r>
  </si>
  <si>
    <r>
      <t>由布院煙：</t>
    </r>
    <r>
      <rPr>
        <u/>
        <sz val="11"/>
        <color rgb="FF1155CC"/>
        <rFont val="Arial"/>
        <family val="2"/>
        <scheme val="minor"/>
      </rPr>
      <t>梅原裕一郎</t>
    </r>
  </si>
  <si>
    <r>
      <t>鬼怒川熱史：</t>
    </r>
    <r>
      <rPr>
        <u/>
        <sz val="11"/>
        <color rgb="FF1155CC"/>
        <rFont val="Arial"/>
        <family val="2"/>
        <scheme val="minor"/>
      </rPr>
      <t>西山宏太朗</t>
    </r>
  </si>
  <si>
    <r>
      <t>鳴子硫黄：</t>
    </r>
    <r>
      <rPr>
        <u/>
        <sz val="11"/>
        <color rgb="FF1155CC"/>
        <rFont val="Arial"/>
        <family val="2"/>
        <scheme val="minor"/>
      </rPr>
      <t>白井悠介</t>
    </r>
  </si>
  <si>
    <r>
      <t>蔵王立：</t>
    </r>
    <r>
      <rPr>
        <u/>
        <sz val="11"/>
        <color rgb="FF1155CC"/>
        <rFont val="Arial"/>
        <family val="2"/>
        <scheme val="minor"/>
      </rPr>
      <t>増田俊樹</t>
    </r>
  </si>
  <si>
    <r>
      <t>箱根強羅：</t>
    </r>
    <r>
      <rPr>
        <u/>
        <sz val="11"/>
        <color rgb="FF1155CC"/>
        <rFont val="Arial"/>
        <family val="2"/>
        <scheme val="minor"/>
      </rPr>
      <t>杉田智和</t>
    </r>
  </si>
  <si>
    <r>
      <t>草津錦史郎：</t>
    </r>
    <r>
      <rPr>
        <u/>
        <sz val="11"/>
        <color rgb="FF1155CC"/>
        <rFont val="Arial"/>
        <family val="2"/>
        <scheme val="minor"/>
      </rPr>
      <t>神谷浩史</t>
    </r>
  </si>
  <si>
    <r>
      <t>有馬燻：</t>
    </r>
    <r>
      <rPr>
        <u/>
        <sz val="11"/>
        <color rgb="FF1155CC"/>
        <rFont val="Arial"/>
        <family val="2"/>
        <scheme val="minor"/>
      </rPr>
      <t>福山潤</t>
    </r>
  </si>
  <si>
    <r>
      <t>下呂阿古哉：</t>
    </r>
    <r>
      <rPr>
        <u/>
        <sz val="11"/>
        <color rgb="FF1155CC"/>
        <rFont val="Arial"/>
        <family val="2"/>
        <scheme val="minor"/>
      </rPr>
      <t>寺島拓篤</t>
    </r>
  </si>
  <si>
    <r>
      <t>別府月彦：</t>
    </r>
    <r>
      <rPr>
        <u/>
        <sz val="11"/>
        <color rgb="FF1155CC"/>
        <rFont val="Arial"/>
        <family val="2"/>
        <scheme val="minor"/>
      </rPr>
      <t>河本啓佑</t>
    </r>
  </si>
  <si>
    <r>
      <t>別府日彦：</t>
    </r>
    <r>
      <rPr>
        <u/>
        <sz val="11"/>
        <color rgb="FF1155CC"/>
        <rFont val="Arial"/>
        <family val="2"/>
        <scheme val="minor"/>
      </rPr>
      <t>村上喜紀</t>
    </r>
  </si>
  <si>
    <t>朝日奈響也：逢坂良太</t>
  </si>
  <si>
    <t>藤村伊織：花江夏樹</t>
  </si>
  <si>
    <t>橘蒼星：豊永利行</t>
  </si>
  <si>
    <t>桜木陽向：上村祐翔</t>
  </si>
  <si>
    <t>新堂カイト：林勇</t>
  </si>
  <si>
    <t>雨宮仁：小野友樹</t>
  </si>
  <si>
    <t>城ヶ崎昴：畠中祐</t>
  </si>
  <si>
    <t>黒木崚介：古川慎</t>
  </si>
  <si>
    <t>灰羽拓真：斉藤壮馬</t>
  </si>
  <si>
    <t>藍沢湧太郎：鈴村健一</t>
  </si>
  <si>
    <t>白椋れい：山下大輝</t>
  </si>
  <si>
    <t>朱道岳：平川大輔</t>
  </si>
  <si>
    <t>マークス：熊谷健太郎</t>
  </si>
  <si>
    <t>ライク・ツー：広瀬裕也</t>
  </si>
  <si>
    <t>ジョージ：八代拓</t>
  </si>
  <si>
    <t>エンフィールド：鈴木勝吾</t>
  </si>
  <si>
    <t>スナイダー：柿原徹也</t>
  </si>
  <si>
    <t>ケンタッキー：梶裕貴</t>
  </si>
  <si>
    <t>ペンシルヴァニア：伊東健人</t>
  </si>
  <si>
    <t>スプリングフィールド：蒼井翔太</t>
  </si>
  <si>
    <t>シャルルヴィル：立花慎之介</t>
  </si>
  <si>
    <t>シャスポー：江口拓也</t>
  </si>
  <si>
    <t>グラース：寺島拓篤</t>
  </si>
  <si>
    <t>タバティエール：高橋広樹</t>
  </si>
  <si>
    <t>ドライゼ：佐藤拓也</t>
  </si>
  <si>
    <t>エルメ：諏訪部順一</t>
  </si>
  <si>
    <t>ジーグブルート：笠間淳</t>
  </si>
  <si>
    <t>ゴースト：真殿光昭</t>
  </si>
  <si>
    <t>十手：田所陽向</t>
  </si>
  <si>
    <t>キセル：鈴木達央</t>
  </si>
  <si>
    <t>邑田：深町寿成</t>
  </si>
  <si>
    <t>在坂：植田圭輔</t>
  </si>
  <si>
    <t>八九：鈴村健一</t>
  </si>
  <si>
    <t>カール：山谷祥生</t>
  </si>
  <si>
    <t>ローレンツ：西山宏太朗</t>
  </si>
  <si>
    <t>ベルガー：豊永利行</t>
  </si>
  <si>
    <t>ファル：前野智昭</t>
  </si>
  <si>
    <t>ミカエル：野島健児</t>
  </si>
  <si>
    <t>カトラリー：松岡禎丞</t>
  </si>
  <si>
    <t>ベネッタ：千葉進歩</t>
  </si>
  <si>
    <t>カルカノーレ：大塚剛央</t>
  </si>
  <si>
    <t>ベイカー：小松昌平</t>
  </si>
  <si>
    <t>イエヤス：梅原裕一郎</t>
  </si>
  <si>
    <t>ネオ・ミシェル：千葉翔也</t>
  </si>
  <si>
    <t>ヒュー・ガードナー：今井文也</t>
  </si>
  <si>
    <t>ディディ・セドリック・バード：広瀬裕也</t>
  </si>
  <si>
    <t>ラスカ・モンクリーフ：峯田大夢</t>
  </si>
  <si>
    <t>ランカ・マンク：佐藤元</t>
  </si>
  <si>
    <t>ラフタ・ヴォックス：畠中祐</t>
  </si>
  <si>
    <t>シュウ・アヤカシ：濱野大輝</t>
  </si>
  <si>
    <t>ノア・スラッガー：中島ヨシキ</t>
  </si>
  <si>
    <t>リゼ・クラージュ：福原かつみ</t>
  </si>
  <si>
    <t>シャン・ロゼリスト：小林親弘</t>
  </si>
  <si>
    <t>ニコラ・ヴァニテール：佐藤悠雅</t>
  </si>
  <si>
    <t>スー・シューヴリール：野島健児</t>
  </si>
  <si>
    <t>エリー・サンドリヨン：島﨑信長</t>
  </si>
  <si>
    <t>アッシュ・フラジール：矢野奨吾</t>
  </si>
  <si>
    <t>レント・フラジール：古川慎</t>
  </si>
  <si>
    <t>九条朔夜：日野聡</t>
  </si>
  <si>
    <t>成宮智治：武内駿輔</t>
  </si>
  <si>
    <t>竜崎疾風：森田成一</t>
  </si>
  <si>
    <t>一ノ瀬銀河：福山潤</t>
  </si>
  <si>
    <t>桐ケ谷晃：谷山紀章</t>
  </si>
  <si>
    <t>刑部斉士：伊藤健太郎</t>
  </si>
  <si>
    <t>弓原凛：田丸篤志</t>
  </si>
  <si>
    <t>榛名流星：小野将夢</t>
  </si>
  <si>
    <t>赤羽拓斗：野島裕史</t>
  </si>
  <si>
    <t>三上蒼司：岸尾だいすけ</t>
  </si>
  <si>
    <t>南乙音：熊谷健太郎</t>
  </si>
  <si>
    <t>御門浮葉：前野智昭</t>
  </si>
  <si>
    <t>鷲上源一郎：内田夕夜</t>
  </si>
  <si>
    <t>堂本大我：小西克幸</t>
  </si>
  <si>
    <t>笹塚創：石川英郎</t>
  </si>
  <si>
    <t>仁科諒介：保村真</t>
  </si>
  <si>
    <t>月城慧：宮野真守</t>
  </si>
  <si>
    <t>巽瑛一：三浦祥朗</t>
  </si>
  <si>
    <t>宇賀神惟世：古川慎</t>
  </si>
  <si>
    <t>宇賀神七瀬：小林裕介</t>
  </si>
  <si>
    <t>逆巻アヤト：緑川光</t>
  </si>
  <si>
    <t>逆巻カナト：梶裕貴</t>
  </si>
  <si>
    <t>逆巻ライト：平川大輔</t>
  </si>
  <si>
    <t>逆巻シュウ：鳥海浩輔</t>
  </si>
  <si>
    <t>逆巻レイジ：小西克幸</t>
  </si>
  <si>
    <t>逆巻スバル：近藤隆</t>
  </si>
  <si>
    <t>無神ルキ：櫻井孝宏</t>
  </si>
  <si>
    <t>無神コウ：木村良平</t>
  </si>
  <si>
    <t>無神ユーマ：鈴木達央</t>
  </si>
  <si>
    <t>無神アズサ：岸尾だいすけ</t>
  </si>
  <si>
    <t>月浪カルラ：森川智之</t>
  </si>
  <si>
    <t>月浪シン：森久保祥太郎</t>
  </si>
  <si>
    <t>キノ：前野智昭</t>
  </si>
  <si>
    <t>ノエ：上村祐翔</t>
  </si>
  <si>
    <t>レオード：増田俊樹</t>
  </si>
  <si>
    <t>シンバ：八代拓</t>
  </si>
  <si>
    <t>トーマ：武内駿輔</t>
  </si>
  <si>
    <t>シックス：立花慎之介</t>
  </si>
  <si>
    <t>エーダッシュ：木村良平</t>
  </si>
  <si>
    <t>ナイトメア：田丸篤志</t>
  </si>
  <si>
    <t>ジン：寺島惇太</t>
  </si>
  <si>
    <t>カイト：小林裕介</t>
  </si>
  <si>
    <t>ユゥ：花江夏樹</t>
  </si>
  <si>
    <t>コーシ：榎木淳弥</t>
  </si>
  <si>
    <t>シモン：石川界人</t>
  </si>
  <si>
    <t>ジュダ：斉藤壮馬</t>
  </si>
  <si>
    <t>シズル：山谷祥生</t>
  </si>
  <si>
    <t>オーギ：古川慎</t>
  </si>
  <si>
    <t>モモチ：豊永利行</t>
  </si>
  <si>
    <t>アマ：河西健吾</t>
  </si>
  <si>
    <t>ヤマト：土岐隼一</t>
  </si>
  <si>
    <t>ソータ：永塚拓馬</t>
  </si>
  <si>
    <t>マツ：小林千晃</t>
  </si>
  <si>
    <t>ヨシュア：島﨑信長</t>
  </si>
  <si>
    <t>ユキ：柿原徹也</t>
  </si>
  <si>
    <t>シエル：KENN</t>
  </si>
  <si>
    <t>ヨハネ：ランズベリー・アーサー</t>
  </si>
  <si>
    <t>アイス：大河元気</t>
  </si>
  <si>
    <t>レヴェリー：前野智昭</t>
  </si>
  <si>
    <t>ルカ：蒼井翔太</t>
  </si>
  <si>
    <t>東海林鈴音：小野賢章</t>
  </si>
  <si>
    <t>咖山喱人：菊池幸利</t>
  </si>
  <si>
    <t>雷電遊生：鈴木裕斗</t>
  </si>
  <si>
    <t>高良摩利央：阿座上洋平</t>
  </si>
  <si>
    <t>飴屋楊：笠間淳</t>
  </si>
  <si>
    <t>根岸優歌：寺島惇太</t>
  </si>
  <si>
    <t>戸成綾：山口智広</t>
  </si>
  <si>
    <t>諏訪海晴：伊藤昌弘</t>
  </si>
  <si>
    <t>北颯：矢野奨吾</t>
  </si>
  <si>
    <t>英皐月：高塚智人</t>
  </si>
  <si>
    <t>高岩大智：井上雄貴</t>
  </si>
  <si>
    <t>空蝉塁：住谷哲栄</t>
  </si>
  <si>
    <t>青葉梟光加人：島﨑信長</t>
  </si>
  <si>
    <t>綜馬礼：太田将熙</t>
  </si>
  <si>
    <t>武庸裕哉：青山凌大</t>
  </si>
  <si>
    <t>百瀬志生：古田一紀</t>
  </si>
  <si>
    <t>神堂唯姫：田丸篤志</t>
  </si>
  <si>
    <t>樅野葵：福崎那由他</t>
  </si>
  <si>
    <t>竹下宮斗：岩崎友泰</t>
  </si>
  <si>
    <t>蜂谷恒星：林優大</t>
  </si>
  <si>
    <t>饗庭紡麦：高橋英則</t>
  </si>
  <si>
    <t>不動雅：峯田大夢</t>
  </si>
  <si>
    <t>伍代晃：三浦祥朗</t>
  </si>
  <si>
    <t>大崎新市：菅沼久義</t>
  </si>
  <si>
    <t>一条肇：古田一晟</t>
  </si>
  <si>
    <t>和泉オーキッド亜恋：森嶋秀太</t>
  </si>
  <si>
    <t>羽振寿里：小山剛志</t>
  </si>
  <si>
    <t>湊航琉：狩野翔</t>
  </si>
  <si>
    <t>烏鷹鉄路：井上和彦</t>
  </si>
  <si>
    <t>小鳥遊悠吏：梶原岳人</t>
  </si>
  <si>
    <t>遊佐春馬：千葉翔也</t>
  </si>
  <si>
    <t>八神改：伊東健人</t>
  </si>
  <si>
    <t>妃魔央：浦和希</t>
  </si>
  <si>
    <t>四条憶人：海渡翼</t>
  </si>
  <si>
    <t>丙辰巳：小林親弘</t>
  </si>
  <si>
    <t>倉田都：寺島惇太</t>
  </si>
  <si>
    <t>天宮祀：河西健吾</t>
  </si>
  <si>
    <t>藤林七夜：浦田わたる</t>
  </si>
  <si>
    <t>吉良虎太郎：小林大紀</t>
  </si>
  <si>
    <t>宇佐美絵馬：木暮晃石</t>
  </si>
  <si>
    <t>北門倫毘沙：小野大輔</t>
  </si>
  <si>
    <t>是国竜持：岸尾だいすけ</t>
  </si>
  <si>
    <t>金城剛士：豊永利行</t>
  </si>
  <si>
    <t>阿修悠太：花江夏樹</t>
  </si>
  <si>
    <t>愛染健十：加藤和樹</t>
  </si>
  <si>
    <t>増長和南：上村祐翔</t>
  </si>
  <si>
    <t>音済百太郎：柿原徹也</t>
  </si>
  <si>
    <t>王茶利暉：森久保祥太郎</t>
  </si>
  <si>
    <t>野目龍広：大河元気</t>
  </si>
  <si>
    <t>釈村帝人：増田俊樹</t>
  </si>
  <si>
    <t>寺光唯月：西山宏太朗</t>
  </si>
  <si>
    <t>寺光遙日：八代拓</t>
  </si>
  <si>
    <t>不動明謙：千葉翔也</t>
  </si>
  <si>
    <t>殿弥勒：江口拓也</t>
  </si>
  <si>
    <t>倉田永輔：畠中祐</t>
  </si>
  <si>
    <t>柏木文太：伊東健人</t>
  </si>
  <si>
    <t>鑑香水月：野島健児</t>
  </si>
  <si>
    <t>秋月甲斐：江口拓也</t>
  </si>
  <si>
    <t>麻布汐：豊永利行</t>
  </si>
  <si>
    <t>芦原倖乎：蒼井翔太</t>
  </si>
  <si>
    <t>新木完：佐藤祐吾</t>
  </si>
  <si>
    <t>飯盛駆：浅沼晋太郎</t>
  </si>
  <si>
    <t>一乗谷羚：緑川光</t>
  </si>
  <si>
    <t>魚津鯆澄：KENN</t>
  </si>
  <si>
    <t>臼杵鷲帆：竹内良太</t>
  </si>
  <si>
    <t>宇和島麒平：森嶋秀太</t>
  </si>
  <si>
    <t>円城寺三毛：小野友樹</t>
  </si>
  <si>
    <t>往田詩：保住有哉</t>
  </si>
  <si>
    <t>小田原牧：速水奨</t>
  </si>
  <si>
    <t>音之宮朔：梶原岳人</t>
  </si>
  <si>
    <t>神樂蒼介：浦田わたる</t>
  </si>
  <si>
    <t>葛野大路颯馬：置鮎龍太郎</t>
  </si>
  <si>
    <t>清洲鷹翌：鳥海浩輔</t>
  </si>
  <si>
    <t>霧山一：梅原裕一郎</t>
  </si>
  <si>
    <t>柴島犾：石谷春貴</t>
  </si>
  <si>
    <t>五本松大：濱野大輝</t>
  </si>
  <si>
    <t>五月女燎：坪井智浩</t>
  </si>
  <si>
    <t>志戸穂：高橋直純</t>
  </si>
  <si>
    <t>高天神一兎：逢坂良太</t>
  </si>
  <si>
    <t>長野影虎：堀川りょう</t>
  </si>
  <si>
    <t>七尾士狼：柿原徹也</t>
  </si>
  <si>
    <t>鳴子郁：佐藤拓也</t>
  </si>
  <si>
    <t>二条佐斗流：ランズベリー・アーサー</t>
  </si>
  <si>
    <t>二条佑斗：古川慎</t>
  </si>
  <si>
    <t>花隈竜之介：小野賢章</t>
  </si>
  <si>
    <t>東本桂士：杉山紀彰</t>
  </si>
  <si>
    <t>丸目千熊：木村昴</t>
  </si>
  <si>
    <t>光司陽太：保志総一朗</t>
  </si>
  <si>
    <t>湯山靖隼：増田俊樹</t>
  </si>
  <si>
    <t>星谷悠太：花江夏樹</t>
  </si>
  <si>
    <t>那雪透：小野賢章</t>
  </si>
  <si>
    <t>月皇海斗：ランズベリー・アーサー</t>
  </si>
  <si>
    <t>天花寺翔：細谷佳正</t>
  </si>
  <si>
    <t>空閑愁：前野智昭</t>
  </si>
  <si>
    <t>鳳樹：諏訪部順一</t>
  </si>
  <si>
    <t>柊翼：平川大輔</t>
  </si>
  <si>
    <t>暁鏡司：森久保祥太郎</t>
  </si>
  <si>
    <t>楪＝クリスチアン＝リオン：鳥海浩輔</t>
  </si>
  <si>
    <t>漣朔也：羽多野渉</t>
  </si>
  <si>
    <t>辰己琉唯：岡本信彦</t>
  </si>
  <si>
    <t>申渡栄吾：内田雄馬</t>
  </si>
  <si>
    <t>戌峰誠士郎：興津和幸</t>
  </si>
  <si>
    <t>虎石和泉：KENN</t>
  </si>
  <si>
    <t>卯川晶：松岡禎丞</t>
  </si>
  <si>
    <t>揚羽陸：島﨑信長</t>
  </si>
  <si>
    <t>蜂矢聡：高梨謙吾</t>
  </si>
  <si>
    <t>北原廉：梅原裕一郎</t>
  </si>
  <si>
    <t>南條聖：武内駿輔</t>
  </si>
  <si>
    <t>四季斗真：浪川大輔</t>
  </si>
  <si>
    <t>冬沢亮：斉藤壮馬</t>
  </si>
  <si>
    <t>春日野詩音：山下大輝</t>
  </si>
  <si>
    <t>入夏将志：逢坂良太</t>
  </si>
  <si>
    <t>千秋貴史：小西克幸</t>
  </si>
  <si>
    <t>イタリア：浪川大輔</t>
  </si>
  <si>
    <t>ロマーノ：浪川大輔</t>
  </si>
  <si>
    <t>ドイツ：安元洋貴</t>
  </si>
  <si>
    <t>日本：高橋広樹</t>
  </si>
  <si>
    <t>アメリカ：小西克幸</t>
  </si>
  <si>
    <t>カナダ：小西克幸</t>
  </si>
  <si>
    <t>イギリス：杉山紀彰</t>
  </si>
  <si>
    <t>スコットランド：杉山紀彰</t>
  </si>
  <si>
    <t>北アイルランド：杉山紀彰</t>
  </si>
  <si>
    <t>ウェールズ：杉山紀彰</t>
  </si>
  <si>
    <t>フランス：小野坂昌也</t>
  </si>
  <si>
    <t>ロシア：高戸靖広</t>
  </si>
  <si>
    <t>スペイン：井上剛</t>
  </si>
  <si>
    <t>ブルガリア：井上剛</t>
  </si>
  <si>
    <t>プロイセン：髙坂篤志</t>
  </si>
  <si>
    <t>ギリシャ：髙坂篤志</t>
  </si>
  <si>
    <t>エストニア：髙坂篤志</t>
  </si>
  <si>
    <t>スロバキア：小林裕介</t>
  </si>
  <si>
    <t>ポルトガル：梅原裕一郎</t>
  </si>
  <si>
    <t>ルクセンブルク：八代拓</t>
  </si>
  <si>
    <t>オーストリア：笹沼晃</t>
  </si>
  <si>
    <t>フィンランド：水島大宙</t>
  </si>
  <si>
    <t>スウェーデン：酒井敬幸</t>
  </si>
  <si>
    <t>オーストラリア：浅井慶一郎</t>
  </si>
  <si>
    <t>オランダ：峯暢也</t>
  </si>
  <si>
    <t>中島敦：上村祐翔</t>
  </si>
  <si>
    <t>太宰治：宮野真守</t>
  </si>
  <si>
    <t>国木田独歩：細谷佳正</t>
  </si>
  <si>
    <t>江戸川乱歩：神谷浩史</t>
  </si>
  <si>
    <t>谷崎潤一郎：豊永利行</t>
  </si>
  <si>
    <t>宮沢賢治：花倉桔道</t>
  </si>
  <si>
    <t>福沢諭吉：小山力也</t>
  </si>
  <si>
    <t>芥川龍之介：小野賢章</t>
  </si>
  <si>
    <t>中原中也：谷山紀章</t>
  </si>
  <si>
    <t>梶井基次郎：羽多野渉</t>
  </si>
  <si>
    <t>森鴎外：宮本充</t>
  </si>
  <si>
    <t>フランシス・F：櫻井孝宏</t>
  </si>
  <si>
    <t>ポオ：森川智之</t>
  </si>
  <si>
    <t>フョードル・D：石田彰</t>
  </si>
  <si>
    <t>ニコライ・G：子安武人</t>
  </si>
  <si>
    <t>シグマ：千葉翔也</t>
  </si>
  <si>
    <t>ブラム：津田健次郎</t>
  </si>
  <si>
    <t>小栗虫太郎：草尾毅</t>
  </si>
  <si>
    <t>条野採菊：梶裕貴</t>
  </si>
  <si>
    <t>末広鉄腸：阿座上洋平</t>
  </si>
  <si>
    <t>立原道造：林勇</t>
  </si>
  <si>
    <t>福地桜痴：大塚明夫</t>
  </si>
  <si>
    <t>織田作之助：諏訪部順一</t>
  </si>
  <si>
    <r>
      <t>おそ松：</t>
    </r>
    <r>
      <rPr>
        <u/>
        <sz val="11"/>
        <color rgb="FF1155CC"/>
        <rFont val="Arial"/>
        <family val="2"/>
        <scheme val="minor"/>
      </rPr>
      <t>櫻井孝宏</t>
    </r>
  </si>
  <si>
    <r>
      <t>カラ松：</t>
    </r>
    <r>
      <rPr>
        <u/>
        <sz val="11"/>
        <color rgb="FF1155CC"/>
        <rFont val="Arial"/>
        <family val="2"/>
        <scheme val="minor"/>
      </rPr>
      <t>中村悠一</t>
    </r>
  </si>
  <si>
    <r>
      <t>チョロ松：</t>
    </r>
    <r>
      <rPr>
        <u/>
        <sz val="11"/>
        <color rgb="FF1155CC"/>
        <rFont val="Arial"/>
        <family val="2"/>
        <scheme val="minor"/>
      </rPr>
      <t>神谷浩史</t>
    </r>
  </si>
  <si>
    <r>
      <t>一松：</t>
    </r>
    <r>
      <rPr>
        <u/>
        <sz val="11"/>
        <color rgb="FF1155CC"/>
        <rFont val="Arial"/>
        <family val="2"/>
        <scheme val="minor"/>
      </rPr>
      <t>福山潤</t>
    </r>
  </si>
  <si>
    <r>
      <t>十四松：</t>
    </r>
    <r>
      <rPr>
        <u/>
        <sz val="11"/>
        <color rgb="FF1155CC"/>
        <rFont val="Arial"/>
        <family val="2"/>
        <scheme val="minor"/>
      </rPr>
      <t>小野大輔</t>
    </r>
  </si>
  <si>
    <r>
      <t>トド松：</t>
    </r>
    <r>
      <rPr>
        <u/>
        <sz val="11"/>
        <color rgb="FF1155CC"/>
        <rFont val="Arial"/>
        <family val="2"/>
        <scheme val="minor"/>
      </rPr>
      <t>入野自由</t>
    </r>
  </si>
  <si>
    <t>ヤス：伊東健人</t>
  </si>
  <si>
    <t>ハッチン：小松昌平</t>
  </si>
  <si>
    <t>ジョウ：小野友樹</t>
  </si>
  <si>
    <t>双循：白井悠介</t>
  </si>
  <si>
    <t>クロウ：谷山紀章</t>
  </si>
  <si>
    <t>アイオーン：内山昂輝</t>
  </si>
  <si>
    <t>ヤイバ：柿原徹也</t>
  </si>
  <si>
    <t>ロム：細谷佳正</t>
  </si>
  <si>
    <t>シュウ☆ゾー：宮野真守</t>
  </si>
  <si>
    <t>リク：村瀬歩</t>
  </si>
  <si>
    <t>カイ：逢坂良太</t>
  </si>
  <si>
    <t>チタン：小林裕介</t>
  </si>
  <si>
    <t>オリオン：八代拓</t>
  </si>
  <si>
    <t>セレン：筆村栄心</t>
  </si>
  <si>
    <t>アルゴン：沢城千春</t>
  </si>
  <si>
    <t>リカオ：古川慎</t>
  </si>
  <si>
    <t>東雲彰人：今井文也</t>
  </si>
  <si>
    <t>青柳冬弥：伊東健人</t>
  </si>
  <si>
    <t>天馬司：廣瀬大介</t>
  </si>
  <si>
    <t>神代類：土岐隼一</t>
  </si>
  <si>
    <t>ガイア：鳥海浩輔</t>
  </si>
  <si>
    <t>ディルック：小野賢章</t>
  </si>
  <si>
    <t>レザー：内山昂輝</t>
  </si>
  <si>
    <t>ベネット：逢坂良太</t>
  </si>
  <si>
    <t>ウェンティ：村瀬歩</t>
  </si>
  <si>
    <t>アルベド：野島健児</t>
  </si>
  <si>
    <t>ダリア：山本和臣</t>
  </si>
  <si>
    <t>ドゥリン：小林千晃</t>
  </si>
  <si>
    <t>魈：松岡禎丞</t>
  </si>
  <si>
    <t>鍾離：前野智昭</t>
  </si>
  <si>
    <t>重雲：斉藤壮馬</t>
  </si>
  <si>
    <t>白朮：遊佐浩二</t>
  </si>
  <si>
    <t>嘉明：小松昌平</t>
  </si>
  <si>
    <t>楓原万葉：島﨑信長</t>
  </si>
  <si>
    <t>トーマ：森田成一</t>
  </si>
  <si>
    <t>荒瀧一斗：西川貴教</t>
  </si>
  <si>
    <t>ゴロー：畠中祐</t>
  </si>
  <si>
    <t>神里綾人：石田彰</t>
  </si>
  <si>
    <t>鹿野院平蔵：井口祐一</t>
  </si>
  <si>
    <t>セノ：入野自由</t>
  </si>
  <si>
    <t>放浪者：柿原徹也</t>
  </si>
  <si>
    <t>アルハイゼン：梅原裕一郎</t>
  </si>
  <si>
    <t>カーヴェ：内田雄馬</t>
  </si>
  <si>
    <t>セトス：千葉翔也</t>
  </si>
  <si>
    <t>リネ：下野紘</t>
  </si>
  <si>
    <t>フレミネ：土岐隼一</t>
  </si>
  <si>
    <t>ヌヴィレット：神谷浩史</t>
  </si>
  <si>
    <t>リオセスリ：小野大輔</t>
  </si>
  <si>
    <t>キィニチ：杉山紀彰</t>
  </si>
  <si>
    <t>オロルン：近藤隆</t>
  </si>
  <si>
    <t>イファ：寺島惇太</t>
  </si>
  <si>
    <t>タルタリヤ：木村良平</t>
  </si>
  <si>
    <t>フリンズ：中村悠一</t>
  </si>
  <si>
    <t>イルーガ：梅田修一朗</t>
  </si>
  <si>
    <t>アリョーシャ：佐藤元</t>
  </si>
  <si>
    <t>源朔：伊東健人</t>
  </si>
  <si>
    <t>安酸栄都：榎木淳弥</t>
  </si>
  <si>
    <t>鍛炭六花：田丸篤志</t>
  </si>
  <si>
    <t>宇緑四季：古川慎</t>
  </si>
  <si>
    <t>凍硝七瀬：堀江瞬</t>
  </si>
  <si>
    <t>浮石三宙：西山宏太朗</t>
  </si>
  <si>
    <t>鐵仁武：濱野大輝</t>
  </si>
  <si>
    <t>舎利弗玖苑：逢坂良太</t>
  </si>
  <si>
    <t>塩水流一那：岡本信彦</t>
  </si>
  <si>
    <t>清硫十六夜：安元洋貴</t>
  </si>
  <si>
    <t>魅上才悟：安田陸矢</t>
  </si>
  <si>
    <t>伊織陽真：内田雄馬</t>
  </si>
  <si>
    <t>深水紫苑：田丸篤志</t>
  </si>
  <si>
    <t>蒲生慈玄：岡本信彦</t>
  </si>
  <si>
    <t>荒鬼狂介：田邊幸輔</t>
  </si>
  <si>
    <t>神威為士：河西健吾</t>
  </si>
  <si>
    <t>阿形松之助：佐藤拓也</t>
  </si>
  <si>
    <t>ルーイ：熊谷健太郎</t>
  </si>
  <si>
    <t>ランス天堂：天﨑滉平</t>
  </si>
  <si>
    <t>Q：天﨑滉平</t>
  </si>
  <si>
    <t>海羽静流：阿座上洋平</t>
  </si>
  <si>
    <t>宗雲：立花慎之介</t>
  </si>
  <si>
    <t>颯：KENN</t>
  </si>
  <si>
    <t>皇紀：松岡禎丞</t>
  </si>
  <si>
    <t>浄：高橋広樹</t>
  </si>
  <si>
    <t>高塔戴天：福山潤</t>
  </si>
  <si>
    <t>高塔雨竜：斉藤壮馬</t>
  </si>
  <si>
    <t>久城駆：江口拓也</t>
  </si>
  <si>
    <t>フラリオ：小野友樹</t>
  </si>
  <si>
    <r>
      <t>高科更文：</t>
    </r>
    <r>
      <rPr>
        <u/>
        <sz val="11"/>
        <color rgb="FF1155CC"/>
        <rFont val="Arial"/>
        <family val="2"/>
        <scheme val="minor"/>
      </rPr>
      <t>近藤孝行</t>
    </r>
  </si>
  <si>
    <r>
      <t>睦実介：</t>
    </r>
    <r>
      <rPr>
        <u/>
        <sz val="11"/>
        <color rgb="FF1155CC"/>
        <rFont val="Arial"/>
        <family val="2"/>
        <scheme val="minor"/>
      </rPr>
      <t>笠間淳</t>
    </r>
  </si>
  <si>
    <r>
      <t>根地黒門：</t>
    </r>
    <r>
      <rPr>
        <u/>
        <sz val="11"/>
        <color rgb="FF1155CC"/>
        <rFont val="Arial"/>
        <family val="2"/>
        <scheme val="minor"/>
      </rPr>
      <t>岸尾だいすけ</t>
    </r>
  </si>
  <si>
    <r>
      <t>白田美ツ騎：</t>
    </r>
    <r>
      <rPr>
        <u/>
        <sz val="11"/>
        <color rgb="FF1155CC"/>
        <rFont val="Arial"/>
        <family val="2"/>
        <scheme val="minor"/>
      </rPr>
      <t>梶原岳人</t>
    </r>
  </si>
  <si>
    <r>
      <t>織巻寿々：</t>
    </r>
    <r>
      <rPr>
        <u/>
        <sz val="11"/>
        <color rgb="FF1155CC"/>
        <rFont val="Arial"/>
        <family val="2"/>
        <scheme val="minor"/>
      </rPr>
      <t>内田雄馬</t>
    </r>
  </si>
  <si>
    <r>
      <t>世長創司郎：</t>
    </r>
    <r>
      <rPr>
        <u/>
        <sz val="11"/>
        <color rgb="FF1155CC"/>
        <rFont val="Arial"/>
        <family val="2"/>
        <scheme val="minor"/>
      </rPr>
      <t>佐藤元</t>
    </r>
  </si>
  <si>
    <t>ダンテ・ファルツォーネ：石川界人</t>
  </si>
  <si>
    <t>ギルバート・レッドフォード：森久保祥太郎</t>
  </si>
  <si>
    <t>楊：岡本信彦</t>
  </si>
  <si>
    <t>ニコラ・フランチェスカ：木村良平</t>
  </si>
  <si>
    <t>オルロック：豊永利行</t>
  </si>
  <si>
    <t>アンリ・ランベール：立花慎之介</t>
  </si>
  <si>
    <t>箕輪斗々丸：KENN</t>
  </si>
  <si>
    <t>金春貴之：蒼井翔太</t>
  </si>
  <si>
    <t>相楽天馬：石川界人</t>
  </si>
  <si>
    <t>吉良麟太郎：細谷佳正</t>
  </si>
  <si>
    <t>未良子裕太：柿原徹也</t>
  </si>
  <si>
    <t>鬼ヶ島鳳凰：前野智昭</t>
  </si>
  <si>
    <t>リーズ・ルネ・シャナ：内田雄馬</t>
  </si>
  <si>
    <t>レクス・ド・クラーシェル：浦和希</t>
  </si>
  <si>
    <t>ヴァーデス：山下誠一郎</t>
  </si>
  <si>
    <t>フラトニス・ライラプス：野島健児</t>
  </si>
  <si>
    <t>クロノール：古川慎</t>
  </si>
  <si>
    <t>God：梶裕貴</t>
  </si>
  <si>
    <t>シオ：土田玲央</t>
  </si>
  <si>
    <t>リュウ：石橋陽彩</t>
  </si>
  <si>
    <t>ラドン：羽多野渉</t>
  </si>
  <si>
    <t>タンソ：増田俊樹</t>
  </si>
  <si>
    <t>テツ：置鮎龍太郎</t>
  </si>
  <si>
    <t>ジュウソウ：土屋神葉</t>
  </si>
  <si>
    <t>ガンヨウ：小野友樹</t>
  </si>
  <si>
    <t>サン：戸谷菊之介</t>
  </si>
  <si>
    <t>イオウ：今井文也</t>
  </si>
  <si>
    <t>ジュン：廣瀬大介</t>
  </si>
  <si>
    <t>エスパダ：古川慎</t>
  </si>
  <si>
    <t>フィオーリ：花江夏樹</t>
  </si>
  <si>
    <t>エリク：島﨑信長</t>
  </si>
  <si>
    <t>オスカー：前野智昭</t>
  </si>
  <si>
    <t>メーレ：櫻井孝宏</t>
  </si>
  <si>
    <t>カイ：豊永利行</t>
  </si>
  <si>
    <t>ティス：西山宏太朗</t>
  </si>
  <si>
    <t>ローゼ：河西健吾</t>
  </si>
  <si>
    <t>アダラ：諏訪部順一</t>
  </si>
  <si>
    <t>ヴァニス：逢坂良太</t>
  </si>
  <si>
    <t>イヴ：斉藤壮馬</t>
  </si>
  <si>
    <t>リュカ・プルースト：平川大輔</t>
  </si>
  <si>
    <t>マティス・クロード：天﨑滉平</t>
  </si>
  <si>
    <t>シアン・ブロフィワーズ：細谷佳正</t>
  </si>
  <si>
    <t>アドルフ：八代拓</t>
  </si>
  <si>
    <t>アンクゥ：興津和幸</t>
  </si>
  <si>
    <t>矢代：小林千晃</t>
  </si>
  <si>
    <t>帷：岡本信彦</t>
  </si>
  <si>
    <t>淡雪：斉藤壮馬</t>
  </si>
  <si>
    <t>依：江口拓也</t>
  </si>
  <si>
    <t>露草：松岡禎丞</t>
  </si>
  <si>
    <t>鳴神：日野聡</t>
  </si>
  <si>
    <t>大樹：豊永利行</t>
  </si>
  <si>
    <t>潮路：吉村和紘</t>
  </si>
  <si>
    <t>松柏：岩崎征実</t>
  </si>
  <si>
    <t>石蕗：阿座上洋平</t>
  </si>
  <si>
    <t>結城怜二：関智一</t>
  </si>
  <si>
    <t>風晴優人：島﨑信長</t>
  </si>
  <si>
    <t>東海林広樹：木村良平</t>
  </si>
  <si>
    <t>花澤聖騎士：羽多野渉</t>
  </si>
  <si>
    <t>輿水直：重松千晴</t>
  </si>
  <si>
    <t>空田圭介：小林裕介</t>
  </si>
  <si>
    <t>火村匠：阿座上洋平</t>
  </si>
  <si>
    <t>山神斗真：興津和幸</t>
  </si>
  <si>
    <t>白鳥譲治：浅利遼太</t>
  </si>
  <si>
    <t>春野隆宏：神尾晋一郎</t>
  </si>
  <si>
    <t>夏井流星：河西健吾</t>
  </si>
  <si>
    <t>秋元奏太：津田拓也</t>
  </si>
  <si>
    <t>雪原和哉：北田理道</t>
  </si>
  <si>
    <t>エース：平川大輔</t>
  </si>
  <si>
    <t>ボリス＝エレイ：杉山紀彰</t>
  </si>
  <si>
    <t>ナイトメア＝ゴットシャルク：小野友樹</t>
  </si>
  <si>
    <t>グレイ＝リングマーク：中井和哉</t>
  </si>
  <si>
    <t>ジョーカー：興津和幸</t>
  </si>
  <si>
    <t>ハンニバル＝ゴールド：石川界人</t>
  </si>
  <si>
    <t>ブラッド＝デュプレ：小西克幸</t>
  </si>
  <si>
    <t>エリオット＝マーチ：最上嗣生</t>
  </si>
  <si>
    <t>トゥイードル＝ディー：八代拓</t>
  </si>
  <si>
    <t>トゥイードル＝ダム：天﨑滉平</t>
  </si>
  <si>
    <t>ルイス＝キャロル：津田健次郎</t>
  </si>
  <si>
    <t>クイン＝シルバー：浅沼晋太郎</t>
  </si>
  <si>
    <t>ペーター＝ホワイト：宮田幸季</t>
  </si>
  <si>
    <t>ユリウス＝モンレー：子安武人</t>
  </si>
  <si>
    <t>ユエ：土屋神葉</t>
  </si>
  <si>
    <t>ヴァージル：宮崎遊</t>
  </si>
  <si>
    <t>カナタ：大塚剛央</t>
  </si>
  <si>
    <t>シュリ：佐藤拓也</t>
  </si>
  <si>
    <t>ミラン：小松昌平</t>
  </si>
  <si>
    <t>ゼノ：島﨑信長</t>
  </si>
  <si>
    <t>フェリクス：上村祐翔</t>
  </si>
  <si>
    <t>ロレンツォ：竹内良太</t>
  </si>
  <si>
    <t>サイラス：小野友樹</t>
  </si>
  <si>
    <t>タイラー：今井文也</t>
  </si>
  <si>
    <t>朱砂：松岡禎丞</t>
  </si>
  <si>
    <t>玄葉：杉田智和</t>
  </si>
  <si>
    <t>璃空：島﨑信長</t>
  </si>
  <si>
    <t>天草四郎時貞：上村祐翔</t>
  </si>
  <si>
    <t>縁：内田雄馬</t>
  </si>
  <si>
    <t>ヒムカ：堀江瞬</t>
  </si>
  <si>
    <t>柳愛時：森田成一</t>
  </si>
  <si>
    <t>岡崎契：梶裕貴</t>
  </si>
  <si>
    <t>榎本峰雄：斉藤壮馬</t>
  </si>
  <si>
    <t>笹塚尊：浪川大輔</t>
  </si>
  <si>
    <t>白石景之：木村良平</t>
  </si>
  <si>
    <t>音羽慎之介：岸尾だいすけ</t>
  </si>
  <si>
    <t>霧島司：浪川大輔</t>
  </si>
  <si>
    <t>辻魁斗：柿原徹也</t>
  </si>
  <si>
    <t>不破剣人：日野聡</t>
  </si>
  <si>
    <t>伊達京也：鳥海浩輔</t>
  </si>
  <si>
    <t>神崎透：江口拓也</t>
  </si>
  <si>
    <t>輝崎千紘：佐藤拓也</t>
  </si>
  <si>
    <t>一色葵：益山武明</t>
  </si>
  <si>
    <t>櫻井百瀬：木村良平</t>
  </si>
  <si>
    <t>吉條七緒：梶原岳人</t>
  </si>
  <si>
    <t>輝崎蛍：豊永利行</t>
  </si>
  <si>
    <t>雅野椿：永塚拓馬</t>
  </si>
  <si>
    <t>加賀谷蓮：小野友樹</t>
  </si>
  <si>
    <t>鳥羽霞：松岡禎丞</t>
  </si>
  <si>
    <t>橘央太：小野賢章</t>
  </si>
  <si>
    <t>藤間鈴：三浦祥朗</t>
  </si>
  <si>
    <t>青柳帝：石谷春貴</t>
  </si>
  <si>
    <t>夜来立夏：石川界人</t>
  </si>
  <si>
    <t>浮間志朗：千葉翔也</t>
  </si>
  <si>
    <t>辺見宙：逢坂良太</t>
  </si>
  <si>
    <t>天橋幸弥：深町寿成</t>
  </si>
  <si>
    <t>雛瀬碧鳥：古川慎</t>
  </si>
  <si>
    <t>見明佐和：興津和幸</t>
  </si>
  <si>
    <t>小野屋あずき：堀江瞬</t>
  </si>
  <si>
    <t>天神陽人：仲村宗悟</t>
  </si>
  <si>
    <t>冠嵐真：廣瀬大介</t>
  </si>
  <si>
    <t>光城新多：榎木淳弥</t>
  </si>
  <si>
    <t>森重優那：畠中祐</t>
  </si>
  <si>
    <t>愛澤心：赤羽根健治</t>
  </si>
  <si>
    <t>黒曜護：広瀬裕也</t>
  </si>
  <si>
    <t>神谷祈：濱野大輝</t>
  </si>
  <si>
    <t>橋倉杏：代永翼</t>
  </si>
  <si>
    <t>白雪零：平川大輔</t>
  </si>
  <si>
    <t>雨知祭利：阿部敦</t>
  </si>
  <si>
    <t>美和巴：上村祐翔</t>
  </si>
  <si>
    <t>荒木冴：新垣樽助</t>
  </si>
  <si>
    <t>夜野零士：室元気</t>
  </si>
  <si>
    <t>朝日ソラ：梶原岳人</t>
  </si>
  <si>
    <t>日向まひる：児玉卓也</t>
  </si>
  <si>
    <t>月光院ノエル：松岡禎丞</t>
  </si>
  <si>
    <t>紫藤晶：立花慎之介</t>
  </si>
  <si>
    <t>影宮蛍：豊永利行</t>
  </si>
  <si>
    <t>椿聖人：杉山紀彰</t>
  </si>
  <si>
    <t>八神創真：浪川大輔</t>
  </si>
  <si>
    <t>三木望：榎木淳弥</t>
  </si>
  <si>
    <t>若草ゆかり：永塚拓馬</t>
  </si>
  <si>
    <t>源光国：古川慎</t>
  </si>
  <si>
    <t>霧山おぼろ：増田俊樹</t>
  </si>
  <si>
    <t>紅アゲハ：興津和幸</t>
  </si>
  <si>
    <t>蛇ノ目シキ：平川大輔</t>
  </si>
  <si>
    <t>毒島九十九：前野智昭</t>
  </si>
  <si>
    <t>愛宕蓮太郎：小林千晃</t>
  </si>
  <si>
    <t>破走ギンコ：武内駿輔</t>
  </si>
  <si>
    <t>椿賢人：田丸篤志</t>
  </si>
  <si>
    <t>望月悠馬：島﨑信長</t>
  </si>
  <si>
    <t>花房柳：古川慎</t>
  </si>
  <si>
    <t>新兎千里：花江夏樹</t>
  </si>
  <si>
    <t>獅子丸孝臣：内田雄馬</t>
  </si>
  <si>
    <t>三毛門紫音：蒼井翔太</t>
  </si>
  <si>
    <t>針宮藤次：豊永利行</t>
  </si>
  <si>
    <t>浅霧巳影：立花慎之介</t>
  </si>
  <si>
    <t>虎澤一生：深町寿成</t>
  </si>
  <si>
    <t>白華時雨：小林裕介</t>
  </si>
  <si>
    <t>柴咲真也：山口智広</t>
  </si>
  <si>
    <t>竜ヶ崎仁：武内駿輔</t>
  </si>
  <si>
    <t>槙千鶴：土岐隼一</t>
  </si>
  <si>
    <t>志部谷幽：畠中祐</t>
  </si>
  <si>
    <t>牛若湊：中島ヨシキ</t>
  </si>
  <si>
    <t>久磨凛太朗：柿原徹也</t>
  </si>
  <si>
    <t>ビアンキ由仁：天野七瑠</t>
  </si>
  <si>
    <t>高階蘭士：宮﨑雅也</t>
  </si>
  <si>
    <t>妃崎余花：秋山諒</t>
  </si>
  <si>
    <t>雨鬼籠：山本彬</t>
  </si>
  <si>
    <t>菊秋明：山口智広</t>
  </si>
  <si>
    <t>エメリ・スノワール：小笠原仁</t>
  </si>
  <si>
    <t>秘空木礼：前田誠二</t>
  </si>
  <si>
    <t>小宮山嵐：千葉翔也</t>
  </si>
  <si>
    <t>霧島宙：上村祐翔</t>
  </si>
  <si>
    <t>宝田伊織：斉藤壮馬</t>
  </si>
  <si>
    <t>加地春飛：中島ヨシキ</t>
  </si>
  <si>
    <t>瀬文永久：梶原岳人</t>
  </si>
  <si>
    <t>財前未來：木村良平</t>
  </si>
  <si>
    <t>倉橋海吏：武内駿輔</t>
  </si>
  <si>
    <t>高槻神楽：江口拓也</t>
  </si>
  <si>
    <t>宮苑巴：広瀬裕也</t>
  </si>
  <si>
    <t>榊旺士朗：梅原裕一郎</t>
  </si>
  <si>
    <t>田所雪也：浪川大輔</t>
  </si>
  <si>
    <t>芦野涼真：橘龍丸</t>
  </si>
  <si>
    <t>祇園寺秀：小西克幸</t>
  </si>
  <si>
    <t>駿河冬一：諏訪部順一</t>
  </si>
  <si>
    <t>高槻司：浜田賢二</t>
  </si>
  <si>
    <t>海：高橋怜也</t>
  </si>
  <si>
    <t>血の池：沢城千春</t>
  </si>
  <si>
    <t>龍巻：森久保祥太郎</t>
  </si>
  <si>
    <t>白池：益山武明</t>
  </si>
  <si>
    <t>鬼石坊主：水中雅章</t>
  </si>
  <si>
    <t>鬼山：野上翔</t>
  </si>
  <si>
    <t>かまど：小西克幸</t>
  </si>
  <si>
    <t>由良野千里：吉川幸宏</t>
  </si>
  <si>
    <t>橘孝星：佐藤悠雅</t>
  </si>
  <si>
    <t>慈樹修一郎：高橋英則</t>
  </si>
  <si>
    <t>瑠何：小松昌平</t>
  </si>
  <si>
    <t>卯月雛太：堀江瞬</t>
  </si>
  <si>
    <t>桜仁：前野智昭</t>
  </si>
  <si>
    <t>荊緋嵐：小笠原仁</t>
  </si>
  <si>
    <t>咬：義村優</t>
  </si>
  <si>
    <t>由良野道貴：長岡龍歩</t>
  </si>
  <si>
    <t>鱗：土岐隼一</t>
  </si>
  <si>
    <t>真夜：重松千晴</t>
  </si>
  <si>
    <t>シンバ／ミケラ：山下大輝</t>
  </si>
  <si>
    <t>アカシ／メグル：小林親弘</t>
  </si>
  <si>
    <t>リアム／ラブノスケ：武内駿輔</t>
  </si>
  <si>
    <t>ナゴム／キュー：浅沼晋太郎</t>
  </si>
  <si>
    <t>39YEAH↗︎／レイ：古川慎</t>
  </si>
  <si>
    <t>イナモト：安元洋貴</t>
  </si>
  <si>
    <t>タイヨウ／スバル：土田玲央</t>
  </si>
  <si>
    <t>イッセイ／ミオ：河西健吾</t>
  </si>
  <si>
    <t>ジンタロウ／シオン：小林千晃</t>
  </si>
  <si>
    <t>アウグリ／フタバ：村瀬歩</t>
  </si>
  <si>
    <t>ライオン／カズ：畠中祐</t>
  </si>
  <si>
    <t>土萌羊：緑川光</t>
  </si>
  <si>
    <t>東月錫也：小野大輔</t>
  </si>
  <si>
    <t>七海哉太：杉田智和</t>
  </si>
  <si>
    <t>金久保誉：保志総一朗</t>
  </si>
  <si>
    <t>宮地龍之介：神谷浩史</t>
  </si>
  <si>
    <t>木ノ瀬梓：福山潤</t>
  </si>
  <si>
    <t>不知火一樹：中村悠一</t>
  </si>
  <si>
    <t>青空颯斗：平川大輔</t>
  </si>
  <si>
    <t>天羽翼：鈴村健一</t>
  </si>
  <si>
    <t>星月琥太郎：石田彰</t>
  </si>
  <si>
    <t>陽日直獅：岸尾だいすけ</t>
  </si>
  <si>
    <t>水嶋郁：遊佐浩二</t>
  </si>
  <si>
    <t>白銀桜士郎：諏訪部順一</t>
  </si>
  <si>
    <t>YORITO：森久保祥太郎</t>
  </si>
  <si>
    <t>TOKIHARU：立花慎之介</t>
  </si>
  <si>
    <t>YUU：石川界人</t>
  </si>
  <si>
    <t>SHINOMUNE：八代拓</t>
  </si>
  <si>
    <t>檜山朔良：寺島拓篤</t>
  </si>
  <si>
    <t>珠洲乃千哉：岡本信彦</t>
  </si>
  <si>
    <t>結崎芹：柿原徹也</t>
  </si>
  <si>
    <t>榛名宗太郎：斉藤壮馬</t>
  </si>
  <si>
    <t>香椎玲音：江口拓也</t>
  </si>
  <si>
    <t>百瀬つむぎ：木村良平</t>
  </si>
  <si>
    <t>月野原久遠：鳥海浩輔</t>
  </si>
  <si>
    <t>香椎亜貴：広瀬裕也</t>
  </si>
  <si>
    <t>天城成海：蒼井翔太</t>
  </si>
  <si>
    <t>黒沢忍：梅原裕一郎</t>
  </si>
  <si>
    <t>青井有紀：中島ヨシキ</t>
  </si>
  <si>
    <t>音石夕星：櫻井孝宏</t>
  </si>
  <si>
    <t>司波仁：古川慎</t>
  </si>
  <si>
    <t>物怪瑠衣：梅田修一朗</t>
  </si>
  <si>
    <t>枯柳杖道：笠間淳</t>
  </si>
  <si>
    <t>恵美まどか：西山宏太朗</t>
  </si>
  <si>
    <t>踏分誠一：安田陸矢</t>
  </si>
  <si>
    <t>神柴健三：大野智敬</t>
  </si>
  <si>
    <t>天命大地：岡本信彦</t>
  </si>
  <si>
    <t>霧縦人：山下大輝</t>
  </si>
  <si>
    <t>塔翠：島﨑信長</t>
  </si>
  <si>
    <t>皇千ト：堀江瞬</t>
  </si>
  <si>
    <t>星喰右手：大塚剛央</t>
  </si>
  <si>
    <t>星喰左手：田丸篤志</t>
  </si>
  <si>
    <t>花散光士郎：戸谷菊之介</t>
  </si>
  <si>
    <t>紫陽花権兵衛：梅原裕一郎</t>
  </si>
  <si>
    <t>八重桜純：伊東健人</t>
  </si>
  <si>
    <t>壊堂眞白：畠中祐</t>
  </si>
  <si>
    <t>雨ノ森菖：木村太飛</t>
  </si>
  <si>
    <t>犀綺玄磨：今井文也</t>
  </si>
  <si>
    <t>黄坂祈：梶原岳人</t>
  </si>
  <si>
    <t>百代律：照井悠希</t>
  </si>
  <si>
    <t>熨斗目力丸：熊谷健太郎</t>
  </si>
  <si>
    <t>天幻次彩：砂川脩弥</t>
  </si>
  <si>
    <t>麗蘭百華：湊丈瑠</t>
  </si>
  <si>
    <t>清月舞蕾：井尻翼馬</t>
  </si>
  <si>
    <t>藤代晴仁：小林裕介</t>
  </si>
  <si>
    <t>柏谷信：豊島聖人</t>
  </si>
  <si>
    <t>堂満智：堂島颯人</t>
  </si>
  <si>
    <t>貴志礼世：岡本信彦</t>
  </si>
  <si>
    <t>茶屋町義也：今井文也</t>
  </si>
  <si>
    <t>咲良樹：岩中睦樹</t>
  </si>
  <si>
    <t>左然：諏訪部順一</t>
  </si>
  <si>
    <t>水無瀬夏彦：石川界人</t>
  </si>
  <si>
    <t>森月黎：福山潤</t>
  </si>
  <si>
    <t>和泉景：梶裕貴</t>
  </si>
  <si>
    <r>
      <t>須王環：</t>
    </r>
    <r>
      <rPr>
        <u/>
        <sz val="11"/>
        <color rgb="FF1155CC"/>
        <rFont val="Arial"/>
        <family val="2"/>
        <scheme val="minor"/>
      </rPr>
      <t>宮野真守</t>
    </r>
  </si>
  <si>
    <r>
      <t>鳳鏡夜：</t>
    </r>
    <r>
      <rPr>
        <u/>
        <sz val="11"/>
        <color rgb="FF1155CC"/>
        <rFont val="Arial"/>
        <family val="2"/>
        <scheme val="minor"/>
      </rPr>
      <t>松風雅也</t>
    </r>
  </si>
  <si>
    <r>
      <t>常陸院光：</t>
    </r>
    <r>
      <rPr>
        <u/>
        <sz val="11"/>
        <color rgb="FF1155CC"/>
        <rFont val="Arial"/>
        <family val="2"/>
        <scheme val="minor"/>
      </rPr>
      <t>鈴村健一</t>
    </r>
  </si>
  <si>
    <r>
      <t>常陸院馨：</t>
    </r>
    <r>
      <rPr>
        <u/>
        <sz val="11"/>
        <color rgb="FF1155CC"/>
        <rFont val="Arial"/>
        <family val="2"/>
        <scheme val="minor"/>
      </rPr>
      <t>織田圭祐</t>
    </r>
  </si>
  <si>
    <r>
      <t>銛之塚崇：</t>
    </r>
    <r>
      <rPr>
        <u/>
        <sz val="11"/>
        <color rgb="FF1155CC"/>
        <rFont val="Arial"/>
        <family val="2"/>
        <scheme val="minor"/>
      </rPr>
      <t>桐井大介</t>
    </r>
  </si>
  <si>
    <t>だいだい：室元気</t>
  </si>
  <si>
    <t>つがい：岩崎諒太</t>
  </si>
  <si>
    <t>ash：坂田将吾</t>
  </si>
  <si>
    <t>西村：小林裕介</t>
  </si>
  <si>
    <r>
      <t>前田良樹：</t>
    </r>
    <r>
      <rPr>
        <u/>
        <sz val="11"/>
        <color rgb="FF1155CC"/>
        <rFont val="Arial"/>
        <family val="2"/>
        <scheme val="minor"/>
      </rPr>
      <t>花江夏樹</t>
    </r>
  </si>
  <si>
    <r>
      <t>美剣咲夜：</t>
    </r>
    <r>
      <rPr>
        <u/>
        <sz val="11"/>
        <color rgb="FF1155CC"/>
        <rFont val="Arial"/>
        <family val="2"/>
        <scheme val="minor"/>
      </rPr>
      <t>木村良平</t>
    </r>
  </si>
  <si>
    <r>
      <t>西園寺輝彦：</t>
    </r>
    <r>
      <rPr>
        <u/>
        <sz val="11"/>
        <color rgb="FF1155CC"/>
        <rFont val="Arial"/>
        <family val="2"/>
        <scheme val="minor"/>
      </rPr>
      <t>鈴木裕斗</t>
    </r>
  </si>
  <si>
    <r>
      <t>早乙女拓也：</t>
    </r>
    <r>
      <rPr>
        <u/>
        <sz val="11"/>
        <color rgb="FF1155CC"/>
        <rFont val="Arial"/>
        <family val="2"/>
        <scheme val="minor"/>
      </rPr>
      <t>柿原徹也</t>
    </r>
  </si>
  <si>
    <t>鏡蓮児：野宮一範</t>
  </si>
  <si>
    <r>
      <t>志賀慎吾：</t>
    </r>
    <r>
      <rPr>
        <u/>
        <sz val="11"/>
        <color rgb="FF1155CC"/>
        <rFont val="Arial"/>
        <family val="2"/>
        <scheme val="minor"/>
      </rPr>
      <t>鶴岡聡</t>
    </r>
  </si>
  <si>
    <r>
      <t>次郎：</t>
    </r>
    <r>
      <rPr>
        <u/>
        <sz val="11"/>
        <color rgb="FF1155CC"/>
        <rFont val="Arial"/>
        <family val="2"/>
        <scheme val="minor"/>
      </rPr>
      <t>楠大典</t>
    </r>
  </si>
  <si>
    <t>根津甚八：神尾晋一郎</t>
  </si>
  <si>
    <t>織田信長：小野大輔</t>
  </si>
  <si>
    <t>明智光秀：置鮎龍太郎</t>
  </si>
  <si>
    <t>真田幸村：増田俊樹</t>
  </si>
  <si>
    <t>霧隠才蔵：近藤隆</t>
  </si>
  <si>
    <t>伊達政宗：石川界人</t>
  </si>
  <si>
    <t>片倉小十郎：小西克幸</t>
  </si>
  <si>
    <t>豊臣秀吉：谷山紀章</t>
  </si>
  <si>
    <t>前田利家：小野友樹</t>
  </si>
  <si>
    <t>徳川家康：梶裕貴</t>
  </si>
  <si>
    <t>石田三成：森田成一</t>
  </si>
  <si>
    <t>武田信玄：黒田崇矢</t>
  </si>
  <si>
    <t>上杉謙信：浪川大輔</t>
  </si>
  <si>
    <t>伊達成実：内田雄馬</t>
  </si>
  <si>
    <t>真田信幸：鳥海浩輔</t>
  </si>
  <si>
    <t>柿崎景家：江口拓也</t>
  </si>
  <si>
    <t>藤林朔夜：島﨑信長</t>
  </si>
  <si>
    <t>猿飛佐助：森川智之</t>
  </si>
  <si>
    <t>服部半蔵：佐藤拓也</t>
  </si>
  <si>
    <t>藤林弦夜：白井悠介</t>
  </si>
  <si>
    <t>霧隠蛍：花江夏樹</t>
  </si>
  <si>
    <t>鳴神恭一郎：平川大輔</t>
  </si>
  <si>
    <t>三葉楓悟：福山潤</t>
  </si>
  <si>
    <t>望月志真：斉藤壮馬</t>
  </si>
  <si>
    <r>
      <t>セイヤ：</t>
    </r>
    <r>
      <rPr>
        <u/>
        <sz val="11"/>
        <color rgb="FF1155CC"/>
        <rFont val="Arial"/>
        <family val="2"/>
        <scheme val="minor"/>
      </rPr>
      <t>小林裕介</t>
    </r>
  </si>
  <si>
    <r>
      <t>マヒル：</t>
    </r>
    <r>
      <rPr>
        <u/>
        <sz val="11"/>
        <color rgb="FF1155CC"/>
        <rFont val="Arial"/>
        <family val="2"/>
        <scheme val="minor"/>
      </rPr>
      <t>野島健児</t>
    </r>
  </si>
  <si>
    <r>
      <t>ホムラ：</t>
    </r>
    <r>
      <rPr>
        <u/>
        <sz val="11"/>
        <color rgb="FF1155CC"/>
        <rFont val="Arial"/>
        <family val="2"/>
        <scheme val="minor"/>
      </rPr>
      <t>立花慎之介</t>
    </r>
  </si>
  <si>
    <r>
      <t>レイ：</t>
    </r>
    <r>
      <rPr>
        <u/>
        <sz val="11"/>
        <color rgb="FF1155CC"/>
        <rFont val="Arial"/>
        <family val="2"/>
        <scheme val="minor"/>
      </rPr>
      <t>寺島惇太</t>
    </r>
  </si>
  <si>
    <r>
      <t>シン：</t>
    </r>
    <r>
      <rPr>
        <u/>
        <sz val="11"/>
        <color rgb="FF1155CC"/>
        <rFont val="Arial"/>
        <family val="2"/>
        <scheme val="minor"/>
      </rPr>
      <t>小西克幸</t>
    </r>
  </si>
  <si>
    <t>雲仙新九郎：高野大河</t>
  </si>
  <si>
    <t>酸ヶ湯愛琉志：長岡龍歩</t>
  </si>
  <si>
    <t>卯花惣輔：観世智顕</t>
  </si>
  <si>
    <t>長万部潮：小池貴大</t>
  </si>
  <si>
    <t>阿蘇空太：草野太一</t>
  </si>
  <si>
    <t>サンプルボイスURL</t>
  </si>
  <si>
    <t>表記</t>
  </si>
  <si>
    <t>https://www.aoni.co.jp/search/akabane-kenji.html</t>
  </si>
  <si>
    <t>Voice Sample</t>
  </si>
  <si>
    <t>https://www.aoni.co.jp/search/azakami-yohei.html</t>
  </si>
  <si>
    <t>https://www.kenproduction.co.jp/talent/3</t>
  </si>
  <si>
    <t>セリフ</t>
  </si>
  <si>
    <t>https://www.kenproduction.co.jp/talent/249</t>
  </si>
  <si>
    <t>https://www.imenterprise.jp/profile.php?id=11</t>
  </si>
  <si>
    <t>ボイスサンプル</t>
  </si>
  <si>
    <t>https://haikyo.co.jp/profile/profile.php?ActorID=12183</t>
  </si>
  <si>
    <t>https://stay-luck.com/talent/ishikawa-kaito/</t>
  </si>
  <si>
    <t>https://osawa-inc.co.jp/men/ishiyaharuki/</t>
  </si>
  <si>
    <t>https://osawa-inc.co.jp/men/ichikawaaoi/</t>
  </si>
  <si>
    <t>https://www.vims.co.jp/talent/327/</t>
  </si>
  <si>
    <t>VOICE SAMPLE</t>
  </si>
  <si>
    <t>https://mausu.net/talent/ichiki-mitsuhiro.html</t>
  </si>
  <si>
    <t>https://www.81produce.co.jp/dcms_plusdb/index.php/item?cell003=%E3%81%82%E8%A1%8C&amp;keyword=&amp;cell028=&amp;page=2&amp;cell004=&amp;name=%E4%BC%8A%E6%9D%B1%E3%80%80%E5%81%A5%E4%BA%BA&amp;id=9&amp;label=1</t>
  </si>
  <si>
    <t>https://b-box-box.com/actor/kazuhiko_inoue/</t>
  </si>
  <si>
    <t>https://mausu.net/talent/inoue-yuki.html</t>
  </si>
  <si>
    <t>https://rushstyle.net/talent/fumiya_imai/</t>
  </si>
  <si>
    <t>https://www.atomicmonkey.jp/talent/iriereona</t>
  </si>
  <si>
    <t>クレジット</t>
  </si>
  <si>
    <t>https://www.atomicmonkey.jp/talent/iwasakiryouta</t>
  </si>
  <si>
    <t>セリフ01</t>
  </si>
  <si>
    <t>https://mausu.net/talent/iwanaka-mutsuki.html</t>
  </si>
  <si>
    <t>https://intention-k.com/profile/shuichi_uchida</t>
  </si>
  <si>
    <t>UCHIDA</t>
  </si>
  <si>
    <t>https://intention-k.com/profile/yuma_uchida</t>
  </si>
  <si>
    <t>https://www.kenproduction.co.jp/talent/192</t>
  </si>
  <si>
    <t>https://www.artsvision.co.jp/talent/14239/</t>
  </si>
  <si>
    <t>https://www.vims.co.jp/talent/329/</t>
  </si>
  <si>
    <t>https://www.81produce.co.jp/dcms_plusdb/index.php/item?cell003=%E3%81%82%E8%A1%8C&amp;label=1&amp;page=3&amp;cell004=&amp;name=%E6%B1%9F%E5%8F%A3%E3%80%80%E6%8B%93%E4%B9%9F&amp;id=18</t>
  </si>
  <si>
    <t>https://asleben.jp/talents/junya-enoki</t>
  </si>
  <si>
    <t>https://www.earlywing.co.jp/actordb/catea/talent_osakaryota</t>
  </si>
  <si>
    <t>https://www.earlywing.co.jp/actordb/catea/talent_ogasawarajin</t>
  </si>
  <si>
    <t>https://amuleto.jp/talents/osuka-jun.html</t>
  </si>
  <si>
    <t>フルボイス</t>
  </si>
  <si>
    <t>https://yukiotani.studio.site/</t>
  </si>
  <si>
    <t>プロフィール</t>
  </si>
  <si>
    <t>https://www.imenterprise.jp/profile.php?id=28</t>
  </si>
  <si>
    <t>https://www.raccoon-dog.co.jp/talent/m01-okamoto.html</t>
  </si>
  <si>
    <t>https://www.aoni.co.jp/search/okiayu-ryotaro.html</t>
  </si>
  <si>
    <t>https://www.kekke.co.jp/talent/male/ak/okitsu.html</t>
  </si>
  <si>
    <t>まずはこちら</t>
  </si>
  <si>
    <t>https://animoproduce.co.jp/artists/onokensho/</t>
  </si>
  <si>
    <t>https://web.onoyuki.com/</t>
  </si>
  <si>
    <t>https://pro-baobab.jp/actor/%E6%B5%B7%E6%B8%A1-%E7%BF%BC/?utm_source=chatgpt.com</t>
  </si>
  <si>
    <t>Sample Voice</t>
  </si>
  <si>
    <t>https://haikyo.co.jp/profile/profile.php?ActorID=12608&amp;utm_source=chatgpt.com</t>
  </si>
  <si>
    <t>https://fractal-voice.jp/works/talent_yukikaji.html</t>
  </si>
  <si>
    <t>https://www.blackship.jp/male/daishikajita/</t>
  </si>
  <si>
    <t>https://haikyo.co.jp/profile/profile.php?ActorID=12813</t>
  </si>
  <si>
    <t>https://www.aoni.co.jp/search/kasuya-yuta.html</t>
  </si>
  <si>
    <t>https://haikyo.co.jp/profile/profile.php?ActorID=12560</t>
  </si>
  <si>
    <t>https://www.aoni.co.jp/search/kawashima-reiji.html</t>
  </si>
  <si>
    <t>https://mausu.net/talent/kawanishi-kengo.html</t>
  </si>
  <si>
    <t>https://across-ent.com/voice_actor/detail.html?id=103</t>
  </si>
  <si>
    <t>https://www.81produce.co.jp/dcms_plusdb/index.php/item?cell003=%E3%81%8B%E8%A1%8C&amp;label=1&amp;cell004=&amp;name=%E7%A5%9E%E5%B0%BE%E3%80%80%E6%99%8B%E4%B8%80%E9%83%8E&amp;id=32</t>
  </si>
  <si>
    <t>https://mausu.net/talent/kijima-ryuichi.html</t>
  </si>
  <si>
    <t>https://www.kenproduction.co.jp/talent/224</t>
  </si>
  <si>
    <t>https://amuleto.jp/talents/kusunokitaiten.html</t>
  </si>
  <si>
    <t>ナレーション</t>
  </si>
  <si>
    <t>https://avex-pictures.co.jp/lineup/96941/</t>
  </si>
  <si>
    <t>https://haikyo.co.jp/profile/profile.php?ActorID=12741</t>
  </si>
  <si>
    <t>https://www.aoni.co.jp/search/kusano-taichi.html</t>
  </si>
  <si>
    <t>https://www.81produce.co.jp/dcms_plusdb/index.php/item?id=45</t>
  </si>
  <si>
    <t>https://osawa-inc.co.jp/men/kobayashichiaki/</t>
  </si>
  <si>
    <t>https://www.atomicmonkey.jp/talent/kobayashichikahiro</t>
  </si>
  <si>
    <t>https://avex-pictures.co.jp/lineup/33139/</t>
  </si>
  <si>
    <t>https://yu-rin.com/pro-man/kobayashi-yusuke</t>
  </si>
  <si>
    <t>音声サンプル</t>
  </si>
  <si>
    <t>https://www.kenproduction.co.jp/talent/130</t>
  </si>
  <si>
    <t>https://www.81produce.co.jp/dcms_plusdb/index.php/item?cell003=%E3%81%8B%E8%A1%8C&amp;label=1&amp;page=3&amp;cell004=&amp;name=%E9%A7%92%E7%94%B0%E3%80%80%E8%88%AA&amp;id=46</t>
  </si>
  <si>
    <t>https://www.kenproduction.co.jp/talent/32</t>
  </si>
  <si>
    <t>https://tsf-official.com/talent/takehito-koyasu/</t>
  </si>
  <si>
    <t>https://ambernote.jp/talent/takashi_kondo</t>
  </si>
  <si>
    <t>https://www.production-ace.co.jp/ace_talent/keisukekomoto/</t>
  </si>
  <si>
    <t>https://www.81produce.co.jp/dcms_plusdb/index.php/item?cell003=%E3%81%95%E8%A1%8C&amp;label=1&amp;cell004=&amp;name=%E6%96%89%E8%97%A4%E3%80%80%E5%A3%AE%E9%A6%AC&amp;id=47</t>
  </si>
  <si>
    <t>https://animoproduce.co.jp/artists/sakaikodai/</t>
  </si>
  <si>
    <t>https://osawa-inc.co.jp/men/bantaito/</t>
  </si>
  <si>
    <t>https://www.aoni.co.jp/search/sakata-shogo.html</t>
  </si>
  <si>
    <t>https://www.81produce.co.jp/dcms_plusdb/index.php/item?cell003=%E3%81%95%E8%A1%8C&amp;label=1&amp;cell004=&amp;name=%E6%A6%8A%E5%8E%9F%E3%80%80%E5%84%AA%E5%B8%8C&amp;id=49</t>
  </si>
  <si>
    <t>https://www.aoni.co.jp/search/sakaguchi-daisuke.html</t>
  </si>
  <si>
    <t>https://www.kenproduction.co.jp/talent/84</t>
  </si>
  <si>
    <t>https://www.kenproduction.co.jp/talent/39</t>
  </si>
  <si>
    <t>https://stay-luck.com/talent/sawashiro-chiharu/</t>
  </si>
  <si>
    <t>https://haikyo.co.jp/profile/profile.php?ActorID=13018</t>
  </si>
  <si>
    <t>https://www.aoni.co.jp/search/shimazaki-nobunaga.html</t>
  </si>
  <si>
    <t>https://www.imenterprise.jp/profile.php?id=38</t>
  </si>
  <si>
    <t>https://www.earlywing.co.jp/actordb/catec/talent_shiraiyusuke</t>
  </si>
  <si>
    <t>https://agrs.co.jp/voiceact/</t>
  </si>
  <si>
    <t>https://stay-luck.com/talent/sugiyama-noriaki/</t>
  </si>
  <si>
    <t>https://kenyu-office.com/suzukiyuuto/</t>
  </si>
  <si>
    <t>クレジット</t>
  </si>
  <si>
    <t>https://dash-on.co.jp/talent/</t>
  </si>
  <si>
    <t>VoiceSample</t>
  </si>
  <si>
    <t>https://haikyo.co.jp/profile/profile.php?ActorID=11470</t>
  </si>
  <si>
    <t>https://www.81produce.co.jp/actor_search/index.php/item?cell003=%E3%81%95%E8%A1%8C&amp;cell029=%E7%94%B7%E6%80%A7&amp;keyword=&amp;cell028=&amp;page=2&amp;cell004=&amp;name=%E9%96%A2%E3%80%80%E4%BF%8A%E5%BD%A6&amp;id=64&amp;label=1</t>
  </si>
  <si>
    <t>https://amuleto.jp/talents/kosakatomoya.html</t>
  </si>
  <si>
    <t>台詞</t>
  </si>
  <si>
    <t>https://www.imenterprise.jp/profile.php?id=55</t>
  </si>
  <si>
    <t>https://mausu.net/talent/takatsuka-tomohito.html</t>
  </si>
  <si>
    <t>https://www.artsvision.co.jp/talent/14342/</t>
  </si>
  <si>
    <t>https://www.kenproduction.co.jp/talent/118</t>
  </si>
  <si>
    <t>https://mausu.net/talent/takahashi-hidenori.html</t>
  </si>
  <si>
    <t>https://www.81produce.co.jp/dcms_plusdb/index.php/item?cell003=%E3%81%9F%E8%A1%8C&amp;label=1&amp;cell004=&amp;name=%E6%AD%A6%E5%86%85%E3%80%80%E9%A7%BF%E8%BC%94&amp;id=71</t>
  </si>
  <si>
    <t>https://www.aoni.co.jp/search/takemoto-eiji.html</t>
  </si>
  <si>
    <t>https://www.blackship.jp/male/shinnosuketachibana/</t>
  </si>
  <si>
    <t>https://www.kenproduction.co.jp/talent/53</t>
  </si>
  <si>
    <t>https://www.81produce.co.jp/actor_search/index.php/item?cell003=%E3%81%9F%E8%A1%8C&amp;cell029=%E7%94%B7%E6%80%A7&amp;keyword=&amp;cell028=&amp;cell004=&amp;name=%E7%94%B0%E6%89%80%E3%80%80%E9%99%BD%E5%90%91&amp;id=74&amp;label=1</t>
  </si>
  <si>
    <t>https://mausu.net/talent/tamaru-atsushi.html</t>
  </si>
  <si>
    <t>https://remax-web.jp/talent/tai-y/</t>
  </si>
  <si>
    <t>https://www.toysfactory.co.jp/artist/shoyachiba/news/detail/5551</t>
  </si>
  <si>
    <t>https://tsudaken.jp/#profile</t>
  </si>
  <si>
    <t>https://www.aoni.co.jp/search/tsuji-fumito.html</t>
  </si>
  <si>
    <t>https://www.81produce.co.jp/dcms_plusdb/index.php/item?id=83</t>
  </si>
  <si>
    <t>https://simbatsuchiya.studio.site/#works</t>
  </si>
  <si>
    <t>https://kenyu-office.com/terashimajunta/</t>
  </si>
  <si>
    <t>https://www.axl-one.com/talent/terashima.html</t>
  </si>
  <si>
    <t>https://remax-web.jp/talent/tezuka-h/</t>
  </si>
  <si>
    <t>https://www.imenterprise.jp/profile.php?id=176</t>
  </si>
  <si>
    <t>https://across-ent.com/voice_actor/detail.html?id=149</t>
  </si>
  <si>
    <t>https://withline.jp/talent/shunichi_toki</t>
  </si>
  <si>
    <t>https://remax-web.jp/talent/toyoshima-s/</t>
  </si>
  <si>
    <t>https://www.artsvision.co.jp/talent/14365/</t>
  </si>
  <si>
    <t>https://haikyo.co.jp/profile/profile.php?ActorID=12828</t>
  </si>
  <si>
    <t>https://www.81produce.co.jp/dcms_plusdb/index.php/item?cell003=%E3%81%AA%E8%A1%8C&amp;label=1&amp;cell004=&amp;name=%E4%B8%AD%E5%B3%B6%E3%80%80%E3%83%A8%E3%82%B7%E3%82%AD&amp;id=92</t>
  </si>
  <si>
    <t>https://across-ent.com/voice_actor/detail.html?id=107</t>
  </si>
  <si>
    <t>https://pro-baobab.jp/actor/%E4%BB%B2%E6%9D%91-%E6%B0%B4%E5%B8%8C/</t>
  </si>
  <si>
    <t>https://intention-k.com/profile/yuichi_nakamura</t>
  </si>
  <si>
    <t>NAKAMURA</t>
  </si>
  <si>
    <t>https://www.81produce.co.jp/actor_search/index.php/item?cell003=%E3%81%AA%E8%A1%8C&amp;cell029=%E7%94%B7%E6%80%A7&amp;keyword=&amp;cell028=&amp;cell004=&amp;name=%E6%96%B0%E7%94%B0%E3%80%80%E6%9D%8F%E6%A8%B9&amp;id=99&amp;label=1</t>
  </si>
  <si>
    <t>https://www.81produce.co.jp/actor_search/index.php/item?cell003=%E3%81%AA%E8%A1%8C&amp;name=%E8%A5%BF%E5%B1%B1%E3%80%80%E5%AE%8F%E5%A4%AA%E6%9C%97&amp;id=98&amp;label=1</t>
  </si>
  <si>
    <t>https://www.vims.co.jp/talent/356/</t>
  </si>
  <si>
    <t>https://www.aoni.co.jp/search/nojima-kenji.html</t>
  </si>
  <si>
    <t>https://www.aoni.co.jp/search/nojima-hirofumi.html</t>
  </si>
  <si>
    <t>https://stay-luck.com/talent/nozuyama-yukihiro/</t>
  </si>
  <si>
    <t>https://www.81produce.co.jp/actor_search/index.php/item?cell003=%E3%81%AF%E8%A1%8C&amp;cell029=%E7%94%B7%E6%80%A7&amp;keyword=&amp;cell028=&amp;cell004=&amp;name=%E6%A9%8B%E6%9C%AC%E3%80%80%E6%99%83%E5%A4%AA%E6%9C%97&amp;id=100&amp;label=1</t>
  </si>
  <si>
    <t>https://www.kenproduction.co.jp/talent/113</t>
  </si>
  <si>
    <t>https://www.81produce.co.jp/dcms_plusdb/index.php/item?cell003=%E3%81%AF%E8%A1%8C&amp;cell004=&amp;label=1&amp;name=%E7%BE%BD%E5%A4%9A%E9%87%8E%E3%80%80%E6%B8%89&amp;id=102</t>
  </si>
  <si>
    <t>https://www.aoni.co.jp/search/hattori-sonosuke.html</t>
  </si>
  <si>
    <t>https://across-ent.com/voice_actor/detail.html?id=104</t>
  </si>
  <si>
    <t>https://sigma7.co.jp/actors/hama_kento/</t>
  </si>
  <si>
    <t>https://mausu.net/talent/hamada-kenji.html</t>
  </si>
  <si>
    <t>https://www.81produce.co.jp/actor_search/index.php/item?cell003=%E3%81%AF%E8%A1%8C&amp;cell029=%E7%94%B7%E6%80%A7&amp;keyword=&amp;cell028=&amp;cell004=&amp;name=%E6%AF%94%E7%95%99%E9%96%93%E3%80%80%E4%BF%8A%E5%93%89&amp;id=106&amp;label=1</t>
  </si>
  <si>
    <t>https://www.kekke.co.jp/talent/male/hw/hirose.html</t>
  </si>
  <si>
    <t>https://www.artsvision.co.jp/talent/14316/</t>
  </si>
  <si>
    <t>https://axl-one.com/talent/hino.html</t>
  </si>
  <si>
    <t>https://aptepro.jp/talents/t_fukamachi.html</t>
  </si>
  <si>
    <t>Sample voice</t>
  </si>
  <si>
    <t>https://www.artsvision.co.jp/talent/14317/</t>
  </si>
  <si>
    <t>https://www.blackship.jp/male/junfukuyama/</t>
  </si>
  <si>
    <t>https://www.toysfactory.co.jp/artist/makotofurukawa/news/detail/3366</t>
  </si>
  <si>
    <t>https://voicekit.jp/talent/furutakazuki/</t>
  </si>
  <si>
    <t>自己紹介</t>
  </si>
  <si>
    <t>https://yoshimasa-hosoya.info/</t>
  </si>
  <si>
    <t>https://www.raccoon-dog.co.jp/talent/m16-horikane.html</t>
  </si>
  <si>
    <t>https://www.raccoon-dog.co.jp/talent/m08-horie.html</t>
  </si>
  <si>
    <t>https://across-ent.com/voice_actor/detail.html?id=106</t>
  </si>
  <si>
    <t>https://www.artsvision.co.jp/talent/14322/</t>
  </si>
  <si>
    <t>https://www.artsvision.co.jp/talent/14253/</t>
  </si>
  <si>
    <t>https://www.kenproduction.co.jp/talent/105</t>
  </si>
  <si>
    <t>https://www.imenterprise.jp/profile.php?id=80</t>
  </si>
  <si>
    <t>https://www.toysfactory.co.jp/artist/toshikimasuda/news/detail/3369</t>
  </si>
  <si>
    <t>https://www.imenterprise.jp/profile.php?id=82</t>
  </si>
  <si>
    <t>https://www.artsvision.co.jp/talent/14257/</t>
  </si>
  <si>
    <t>https://www.atomicmonkey.jp/talent/miurakatsuyuki</t>
  </si>
  <si>
    <t>https://www.81produce.co.jp/dcms_plusdb/index.php/item?cell003=%E3%81%BE%E8%A1%8C&amp;label=1&amp;name=%E4%B8%89%E6%9C%A8%E3%80%80%E7%9C%9E%E4%B8%80%E9%83%8E&amp;id=118</t>
  </si>
  <si>
    <t>https://www.blackship.jp/male/takaomitsutomi/</t>
  </si>
  <si>
    <t>https://pro-baobab.jp/actor/%e6%b0%b4%e4%b8%ad-%e9%9b%85%e7%ab%a0/</t>
  </si>
  <si>
    <t>https://www.aoni.co.jp/search/midorikawa-hikaru.html</t>
  </si>
  <si>
    <t>https://breeze-voice.com/talents/miyashita-eiji/</t>
  </si>
  <si>
    <t>https://www.81produce.co.jp/dcms_plusdb/index.php/item?cell003=%E3%81%BE%E8%A1%8C&amp;label=1&amp;page=2&amp;cell004=&amp;name=%E5%AE%AE%E7%94%B0%E3%80%80%E5%B9%B8%E5%AD%A3&amp;id=122</t>
  </si>
  <si>
    <t>https://muraseayumu.com/</t>
  </si>
  <si>
    <t>可愛い少年</t>
  </si>
  <si>
    <t>https://across-ent.com/voice_actor/detail.html?id=105</t>
  </si>
  <si>
    <t>https://www.axl-one.com/talent/morikawa.html</t>
  </si>
  <si>
    <t>https://www.vims.co.jp/talent/210/</t>
  </si>
  <si>
    <t>https://sigma7.co.jp/actors/yasumoto_hiroki/</t>
  </si>
  <si>
    <t>https://haikyo.co.jp/profile/profile.php?ActorID=13112</t>
  </si>
  <si>
    <t>https://www.tsp-pro.co.jp/</t>
  </si>
  <si>
    <t>https://osawa-inc.co.jp/men/yamashitaseiichiro/</t>
  </si>
  <si>
    <t>https://www.artsvision.co.jp/talent/14249/</t>
  </si>
  <si>
    <t>https://kenyu-office.com/yamanakamasahiro/</t>
  </si>
  <si>
    <t>https://amuleto.jp/talents/yamamotokazutomi.html</t>
  </si>
  <si>
    <t>台詞1</t>
  </si>
  <si>
    <t>https://ninelive.co.jp/talent/hiroyuki-yoshino/</t>
  </si>
  <si>
    <t>https://www.kenproduction.co.jp/talent/74</t>
  </si>
  <si>
    <t>https://www.81produce.co.jp/actor_search/index.php/item?cell003=%E3%82%84%E8%A1%8C&amp;cell029=%E7%94%B7%E6%80%A7&amp;keyword=&amp;cell028=&amp;cell004=&amp;name=%E7%B1%B3%E5%86%85%E3%80%80%E4%BD%91%E5%B8%8C&amp;id=131&amp;label=1</t>
  </si>
  <si>
    <t>https://zynchro.jp/talent/kenn.html</t>
  </si>
  <si>
    <t>https://mausu.net/talent/shingaki-tarusuke.html</t>
  </si>
  <si>
    <t>https://www.artsvision.co.jp/talent/14426/</t>
  </si>
  <si>
    <t>https://www.artsvision.co.jp/talent/14393/</t>
  </si>
  <si>
    <t>https://www.artsvision.co.jp/talent/14242/</t>
  </si>
  <si>
    <t>https://rushstyle.net/talent/show_hayami/</t>
  </si>
  <si>
    <t>https://www.artsvision.co.jp/talent/14347/</t>
  </si>
  <si>
    <t>https://swallow-p.com/actor/urata-wataru/</t>
  </si>
  <si>
    <t>Voice</t>
  </si>
  <si>
    <t>https://www.artsvision.co.jp/talent/14305/</t>
  </si>
  <si>
    <t>https://www.kenproduction.co.jp/talent/104</t>
  </si>
  <si>
    <t>https://www.axl-one.com/talent/fukuhara.html</t>
  </si>
  <si>
    <t>https://swallow-p.com/actor/hosoda-kenta/</t>
  </si>
  <si>
    <t>https://www.aoni.co.jp/search/hyuga-saku.html</t>
  </si>
  <si>
    <t>https://amuleto.jp/talents/okawagenki.html</t>
  </si>
  <si>
    <t>日常</t>
  </si>
  <si>
    <t>https://www.aoni.co.jp/search/hashizume-tomohisa.html</t>
  </si>
  <si>
    <t>https://www.aoni.co.jp/search/takeuchi-ryota.html</t>
  </si>
  <si>
    <t>https://www.kenproduction.co.jp/talent/58</t>
  </si>
  <si>
    <t>https://www.aoni.co.jp/search/kondo-takayuki.html</t>
  </si>
  <si>
    <t>https://asleben.jp/talents/shogo-yano</t>
  </si>
  <si>
    <t>https://www.artsvision.co.jp/talent/14412/</t>
  </si>
  <si>
    <t>https://aksent.co.jp/profile/batori_shogo/</t>
  </si>
  <si>
    <t>https://avex-pictures.co.jp/lineup/15125/</t>
  </si>
  <si>
    <t>https://www.81produce.co.jp/actor_search/index.php/item?cell003=%E3%82%89%E8%A1%8C&amp;keyword=&amp;cell028=&amp;cell004=&amp;name=%E3%83%A9%E3%83%B3%E3%82%BA%E3%83%99%E3%83%AA%E3%83%BC%E3%83%BB%E3%82%A2%E3%83%BC%E3%82%B5%E3%83%BC&amp;id=132&amp;label=1</t>
  </si>
  <si>
    <t>https://intention-k.com/profile/kenichi_suzumura</t>
  </si>
  <si>
    <t>SUZUMURA</t>
  </si>
  <si>
    <t>https://www.atomicmonkey.jp/talent/sasatsubasa</t>
  </si>
  <si>
    <t>https://www.vims.co.jp/talent/343/</t>
  </si>
  <si>
    <t>https://across-ent.com/voice_actor/detail.html?id=157</t>
  </si>
  <si>
    <t>https://mausu.net/talent/post_6.html</t>
  </si>
  <si>
    <t>https://www.atomicmonkey.jp/talent/okinokoji</t>
  </si>
  <si>
    <t>https://www.earlywing.co.jp/actordb/catea/talent_akiyahiroto</t>
  </si>
  <si>
    <t>https://suzukitatsuhisa-official.com/profile</t>
  </si>
  <si>
    <t>https://daisukeono.com/</t>
  </si>
  <si>
    <t>SAMPLE</t>
  </si>
  <si>
    <t>https://across-ent.com/voice_actor/detail.html?id=153</t>
  </si>
  <si>
    <t>https://artist.llvictor.com/yachi/</t>
  </si>
  <si>
    <t>https://kenyu-office.com/shimodumayoshiyuki/</t>
  </si>
  <si>
    <t>https://haikyo.co.jp/profile/profile.php?ActorID=12211</t>
  </si>
  <si>
    <t>https://www.vims.co.jp/talent/368/</t>
  </si>
  <si>
    <t>https://www.imenterprise.jp/profile.php?id=66</t>
  </si>
  <si>
    <t>https://www.raccoon-dog.co.jp/talent/m13-matsuoka.html</t>
  </si>
  <si>
    <t>https://arise-pj.co.jp/talent/narufumi-machimoto/</t>
  </si>
  <si>
    <t>SAMPLE VOICE</t>
  </si>
  <si>
    <t>https://www.imenterprise.jp/profile.php?id=69</t>
  </si>
  <si>
    <t>https://kenyu-office.com/watanabehiroshi/</t>
  </si>
  <si>
    <t>https://withline.jp/talent/takeru_kikuchi</t>
  </si>
  <si>
    <t>VOICESAMPLE</t>
  </si>
  <si>
    <t>https://www.atomicmonkey.jp/talent/ballettayutaka</t>
  </si>
  <si>
    <t>https://remax-web.jp/talent/nakada-y/</t>
  </si>
  <si>
    <t>https://remax-web.jp/talent/kodama-t/</t>
  </si>
  <si>
    <t>https://www.blackship.jp/male/kokiino/</t>
  </si>
  <si>
    <t>https://across-ent.com/voice_actor/detail.html?id=121</t>
  </si>
  <si>
    <t>https://haikyo.co.jp/profile/profile.php?ActorID=12971</t>
  </si>
  <si>
    <t>https://www.vims.co.jp/talent/325/</t>
  </si>
  <si>
    <t>https://www.stardust.co.jp/talent/voiceactor/miyazakimasaya/</t>
  </si>
  <si>
    <t>https://d-master.jp/cast/kawai/</t>
  </si>
  <si>
    <t>https://www.81produce.co.jp/dcms_plusdb/index.php/item?cell003=%E3%81%82%E8%A1%8C&amp;label=1&amp;page=2&amp;cell004=&amp;name=%E9%B5%9C%E6%BE%A4%E3%80%80%E6%AD%A3%E5%A4%AA%E9%83%8E&amp;id=15</t>
  </si>
  <si>
    <t>https://stay-luck.com/talent/tachibana-tatsumaru/</t>
  </si>
  <si>
    <t>https://pg-wcf.co.jp/profile/01/</t>
  </si>
  <si>
    <t>https://www.artsvision.co.jp/talent/14315/</t>
  </si>
  <si>
    <t>https://osawa-inc.co.jp/men/kosugijurota/</t>
  </si>
  <si>
    <t>https://www.aoni.co.jp/search/nakai-kazuya.html</t>
  </si>
  <si>
    <t>https://kenyu-office.com/narusemakoto/</t>
  </si>
  <si>
    <t>https://www.aoni.co.jp/search/kisaichi-atsushi.html</t>
  </si>
  <si>
    <t>https://osawa-inc.co.jp/men/chibasusumu/</t>
  </si>
  <si>
    <t>https://www.aoni.co.jp/search/suganuma-hisayoshi.html</t>
  </si>
  <si>
    <t>https://www.aoni.co.jp/search/tanabe-kohsuke.html</t>
  </si>
  <si>
    <t>https://www.81produce.co.jp/actor_search/index.php/item?cell003=%E3%81%BE%E8%A1%8C&amp;cell029=%E7%94%B7%E6%80%A7&amp;keyword=&amp;cell028=&amp;cell004=&amp;name=%E4%B8%89%E5%AE%85%E3%80%80%E8%B2%B4%E5%A4%A7&amp;id=121&amp;label=1</t>
  </si>
  <si>
    <t>https://highpine.co.jp/talent/hozumi-yuya.html</t>
  </si>
  <si>
    <t>https://www.aoni.co.jp/search/ono-masamu.html</t>
  </si>
  <si>
    <t>https://youtu.be/02B5A29YpQ4</t>
  </si>
  <si>
    <t>https://kenyu-office.com/miyasenaoya/</t>
  </si>
  <si>
    <t>https://kenyu-office.com/takanokentaro/</t>
  </si>
  <si>
    <t>https://www.81produce.co.jp/actor_search/index.php/item?cell003=%E3%81%8B%E8%A1%8C&amp;cell029=%E7%94%B7%E6%80%A7&amp;keyword=&amp;cell028=&amp;cell004=&amp;name=%E6%9C%A8%E6%9A%AE%E3%80%80%E6%99%83%E7%9F%B3&amp;id=372&amp;label=1</t>
  </si>
  <si>
    <t>https://hideyuki-kobayashi.netlify.app/</t>
  </si>
  <si>
    <t>SERIF</t>
  </si>
  <si>
    <t>https://www.raccoon-dog.co.jp/talent/m19-yanagi.html</t>
  </si>
  <si>
    <t>https://www.aoni.co.jp/search/takeda-kaito.html</t>
  </si>
  <si>
    <t>https://www.81produce.co.jp/actor_search/index.php/item?cell003=%E3%81%95%E8%A1%8C&amp;cell029=%E7%94%B7%E6%80%A7&amp;keyword=&amp;cell028=&amp;cell004=&amp;name=%E4%BD%90%E3%80%85%E6%9C%A8%E3%80%80%E5%95%93%E5%A4%AB&amp;id=53&amp;label=1</t>
  </si>
  <si>
    <t>https://kenyu-office.com/ishigurofumitake/</t>
  </si>
  <si>
    <t>https://localdream.jp/archives/3118</t>
  </si>
  <si>
    <t>https://smavoice.jp/s/sma03/page/voicesample?ima=4935</t>
  </si>
  <si>
    <t>戸谷菊之介</t>
  </si>
  <si>
    <t>https://remax-web.jp/talent/watanuki-r/</t>
  </si>
  <si>
    <t>https://rushstyle.net/talent/naoyuki_shimozuru/</t>
  </si>
  <si>
    <t>https://www.aoni.co.jp/search/kamiya-hiroshi.html</t>
  </si>
  <si>
    <t>https://mausu.net/talent/okawa-toru.html</t>
  </si>
  <si>
    <t>https://www.aoni.co.jp/search/onosaka-masaya.html</t>
  </si>
  <si>
    <t>https://aksent.co.jp/profile/shiraishi_minoru/</t>
  </si>
  <si>
    <t>https://www.aoni.co.jp/search/kishio-daisuke.html</t>
  </si>
  <si>
    <t>https://sigma7.co.jp/actors/matsumoto_yasunori/</t>
  </si>
  <si>
    <t>https://mausu.net/talent/ito-kentaro.html</t>
  </si>
  <si>
    <t>https://nexeed.com/talent/%e4%b8%89%e4%b8%8a%e3%80%80%e5%93%b2/</t>
  </si>
  <si>
    <t>https://www.aoni.co.jp/search/miura-hiroaki.html</t>
  </si>
  <si>
    <t>https://www.imenterprise.jp/profile.php?id=36</t>
  </si>
  <si>
    <t>https://inari-inc.com/talent/hiromu-mineta/</t>
  </si>
  <si>
    <t>https://aksent.co.jp/profile/horie_kazuma/</t>
  </si>
  <si>
    <t>https://hibiki-cast.jp/hibiki_m/morishima_syuta/</t>
  </si>
  <si>
    <t>https://aptepro.jp/talents/y_asagiri.html</t>
  </si>
  <si>
    <t>https://minenobuya.wixsite.com/mine</t>
  </si>
  <si>
    <t>https://amuleto.jp/talents/yokotakoichi.html</t>
  </si>
  <si>
    <t>https://www.kenproduction.co.jp/talent/102</t>
  </si>
  <si>
    <t>https://haikyo.co.jp/profile/profile.php?ActorID=12775</t>
  </si>
  <si>
    <t>https://mausu.net/talent/muto-tadashi.html</t>
  </si>
  <si>
    <t>https://www.kenproduction.co.jp/talent/99</t>
  </si>
  <si>
    <t>https://www.aoni.co.jp/search/oda-yusei.html</t>
  </si>
  <si>
    <t>https://www.artsvision.co.jp/talent/14414/</t>
  </si>
  <si>
    <t>https://www.kenproduction.co.jp/talent/95</t>
  </si>
  <si>
    <t>https://amuleto.jp/talents/kojimahideki.html</t>
  </si>
  <si>
    <t>https://www.vims.co.jp/talent/372/</t>
  </si>
  <si>
    <t>https://haikyo.co.jp/profile/profile.php?ActorID=12221</t>
  </si>
  <si>
    <t>https://www.aoni.co.jp/search/matsukaze-masaya.html</t>
  </si>
  <si>
    <t>https://sigma7.co.jp/actors/inoue_go/</t>
  </si>
  <si>
    <t>https://www.air-agency.co.jp/talent/man/keiji_fujiwara</t>
  </si>
  <si>
    <t>Sample Voice01</t>
  </si>
  <si>
    <t>https://www.kekke.co.jp/talent/male/hw/matsuura.html</t>
  </si>
  <si>
    <t>https://www.kenproduction.co.jp/talent/108</t>
  </si>
  <si>
    <t>https://amuleto.jp/talents/yamaguchimasahide.html</t>
  </si>
  <si>
    <t>https://www.81produce.co.jp/actor_search/index.php/item?cell003=%E3%81%9F%E8%A1%8C&amp;cell029=%E7%94%B7%E6%80%A7&amp;keyword=&amp;cell028=&amp;cell004=&amp;name=%E5%9D%AA%E4%BA%95%E3%80%80%E6%99%BA%E6%B5%A9&amp;id=84&amp;label=1</t>
  </si>
  <si>
    <t>https://www.artsvision.co.jp/talent/14363/</t>
  </si>
  <si>
    <t>https://across-ent.com/voice_actor/detail.html?id=168</t>
  </si>
  <si>
    <t>https://www.aoni.co.jp/search/madono-mitsuaki.html</t>
  </si>
  <si>
    <t>https://www.aoni.co.jp/search/sato-yuga.html</t>
  </si>
  <si>
    <t>https://haikyo.co.jp/profile/profile.php?ActorID=13040</t>
  </si>
  <si>
    <t>https://www.aoni.co.jp/search/ishikawa-hideo.html</t>
  </si>
  <si>
    <t>https://www.yasumuramakoto.com/</t>
  </si>
  <si>
    <t>https://hibiki-cast.jp/hibiki_m/ito_masahiro/</t>
  </si>
  <si>
    <t>https://across-ent.com/voice_actor/detail.html?id=102</t>
  </si>
  <si>
    <t>https://www.aoni.co.jp/search/takato-yasuhiro.html</t>
  </si>
  <si>
    <t>https://www.air-agency.co.jp/talent/man/kosaka_atsushi</t>
  </si>
  <si>
    <t>https://www.artsvision.co.jp/talent/14371/</t>
  </si>
  <si>
    <t>https://www.81produce.co.jp/dcms_plusdb/index.php/item?id=48</t>
  </si>
  <si>
    <t>https://www.aoni.co.jp/search/kusao-takeshi.html</t>
  </si>
  <si>
    <t>https://topone.inc/talent/%e5%a4%a7%e5%a1%9a-%e6%98%8e%e5%a4%ab/</t>
  </si>
  <si>
    <t>サンプルボイス</t>
  </si>
  <si>
    <t>https://www.artsvision.co.jp/talent/14409/</t>
  </si>
  <si>
    <t>http://www.carrothouse.info/profile/kazuhiroyoshimura/</t>
  </si>
  <si>
    <t>https://www.oginext.com/men/iwasaki/</t>
  </si>
  <si>
    <t>サンプル</t>
  </si>
  <si>
    <t>https://www.raccoon-dog.co.jp/talent/m11-tsuda.html</t>
  </si>
  <si>
    <t>https://www.kenproduction.co.jp/talent/107</t>
  </si>
  <si>
    <t>https://www.kenproduction.co.jp/talent/68</t>
  </si>
  <si>
    <t>https://remax-web.jp/talent/muro-g/</t>
  </si>
  <si>
    <t>https://hibiki-cast.jp/hibiki_m/maeda_seiji/</t>
  </si>
  <si>
    <t>https://asleben.jp/talents/yukihiro-yoshikawa</t>
  </si>
  <si>
    <t>https://asleben.jp/talents/masaru-yoshimura</t>
  </si>
  <si>
    <t>https://www.81produce.co.jp/dcms_plusdb/index.php/item?cell003=%E3%81%AA%E8%A1%8C&amp;cell029=%E7%94%B7%E6%80%A7&amp;keyword=&amp;cell028=&amp;cell004=&amp;name=%E9%95%B7%E5%B2%A1%E3%80%80%E9%BE%8D%E6%AD%A9&amp;id=392&amp;label=1</t>
  </si>
  <si>
    <t>https://mausu.net/talent/ohno-tomohiro.html</t>
  </si>
  <si>
    <t>https://www.earlywing.co.jp/actordb/cated/talent_toyoshimamasato</t>
  </si>
  <si>
    <t>https://osawa-inc.co.jp/men/kiriidaisuke/</t>
  </si>
  <si>
    <t>https://www.leopardsteel.com/talent/Nomiya_Kazunori/</t>
  </si>
  <si>
    <t>https://remax-web.jp/talent/tsuruoka-s/</t>
  </si>
  <si>
    <t>https://www.81produce.co.jp/dcms_plusdb/index.php/item?cell003=%E3%81%9F%E8%A1%8C&amp;label=1&amp;cell004=&amp;name=%E9%AB%98%E9%87%8E%E3%80%80%E5%A4%A7%E6%B2%B3&amp;id=431</t>
  </si>
  <si>
    <t>https://www.kenproduction.co.jp/talent/191</t>
  </si>
  <si>
    <t>https://yu-rin.com/pro-man/takahirokoike</t>
  </si>
  <si>
    <t>ランズベリー・アーサー</t>
  </si>
  <si>
    <t>鈴村健一</t>
  </si>
  <si>
    <t>笹翼</t>
  </si>
  <si>
    <t>菊池幸利</t>
  </si>
  <si>
    <t>長谷川芳明</t>
  </si>
  <si>
    <t>千葉瑞己</t>
  </si>
  <si>
    <t>沖野晃司</t>
  </si>
  <si>
    <t>秋谷啓斗</t>
  </si>
  <si>
    <t>宮野真守</t>
  </si>
  <si>
    <t>鈴木達央</t>
  </si>
  <si>
    <t>小野大輔</t>
  </si>
  <si>
    <t>中西尚也</t>
  </si>
  <si>
    <t>花倉桔道</t>
  </si>
  <si>
    <t>谷地克文</t>
  </si>
  <si>
    <t>下妻由幸</t>
  </si>
  <si>
    <t>峰岸佳</t>
  </si>
  <si>
    <t>たくみ靖明</t>
  </si>
  <si>
    <t>三上瑛士</t>
  </si>
  <si>
    <t>徳留慎乃佑</t>
  </si>
  <si>
    <t>松岡洋平</t>
  </si>
  <si>
    <t>町本成史</t>
  </si>
  <si>
    <t>永塚拓馬</t>
  </si>
  <si>
    <t>渡辺紘</t>
  </si>
  <si>
    <t>菊池勇成</t>
  </si>
  <si>
    <t>バレッタ裕</t>
  </si>
  <si>
    <t>中田祐矢</t>
  </si>
  <si>
    <t>児玉卓也</t>
  </si>
  <si>
    <t>古畑恵介</t>
  </si>
  <si>
    <t>伊能幸輝</t>
  </si>
  <si>
    <t>浦尾岳大</t>
  </si>
  <si>
    <t>汐谷文康</t>
  </si>
  <si>
    <t>伊瀬結陸</t>
  </si>
  <si>
    <t>宮﨑雅也</t>
  </si>
  <si>
    <t>河合健太郎</t>
  </si>
  <si>
    <t>鵜澤正太郎</t>
  </si>
  <si>
    <t>橘龍丸</t>
  </si>
  <si>
    <t>石田彰</t>
  </si>
  <si>
    <t>檜山修之</t>
  </si>
  <si>
    <t>山口勝平</t>
  </si>
  <si>
    <t>小杉十郎太</t>
  </si>
  <si>
    <t>森田成一</t>
  </si>
  <si>
    <t>中井和哉</t>
  </si>
  <si>
    <t>成瀬誠</t>
  </si>
  <si>
    <t>うえだゆうじ</t>
  </si>
  <si>
    <t>私市淳</t>
  </si>
  <si>
    <t>千葉進歩</t>
  </si>
  <si>
    <t>菅沼久義</t>
  </si>
  <si>
    <t>田邊幸輔</t>
  </si>
  <si>
    <t>植木慎英</t>
  </si>
  <si>
    <t>三宅貴大</t>
  </si>
  <si>
    <t>保住有哉</t>
  </si>
  <si>
    <t>小野将夢</t>
  </si>
  <si>
    <t>加藤渉</t>
  </si>
  <si>
    <t>宮瀬尚也</t>
  </si>
  <si>
    <t>高野憲太朗</t>
  </si>
  <si>
    <t>木暮晃石</t>
  </si>
  <si>
    <t>小林秀行</t>
  </si>
  <si>
    <t>柳晃平</t>
  </si>
  <si>
    <t>竹田海渡</t>
  </si>
  <si>
    <t>佐々木啓夫</t>
  </si>
  <si>
    <t>石黒史剛</t>
  </si>
  <si>
    <t>関智一</t>
  </si>
  <si>
    <t>中原茂</t>
  </si>
  <si>
    <t>四反田マイケル</t>
  </si>
  <si>
    <t>綿貫竜之介</t>
  </si>
  <si>
    <t>下鶴直幸</t>
  </si>
  <si>
    <t>神谷浩史</t>
  </si>
  <si>
    <t>大川透</t>
  </si>
  <si>
    <t>小野坂昌也</t>
  </si>
  <si>
    <t>白石稔</t>
  </si>
  <si>
    <t>岸尾だいすけ</t>
  </si>
  <si>
    <t>松本保典</t>
  </si>
  <si>
    <t>櫻井孝宏</t>
  </si>
  <si>
    <t>伊藤健太郎</t>
  </si>
  <si>
    <t>村上聡</t>
  </si>
  <si>
    <t>三上哲</t>
  </si>
  <si>
    <t>三浦祥朗</t>
  </si>
  <si>
    <t>佐藤元</t>
  </si>
  <si>
    <t>峯田大夢</t>
  </si>
  <si>
    <t>堀江一眞</t>
  </si>
  <si>
    <t>森嶋秀太</t>
  </si>
  <si>
    <t>朝霧友陽</t>
  </si>
  <si>
    <t>峯暢也</t>
  </si>
  <si>
    <t>横田紘一</t>
  </si>
  <si>
    <t>黒沢季希</t>
  </si>
  <si>
    <t>平田広明</t>
  </si>
  <si>
    <t>矢野智也</t>
  </si>
  <si>
    <t>宮崎遊</t>
  </si>
  <si>
    <t>武藤正史</t>
  </si>
  <si>
    <t>大隈健太</t>
  </si>
  <si>
    <t>織田優成</t>
  </si>
  <si>
    <t>小宮逸人</t>
  </si>
  <si>
    <t>布施川一寛</t>
  </si>
  <si>
    <t>小山力也</t>
  </si>
  <si>
    <t>小島英樹</t>
  </si>
  <si>
    <t>本橋大輔</t>
  </si>
  <si>
    <t>川辺俊介</t>
  </si>
  <si>
    <t>西田雅一</t>
  </si>
  <si>
    <t>松風雅也</t>
  </si>
  <si>
    <t>山寺宏一</t>
  </si>
  <si>
    <t>井上剛</t>
  </si>
  <si>
    <t>遊佐浩二</t>
  </si>
  <si>
    <t>藤原啓治</t>
  </si>
  <si>
    <t>松浦義之</t>
  </si>
  <si>
    <t>相楽信頼</t>
  </si>
  <si>
    <t>山口正秀</t>
  </si>
  <si>
    <t>坪井智浩</t>
  </si>
  <si>
    <t>飛田展男</t>
  </si>
  <si>
    <t>鈴木貴征</t>
  </si>
  <si>
    <t>村上喜紀</t>
  </si>
  <si>
    <t>真殿光昭</t>
  </si>
  <si>
    <t>佐藤悠雅</t>
  </si>
  <si>
    <t>内田夕夜</t>
  </si>
  <si>
    <t>石川英郎</t>
  </si>
  <si>
    <t>保村真</t>
  </si>
  <si>
    <t>伊藤昌弘</t>
  </si>
  <si>
    <t>古田一晟</t>
  </si>
  <si>
    <t>小山剛志</t>
  </si>
  <si>
    <t>堀川りょう</t>
  </si>
  <si>
    <t>高戸靖広</t>
  </si>
  <si>
    <t>髙坂篤志</t>
  </si>
  <si>
    <t>笹沼晃</t>
  </si>
  <si>
    <t>酒井敬幸</t>
  </si>
  <si>
    <t>浅井慶一郎</t>
  </si>
  <si>
    <t>宮本充</t>
  </si>
  <si>
    <t>草尾毅</t>
  </si>
  <si>
    <t>大塚明夫</t>
  </si>
  <si>
    <t>安田陸矢</t>
  </si>
  <si>
    <t>吉村和紘</t>
  </si>
  <si>
    <t>岩崎征実</t>
  </si>
  <si>
    <t>津田拓也</t>
  </si>
  <si>
    <t>北田理道</t>
  </si>
  <si>
    <t>最上嗣生</t>
  </si>
  <si>
    <t>室元気</t>
  </si>
  <si>
    <t>秋山諒</t>
  </si>
  <si>
    <t>山本彬</t>
  </si>
  <si>
    <t>前田誠二</t>
  </si>
  <si>
    <t>吉川幸宏</t>
  </si>
  <si>
    <t>義村優</t>
  </si>
  <si>
    <t>長岡龍歩</t>
  </si>
  <si>
    <t>大野智敬</t>
  </si>
  <si>
    <t>豊島聖人</t>
  </si>
  <si>
    <t>織田圭祐</t>
  </si>
  <si>
    <t>桐井大介</t>
  </si>
  <si>
    <t>野宮一範</t>
  </si>
  <si>
    <t>鶴岡聡</t>
  </si>
  <si>
    <t>高野大河</t>
  </si>
  <si>
    <t>観世智顕</t>
  </si>
  <si>
    <t>小池貴大</t>
  </si>
  <si>
    <t>あかばねけんじ</t>
  </si>
  <si>
    <t>あざかみようへい</t>
  </si>
  <si>
    <t>あさぬましんたろう</t>
  </si>
  <si>
    <t>あさりりょうた</t>
  </si>
  <si>
    <t>あべあつし</t>
  </si>
  <si>
    <t>あまさきこうへい</t>
  </si>
  <si>
    <t>あおいしょうた</t>
  </si>
  <si>
    <t>いぐちゆういち</t>
  </si>
  <si>
    <t>いしかわかいと</t>
  </si>
  <si>
    <t>いしやはるき</t>
  </si>
  <si>
    <t>いちかわあおい</t>
  </si>
  <si>
    <t>いちかわたいち</t>
  </si>
  <si>
    <t>いちきみつひろ</t>
  </si>
  <si>
    <t>いとうけんと</t>
  </si>
  <si>
    <t>いのうえかずひこ</t>
  </si>
  <si>
    <t>いのうえゆうき</t>
  </si>
  <si>
    <t>いまいふみや</t>
  </si>
  <si>
    <t>いりえれおな</t>
  </si>
  <si>
    <t>いりのみゆ</t>
  </si>
  <si>
    <t>いわさきりょうた</t>
  </si>
  <si>
    <t>いわなかむつき</t>
  </si>
  <si>
    <t>うえむらゆうと</t>
  </si>
  <si>
    <t>うちだしゅういち</t>
  </si>
  <si>
    <t>うちだゆうま</t>
  </si>
  <si>
    <t>うちやまこうき</t>
  </si>
  <si>
    <t>うめだしゅういちろう</t>
  </si>
  <si>
    <t>うめはらゆういちろう</t>
  </si>
  <si>
    <t>うらかずき</t>
  </si>
  <si>
    <t>えぐちたくや</t>
  </si>
  <si>
    <t>えのきじゅんや</t>
  </si>
  <si>
    <t>おうさかりょうた</t>
  </si>
  <si>
    <t>おがさわらじん</t>
  </si>
  <si>
    <t>おおすかじゅん</t>
  </si>
  <si>
    <t>おおたにゆうき</t>
  </si>
  <si>
    <t>おおつかたけお</t>
  </si>
  <si>
    <t>おかもとのぶひこ</t>
  </si>
  <si>
    <t>おきあゆりょうたろう</t>
  </si>
  <si>
    <t>おきつかずゆき</t>
  </si>
  <si>
    <t>おのけんしょう</t>
  </si>
  <si>
    <t>おのゆうき</t>
  </si>
  <si>
    <t>かいとたすく</t>
  </si>
  <si>
    <t>かきはらてつや</t>
  </si>
  <si>
    <t>かさまじゅん</t>
  </si>
  <si>
    <t>かじゆうき</t>
  </si>
  <si>
    <t>かじただいし</t>
  </si>
  <si>
    <t>かじわらがくと</t>
  </si>
  <si>
    <t>かすやゆうた</t>
  </si>
  <si>
    <t>かんばらだいち</t>
  </si>
  <si>
    <t>かのしょう</t>
  </si>
  <si>
    <t>かわしまれいじ</t>
  </si>
  <si>
    <t>かわにしけんご</t>
  </si>
  <si>
    <t>かわはらよしひさ</t>
  </si>
  <si>
    <t>かみおしんいちろう</t>
  </si>
  <si>
    <t>きじまりゅういち</t>
  </si>
  <si>
    <t>きむらすばる</t>
  </si>
  <si>
    <t>きむらたいひ</t>
  </si>
  <si>
    <t>きむらりょうへい</t>
  </si>
  <si>
    <t>くすのきたいてん</t>
  </si>
  <si>
    <t>くまがいとしき</t>
  </si>
  <si>
    <t>くまがいけんたろう</t>
  </si>
  <si>
    <t>くさのたいち</t>
  </si>
  <si>
    <t>こばやしだいき</t>
  </si>
  <si>
    <t>こばやしちあき</t>
  </si>
  <si>
    <t>こばやしちかひろ</t>
  </si>
  <si>
    <t>こばやしたつゆき</t>
  </si>
  <si>
    <t>こばやしゆうすけ</t>
  </si>
  <si>
    <t>こまつしょうへい</t>
  </si>
  <si>
    <t>こまだわたる</t>
  </si>
  <si>
    <t>こにしかつゆき</t>
  </si>
  <si>
    <t>こやすたけひと</t>
  </si>
  <si>
    <t>こんどうたかし</t>
  </si>
  <si>
    <t>こうもとけいすけ</t>
  </si>
  <si>
    <t>さいとうそうま</t>
  </si>
  <si>
    <t>さかいこうだい</t>
  </si>
  <si>
    <t>ばんたいと</t>
  </si>
  <si>
    <t>さかたしょうご</t>
  </si>
  <si>
    <t>さかきばらゆうき</t>
  </si>
  <si>
    <t>さかぐちだいすけ</t>
  </si>
  <si>
    <t>さくらいとおる</t>
  </si>
  <si>
    <t>さとうたくや</t>
  </si>
  <si>
    <t>さとうゆうご</t>
  </si>
  <si>
    <t>さわしろちはる</t>
  </si>
  <si>
    <t>しげまつちはる</t>
  </si>
  <si>
    <t>しまざきのぶなが</t>
  </si>
  <si>
    <t>しものひろ</t>
  </si>
  <si>
    <t>しらいゆうすけ</t>
  </si>
  <si>
    <t>すぎたともかず</t>
  </si>
  <si>
    <t>すぎやまのりあき</t>
  </si>
  <si>
    <t>すずきちひろ</t>
  </si>
  <si>
    <t>すずきゆうと</t>
  </si>
  <si>
    <t>すずきりょうた</t>
  </si>
  <si>
    <t>すわべじゅんいち</t>
  </si>
  <si>
    <t>せきとしひこ</t>
  </si>
  <si>
    <t>こうさかともや</t>
  </si>
  <si>
    <t>たかぎもとき</t>
  </si>
  <si>
    <t>たかつかともひと</t>
  </si>
  <si>
    <t>たかなしけんご</t>
  </si>
  <si>
    <t>たかはしこうじ</t>
  </si>
  <si>
    <t>たかはしひでのり</t>
  </si>
  <si>
    <t>たかはしひろき</t>
  </si>
  <si>
    <t>たけうちしゅんすけ</t>
  </si>
  <si>
    <t>たけもとえいじ</t>
  </si>
  <si>
    <t>たちばなしんのすけ</t>
  </si>
  <si>
    <t>たにやまきしょう</t>
  </si>
  <si>
    <t>たどころひなた</t>
  </si>
  <si>
    <t>たまるあつし</t>
  </si>
  <si>
    <t>たいゆうき</t>
  </si>
  <si>
    <t>ちばしょうや</t>
  </si>
  <si>
    <t>つだけんじろう</t>
  </si>
  <si>
    <t>つじふみと</t>
  </si>
  <si>
    <t>つちだれお</t>
  </si>
  <si>
    <t>つちやしんば</t>
  </si>
  <si>
    <t>てらしまじゅんた</t>
  </si>
  <si>
    <t>てらしまたくま</t>
  </si>
  <si>
    <t>てづかひろみち</t>
  </si>
  <si>
    <t>てるいゆうき</t>
  </si>
  <si>
    <t>どうじまはやと</t>
  </si>
  <si>
    <t>ときしゅんいち</t>
  </si>
  <si>
    <t>とよしましゅうへい</t>
  </si>
  <si>
    <t>とよながとしゆき</t>
  </si>
  <si>
    <t>とりうみこうすけ</t>
  </si>
  <si>
    <t>なかざわまさとも</t>
  </si>
  <si>
    <t>なかじまよしき</t>
  </si>
  <si>
    <t>なかむらしゅうご</t>
  </si>
  <si>
    <t>なかむらみずき</t>
  </si>
  <si>
    <t>なかむらゆういち</t>
  </si>
  <si>
    <t>なみかわだいすけ</t>
  </si>
  <si>
    <t>にったあんじゅ</t>
  </si>
  <si>
    <t>にしやまこうたろう</t>
  </si>
  <si>
    <t>のがみしょう</t>
  </si>
  <si>
    <t>のじまけんじ</t>
  </si>
  <si>
    <t>のじまひろふみ</t>
  </si>
  <si>
    <t>のづやまゆきひろ</t>
  </si>
  <si>
    <t>はしもとこうたろう</t>
  </si>
  <si>
    <t>はたなかたすく</t>
  </si>
  <si>
    <t>はたのわたる</t>
  </si>
  <si>
    <t>はっとりそのすけ</t>
  </si>
  <si>
    <t>はなえなつき</t>
  </si>
  <si>
    <t>はまけんと</t>
  </si>
  <si>
    <t>はまだけんじ</t>
  </si>
  <si>
    <t>ひるましゅんや</t>
  </si>
  <si>
    <t>ひろせだいすけ</t>
  </si>
  <si>
    <t>ひろせゆうや</t>
  </si>
  <si>
    <t>ひのさとし</t>
  </si>
  <si>
    <t>ひらかわだいすけ</t>
  </si>
  <si>
    <t>ふかまちとしなり</t>
  </si>
  <si>
    <t>ふくしまじゅん</t>
  </si>
  <si>
    <t>ふくやまじゅん</t>
  </si>
  <si>
    <t>ふるかわまこと</t>
  </si>
  <si>
    <t>ふるたかずき</t>
  </si>
  <si>
    <t>ほそやよしまさ</t>
  </si>
  <si>
    <t>ほりかねそうへい</t>
  </si>
  <si>
    <t>ほりえしゅん</t>
  </si>
  <si>
    <t>ほせゆういち</t>
  </si>
  <si>
    <t>ほしそういちろう</t>
  </si>
  <si>
    <t>まえのともあき</t>
  </si>
  <si>
    <t>ますやまたけあき</t>
  </si>
  <si>
    <t>まじまじゅんじ</t>
  </si>
  <si>
    <t>ますだとしき</t>
  </si>
  <si>
    <t>まつおかよしつぐ</t>
  </si>
  <si>
    <t>まつだけんいちろう</t>
  </si>
  <si>
    <t>みうらかつゆき</t>
  </si>
  <si>
    <t>みきしんいちろう</t>
  </si>
  <si>
    <t>みつとみたかお</t>
  </si>
  <si>
    <t>みずしまだいちゅう</t>
  </si>
  <si>
    <t>みずなかまさあき</t>
  </si>
  <si>
    <t>みどりかわひかる</t>
  </si>
  <si>
    <t>みやしたえいじ</t>
  </si>
  <si>
    <t>みやたこうき</t>
  </si>
  <si>
    <t>むらせあゆむ</t>
  </si>
  <si>
    <t>むらたたいし</t>
  </si>
  <si>
    <t>もりくぼしょうたろう</t>
  </si>
  <si>
    <t>もりかわとしゆき</t>
  </si>
  <si>
    <t>やしろたく</t>
  </si>
  <si>
    <t>やすもとひろき</t>
  </si>
  <si>
    <t>やまぐちともひろ</t>
  </si>
  <si>
    <t>やまざきたくみ</t>
  </si>
  <si>
    <t>やましたせいいちろう</t>
  </si>
  <si>
    <t>やましただいき</t>
  </si>
  <si>
    <t>やまなかまさひろ</t>
  </si>
  <si>
    <t>やまもとかずとみ</t>
  </si>
  <si>
    <t>やまやよしたか</t>
  </si>
  <si>
    <t>よしのひろゆき</t>
  </si>
  <si>
    <t>よながつばさ</t>
  </si>
  <si>
    <t>よないゆうき</t>
  </si>
  <si>
    <t>けん</t>
  </si>
  <si>
    <t>しんがきたるすけ</t>
  </si>
  <si>
    <t>こむらしょう</t>
  </si>
  <si>
    <t>ながのゆうすけ</t>
  </si>
  <si>
    <t>わたなべたくみ</t>
  </si>
  <si>
    <t>はやみしょう</t>
  </si>
  <si>
    <t>くろだたかや</t>
  </si>
  <si>
    <t>はやましょうた</t>
  </si>
  <si>
    <t>たけうちえいじ</t>
  </si>
  <si>
    <t>うらたわたる</t>
  </si>
  <si>
    <t>はまのだいき</t>
  </si>
  <si>
    <t>ますもとたくや</t>
  </si>
  <si>
    <t>ふくはらかつみ</t>
  </si>
  <si>
    <t>ほそだけんた</t>
  </si>
  <si>
    <t>ひゅうがさく</t>
  </si>
  <si>
    <t>おおかわげんき</t>
  </si>
  <si>
    <t>はしづめともひさ</t>
  </si>
  <si>
    <t>たけうちりょうた</t>
  </si>
  <si>
    <t>はやしゆう</t>
  </si>
  <si>
    <t>こんどうたかゆき</t>
  </si>
  <si>
    <t>やのしょうご</t>
  </si>
  <si>
    <t>すみやてつえい</t>
  </si>
  <si>
    <t>ばとりしょうご</t>
  </si>
  <si>
    <t>いしばしひいろ</t>
  </si>
  <si>
    <t>らんずべりーあーさー</t>
  </si>
  <si>
    <t>すずむらけんいち</t>
  </si>
  <si>
    <t>ささつばさ</t>
  </si>
  <si>
    <t>きくちゆきとし</t>
  </si>
  <si>
    <t>はせがわよしあき</t>
  </si>
  <si>
    <t>ちばみずき</t>
  </si>
  <si>
    <t>おきのこうじ</t>
  </si>
  <si>
    <t>あきやけいと</t>
  </si>
  <si>
    <t>みやのまもる</t>
  </si>
  <si>
    <t>すずきたつひさ</t>
  </si>
  <si>
    <t>おのだいすけ</t>
  </si>
  <si>
    <t>なかにしなおや</t>
  </si>
  <si>
    <t>はなくらきっどう</t>
  </si>
  <si>
    <t>やちかつふみ</t>
  </si>
  <si>
    <t>しもつまよしゆき</t>
  </si>
  <si>
    <t>みねぎしけい</t>
  </si>
  <si>
    <t>たくみやすあき</t>
  </si>
  <si>
    <t>みかみえいし</t>
  </si>
  <si>
    <t>とくどめしんのすけ</t>
  </si>
  <si>
    <t>まつおかようへい</t>
  </si>
  <si>
    <t>まちもとなるふみ</t>
  </si>
  <si>
    <t>ながつかたくま</t>
  </si>
  <si>
    <t>わたなべひろし</t>
  </si>
  <si>
    <t>きくちたける</t>
  </si>
  <si>
    <t>ばれったゆう</t>
  </si>
  <si>
    <t>なかだゆうや</t>
  </si>
  <si>
    <t>こだまたくや</t>
  </si>
  <si>
    <t>ふるはたけいすけ</t>
  </si>
  <si>
    <t>いのうこうき</t>
  </si>
  <si>
    <t>うらおたけひろ</t>
  </si>
  <si>
    <t>しおやふみよし</t>
  </si>
  <si>
    <t>いせゆいろく</t>
  </si>
  <si>
    <t>みやざきまさや</t>
  </si>
  <si>
    <t>かわいけんたろう</t>
  </si>
  <si>
    <t>うざわしょうたろう</t>
  </si>
  <si>
    <t>たちばなりゅうまる</t>
  </si>
  <si>
    <t>いしだあきら</t>
  </si>
  <si>
    <t>ひやまのぶゆき</t>
  </si>
  <si>
    <t>やまぐちかっぺい</t>
  </si>
  <si>
    <t>こすぎじゅうろうた</t>
  </si>
  <si>
    <t>もりたまさかず</t>
  </si>
  <si>
    <t>なかいかずや</t>
  </si>
  <si>
    <t>なるせまこと</t>
  </si>
  <si>
    <t>きさいちあつし</t>
  </si>
  <si>
    <t>ちばすすむ</t>
  </si>
  <si>
    <t>すがぬまひさよし</t>
  </si>
  <si>
    <t>たなべこうすけ</t>
  </si>
  <si>
    <t>うえきしんえい</t>
  </si>
  <si>
    <t>みやけたかひろ</t>
  </si>
  <si>
    <t>ほずみゆうや</t>
  </si>
  <si>
    <t>おのまさむ</t>
  </si>
  <si>
    <t>かとうわたる</t>
  </si>
  <si>
    <t>みやせなおや</t>
  </si>
  <si>
    <t>たかのけんたろう</t>
  </si>
  <si>
    <t>こぐれこうせき</t>
  </si>
  <si>
    <t>こばやしひでゆき</t>
  </si>
  <si>
    <t>やなぎこうへい</t>
  </si>
  <si>
    <t>たけだかいと</t>
  </si>
  <si>
    <t>ささきひろお</t>
  </si>
  <si>
    <t>いしぐろふみたけ</t>
  </si>
  <si>
    <t>せきともかず</t>
  </si>
  <si>
    <t>なかはらしげる</t>
  </si>
  <si>
    <t>したんだまいける</t>
  </si>
  <si>
    <t>とやきくのすけ</t>
  </si>
  <si>
    <t>わたぬきりゅうのすけ</t>
  </si>
  <si>
    <t>しもつるなおゆき</t>
  </si>
  <si>
    <t>かみやひろし</t>
  </si>
  <si>
    <t>おおかわとおる</t>
  </si>
  <si>
    <t>おのさかまさや</t>
  </si>
  <si>
    <t>しらいしみのる</t>
  </si>
  <si>
    <t>きしおだいすけ</t>
  </si>
  <si>
    <t>まつもとやすのり</t>
  </si>
  <si>
    <t>さくらいたかひろ</t>
  </si>
  <si>
    <t>いとうけんたろう</t>
  </si>
  <si>
    <t>むらかみさとし</t>
  </si>
  <si>
    <t>みかみさとし</t>
  </si>
  <si>
    <t>みうらひろあき</t>
  </si>
  <si>
    <t>さとうげん</t>
  </si>
  <si>
    <t>みねたひろむ</t>
  </si>
  <si>
    <t>ほりえかずま</t>
  </si>
  <si>
    <t>もりしましゅうた</t>
  </si>
  <si>
    <t>あさぎりゆうひ</t>
  </si>
  <si>
    <t>みねのぶや</t>
  </si>
  <si>
    <t>よこたこういち</t>
  </si>
  <si>
    <t>くろさわとしき</t>
  </si>
  <si>
    <t>ひらたひろあき</t>
  </si>
  <si>
    <t>やのともや</t>
  </si>
  <si>
    <t>みやざきゆう</t>
  </si>
  <si>
    <t>むとうまさし</t>
  </si>
  <si>
    <t>おおくまけんた</t>
  </si>
  <si>
    <t>おだゆうせい</t>
  </si>
  <si>
    <t>こみやはやと</t>
  </si>
  <si>
    <t>ふせがわかずひろ</t>
  </si>
  <si>
    <t>こやまりきや</t>
  </si>
  <si>
    <t>こじまひでき</t>
  </si>
  <si>
    <t>もとはしだいすけ</t>
  </si>
  <si>
    <t>かわべしゅんすけ</t>
  </si>
  <si>
    <t>にしだまさかず</t>
  </si>
  <si>
    <t>まつかぜまさや</t>
  </si>
  <si>
    <t>やまでらこういち</t>
  </si>
  <si>
    <t>いのうえごう</t>
  </si>
  <si>
    <t>ゆさこうじ</t>
  </si>
  <si>
    <t>ふじわらけいじ</t>
  </si>
  <si>
    <t>まつうらよしゆき</t>
  </si>
  <si>
    <t>さがらのぶより</t>
  </si>
  <si>
    <t>やまぐちまさひで</t>
  </si>
  <si>
    <t>つぼいともひろ</t>
  </si>
  <si>
    <t>とびたのぶお</t>
  </si>
  <si>
    <t>すずきたかゆき</t>
  </si>
  <si>
    <t>むらかみよしき</t>
  </si>
  <si>
    <t>まどのみつあき</t>
  </si>
  <si>
    <t>さとうゆうが</t>
  </si>
  <si>
    <t>うちだゆうや</t>
  </si>
  <si>
    <t>いしかわひでお</t>
  </si>
  <si>
    <t>やすむらまこと</t>
  </si>
  <si>
    <t>いとうまさひろ</t>
  </si>
  <si>
    <t>ふるたいっせい</t>
  </si>
  <si>
    <t>こやまつよし</t>
  </si>
  <si>
    <t>ほりかわりょう</t>
  </si>
  <si>
    <t>たかとやすひろ</t>
  </si>
  <si>
    <t>こうさかあつし</t>
  </si>
  <si>
    <t>ささぬまあきら</t>
  </si>
  <si>
    <t>さかいけいこう</t>
  </si>
  <si>
    <t>あさいけいいちろう</t>
  </si>
  <si>
    <t>みやもとみつる</t>
  </si>
  <si>
    <t>くさおたけし</t>
  </si>
  <si>
    <t>おおつかあきお</t>
  </si>
  <si>
    <t>やすだりくや</t>
  </si>
  <si>
    <t>よしむらかずひろ</t>
  </si>
  <si>
    <t>いわさきまさみ</t>
  </si>
  <si>
    <t>つだたくや</t>
  </si>
  <si>
    <t>きただまさみち</t>
  </si>
  <si>
    <t>もがみつぐお</t>
  </si>
  <si>
    <t>むろげんき</t>
  </si>
  <si>
    <t>あきやまりょう</t>
  </si>
  <si>
    <t>やまもとあきら</t>
  </si>
  <si>
    <t>まえだせいじ</t>
  </si>
  <si>
    <t>よしかわゆきひろ</t>
  </si>
  <si>
    <t>よしむらゆう</t>
  </si>
  <si>
    <t>ながおかりゅうほ</t>
  </si>
  <si>
    <t>おおのともひろ</t>
  </si>
  <si>
    <t>とよしままさと</t>
  </si>
  <si>
    <t>おだけいすけ</t>
  </si>
  <si>
    <t>きりいだいすけ</t>
  </si>
  <si>
    <t>のみやかずのり</t>
  </si>
  <si>
    <t>つるおかさとし</t>
  </si>
  <si>
    <t>たかのたいが</t>
  </si>
  <si>
    <t>かんぜともあき</t>
  </si>
  <si>
    <t>こいけたかひろ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</si>
</sst>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5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'.SFUI-Regular'"/>
    </font>
    <font>
      <sz val="10"/>
      <color rgb="FF000000"/>
      <name val="Arial"/>
      <family val="2"/>
    </font>
    <font>
      <b/>
      <sz val="10"/>
      <color theme="1"/>
      <name val="Arial"/>
      <family val="2"/>
      <scheme val="minor"/>
    </font>
    <font>
      <sz val="11"/>
      <color rgb="FF000000"/>
      <name val="Arial"/>
      <family val="2"/>
    </font>
    <font>
      <sz val="10"/>
      <color rgb="FF2A2A2A"/>
      <name val="Arial"/>
      <family val="2"/>
    </font>
    <font>
      <u/>
      <sz val="11"/>
      <color rgb="FF000000"/>
      <name val="Arial"/>
      <family val="2"/>
    </font>
    <font>
      <u/>
      <sz val="11"/>
      <color rgb="FF000000"/>
      <name val="Arial"/>
      <family val="2"/>
    </font>
    <font>
      <sz val="11"/>
      <color rgb="FF000000"/>
      <name val="游ゴシック体"/>
      <family val="3"/>
      <charset val="128"/>
    </font>
    <font>
      <sz val="12"/>
      <color theme="1"/>
      <name val="'UICTFontTextStyleBody'"/>
    </font>
    <font>
      <u/>
      <sz val="11"/>
      <color rgb="FF000000"/>
      <name val="游ゴシック体"/>
      <family val="3"/>
      <charset val="128"/>
    </font>
    <font>
      <u/>
      <sz val="11"/>
      <color rgb="FF000000"/>
      <name val="游ゴシック体"/>
      <family val="3"/>
      <charset val="128"/>
    </font>
    <font>
      <sz val="12"/>
      <color rgb="FF000000"/>
      <name val="-webkit-standard"/>
    </font>
    <font>
      <b/>
      <sz val="12"/>
      <color rgb="FF000000"/>
      <name val="Sans-serif"/>
    </font>
    <font>
      <sz val="11"/>
      <color theme="1"/>
      <name val="Arial"/>
      <family val="2"/>
    </font>
    <font>
      <sz val="10"/>
      <color theme="1"/>
      <name val="Arial"/>
      <family val="2"/>
    </font>
    <font>
      <u/>
      <sz val="11"/>
      <color rgb="FF1155CC"/>
      <name val="Arial,sans-serif"/>
    </font>
    <font>
      <u/>
      <sz val="11"/>
      <color rgb="FF1155CC"/>
      <name val="Arial"/>
      <family val="2"/>
      <scheme val="minor"/>
    </font>
    <font>
      <sz val="6"/>
      <name val="Arial"/>
      <family val="3"/>
      <charset val="128"/>
      <scheme val="minor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color rgb="FF666666"/>
      <name val="Verdana"/>
      <family val="2"/>
    </font>
    <font>
      <sz val="10"/>
      <color rgb="FFFFFFFF"/>
      <name val="Noto Sans JP"/>
      <family val="3"/>
      <charset val="128"/>
    </font>
    <font>
      <b/>
      <sz val="11"/>
      <color rgb="FF525352"/>
      <name val="Arial"/>
      <family val="2"/>
      <scheme val="minor"/>
    </font>
    <font>
      <sz val="14"/>
      <color rgb="FF222222"/>
      <name val="Josefin Sans"/>
      <family val="2"/>
    </font>
    <font>
      <sz val="12"/>
      <color rgb="FF000000"/>
      <name val="Open Sans"/>
      <family val="2"/>
    </font>
    <font>
      <sz val="24"/>
      <color rgb="FF222222"/>
      <name val="Oswald"/>
      <family val="2"/>
    </font>
    <font>
      <b/>
      <sz val="17"/>
      <color rgb="FF0074C4"/>
      <name val="-apple-system"/>
      <family val="2"/>
    </font>
    <font>
      <b/>
      <sz val="15"/>
      <color rgb="FFE40048"/>
      <name val="Poppins"/>
      <family val="2"/>
    </font>
    <font>
      <b/>
      <sz val="11"/>
      <color rgb="FF333333"/>
      <name val="Noto Sans JP"/>
      <family val="3"/>
      <charset val="128"/>
    </font>
    <font>
      <b/>
      <sz val="12"/>
      <color rgb="FF00AECC"/>
      <name val="Noto Sans JP"/>
      <family val="3"/>
      <charset val="128"/>
    </font>
    <font>
      <b/>
      <sz val="26"/>
      <color rgb="FF0048A6"/>
      <name val="Noto Serif JP"/>
      <family val="1"/>
      <charset val="128"/>
    </font>
    <font>
      <sz val="14"/>
      <color rgb="FF002222"/>
      <name val="Helvetica Neue"/>
      <family val="2"/>
    </font>
    <font>
      <b/>
      <sz val="12"/>
      <color rgb="FF666666"/>
      <name val="Verdana"/>
      <family val="2"/>
    </font>
    <font>
      <sz val="11"/>
      <color rgb="FF333333"/>
      <name val="Helvetica Neue"/>
      <family val="2"/>
    </font>
    <font>
      <sz val="10"/>
      <color rgb="FF363A40"/>
      <name val="YakuHanJPs"/>
      <family val="2"/>
    </font>
    <font>
      <sz val="12"/>
      <color rgb="FF2F314D"/>
      <name val="Orbitron"/>
      <family val="2"/>
    </font>
    <font>
      <b/>
      <sz val="14"/>
      <color rgb="FFEB6112"/>
      <name val="Verdana"/>
      <family val="2"/>
    </font>
    <font>
      <sz val="10"/>
      <color rgb="FF666666"/>
      <name val="TsukuGoPr5-L"/>
      <family val="2"/>
    </font>
    <font>
      <sz val="11"/>
      <color rgb="FF1E2123"/>
      <name val="Avex"/>
      <family val="2"/>
    </font>
    <font>
      <b/>
      <sz val="21"/>
      <color rgb="FF0074C4"/>
      <name val="-apple-system"/>
      <family val="2"/>
    </font>
    <font>
      <sz val="11"/>
      <color rgb="FF000000"/>
      <name val="Arial"/>
      <family val="2"/>
      <scheme val="minor"/>
    </font>
    <font>
      <b/>
      <sz val="10"/>
      <color rgb="FF000000"/>
      <name val="Noto Sans JP"/>
      <family val="3"/>
      <charset val="128"/>
    </font>
    <font>
      <b/>
      <sz val="10"/>
      <color rgb="FF222222"/>
      <name val="-apple-system"/>
      <family val="2"/>
    </font>
    <font>
      <sz val="26"/>
      <color rgb="FF000000"/>
      <name val="Amiri Regular"/>
      <family val="2"/>
    </font>
    <font>
      <sz val="11"/>
      <color rgb="FF333333"/>
      <name val="Arial"/>
      <family val="2"/>
      <scheme val="minor"/>
    </font>
    <font>
      <b/>
      <sz val="10"/>
      <color rgb="FF4A2C75"/>
      <name val="Hiragino Sans"/>
      <family val="2"/>
    </font>
    <font>
      <b/>
      <sz val="10"/>
      <color rgb="FF666666"/>
      <name val="YakuHanJP"/>
      <family val="2"/>
    </font>
    <font>
      <sz val="30"/>
      <color rgb="FF333333"/>
      <name val="Libre Baskerville"/>
      <family val="2"/>
    </font>
    <font>
      <sz val="10"/>
      <color rgb="FF191919"/>
      <name val="Noto Sans JP"/>
      <family val="3"/>
      <charset val="128"/>
    </font>
    <font>
      <b/>
      <sz val="12"/>
      <color rgb="FF333333"/>
      <name val="Noto Sans JP"/>
      <family val="3"/>
      <charset val="128"/>
    </font>
    <font>
      <sz val="10"/>
      <color rgb="FF000000"/>
      <name val="Noto Sans JP"/>
      <family val="3"/>
      <charset val="128"/>
    </font>
    <font>
      <b/>
      <sz val="9"/>
      <color rgb="FF333333"/>
      <name val="Arial"/>
      <family val="2"/>
      <scheme val="minor"/>
    </font>
    <font>
      <b/>
      <sz val="14"/>
      <color rgb="FF367CD3"/>
      <name val="Helvetica Neue"/>
      <family val="2"/>
    </font>
    <font>
      <b/>
      <sz val="10"/>
      <color rgb="FF333333"/>
      <name val="Arial"/>
      <family val="2"/>
      <scheme val="minor"/>
    </font>
    <font>
      <b/>
      <sz val="11"/>
      <color rgb="FF777777"/>
      <name val="Noto Sans JP"/>
      <family val="3"/>
      <charset val="128"/>
    </font>
    <font>
      <b/>
      <sz val="26"/>
      <color rgb="FF006A82"/>
      <name val="Montserrat"/>
      <family val="2"/>
    </font>
    <font>
      <sz val="20"/>
      <color rgb="FF59B8A5"/>
      <name val="Roboto"/>
      <family val="2"/>
    </font>
    <font>
      <sz val="18"/>
      <color rgb="FF1E2F55"/>
      <name val="Crimson Text"/>
      <family val="2"/>
    </font>
    <font>
      <b/>
      <sz val="10"/>
      <color rgb="FF666666"/>
      <name val="Noto Sans JP"/>
      <family val="3"/>
      <charset val="128"/>
    </font>
    <font>
      <b/>
      <sz val="18"/>
      <color rgb="FF423530"/>
      <name val="Besley"/>
      <family val="2"/>
    </font>
    <font>
      <sz val="12"/>
      <color rgb="FF222222"/>
      <name val="YakuHanJP"/>
      <family val="2"/>
    </font>
    <font>
      <sz val="10"/>
      <color rgb="FF5A6268"/>
      <name val="-apple-system"/>
      <family val="2"/>
    </font>
    <font>
      <sz val="11"/>
      <color rgb="FF002222"/>
      <name val="Helvetica Neue"/>
      <family val="2"/>
    </font>
    <font>
      <b/>
      <sz val="19"/>
      <color rgb="FF8C8260"/>
      <name val="Arial"/>
      <family val="2"/>
      <scheme val="minor"/>
    </font>
    <font>
      <sz val="10"/>
      <color rgb="FF111111"/>
      <name val="Arial"/>
      <family val="2"/>
      <scheme val="minor"/>
    </font>
    <font>
      <b/>
      <sz val="11"/>
      <color rgb="FF333333"/>
      <name val="Didact Gothic"/>
      <family val="2"/>
    </font>
    <font>
      <b/>
      <sz val="18"/>
      <color rgb="FF000000"/>
      <name val="Noto Sans JP"/>
      <family val="3"/>
      <charset val="128"/>
    </font>
    <font>
      <b/>
      <sz val="34"/>
      <color rgb="FFEBEEF1"/>
      <name val="Noto Sans JP"/>
      <family val="3"/>
      <charset val="128"/>
    </font>
    <font>
      <sz val="13"/>
      <color rgb="FF000000"/>
      <name val="Noto Sans JP"/>
      <family val="3"/>
      <charset val="128"/>
    </font>
    <font>
      <sz val="10"/>
      <color rgb="FF333333"/>
      <name val="FontAwesome"/>
      <family val="2"/>
    </font>
    <font>
      <sz val="12"/>
      <color rgb="FFFFFFFF"/>
      <name val="Shippori Mincho"/>
      <family val="2"/>
    </font>
    <font>
      <sz val="10"/>
      <color rgb="FF000000"/>
      <name val="Hiragino Kaku Gothic ProN"/>
      <family val="2"/>
    </font>
    <font>
      <b/>
      <sz val="12"/>
      <color rgb="FF000000"/>
      <name val="Noto Sans JP"/>
      <family val="3"/>
      <charset val="128"/>
    </font>
    <font>
      <sz val="10"/>
      <color rgb="FF59B8A5"/>
      <name val="Roboto"/>
      <family val="2"/>
    </font>
    <font>
      <b/>
      <sz val="10"/>
      <color rgb="FF2A193C"/>
      <name val="Acumin-pro"/>
      <family val="2"/>
    </font>
    <font>
      <sz val="2"/>
      <color rgb="FF000000"/>
      <name val="FjallaOne"/>
      <family val="2"/>
    </font>
    <font>
      <sz val="9"/>
      <color rgb="FF000000"/>
      <name val="M-plus-1p"/>
      <family val="2"/>
    </font>
    <font>
      <sz val="13"/>
      <color rgb="FFFFFFFF"/>
      <name val="Raleway"/>
      <family val="2"/>
    </font>
    <font>
      <sz val="10"/>
      <color rgb="FFFFFFFF"/>
      <name val="Palanquin Dark"/>
      <family val="2"/>
    </font>
    <font>
      <b/>
      <sz val="10"/>
      <color rgb="FF000000"/>
      <name val="Hiragino Kaku Gothic ProN"/>
      <family val="2"/>
    </font>
    <font>
      <b/>
      <sz val="10"/>
      <color rgb="FF333333"/>
      <name val="IBM Plex Sans JP"/>
      <family val="2"/>
    </font>
    <font>
      <sz val="10"/>
      <color rgb="FF000000"/>
      <name val="Helvetica"/>
      <family val="2"/>
    </font>
    <font>
      <sz val="17"/>
      <color rgb="FF333333"/>
      <name val="Lato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EEEEE"/>
        <bgColor indexed="64"/>
      </patternFill>
    </fill>
    <fill>
      <patternFill patternType="solid">
        <fgColor rgb="FFE4157E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AF4F1"/>
        <bgColor indexed="64"/>
      </patternFill>
    </fill>
    <fill>
      <patternFill patternType="solid">
        <fgColor rgb="FFEFF1F4"/>
        <bgColor indexed="64"/>
      </patternFill>
    </fill>
    <fill>
      <patternFill patternType="solid">
        <fgColor rgb="FFF3F5F6"/>
        <bgColor indexed="64"/>
      </patternFill>
    </fill>
    <fill>
      <patternFill patternType="solid">
        <fgColor rgb="FFE8DED4"/>
        <bgColor indexed="64"/>
      </patternFill>
    </fill>
    <fill>
      <patternFill patternType="solid">
        <fgColor rgb="FFF6FBFE"/>
        <bgColor indexed="64"/>
      </patternFill>
    </fill>
    <fill>
      <patternFill patternType="solid">
        <fgColor rgb="FFF1F2F3"/>
        <bgColor indexed="64"/>
      </patternFill>
    </fill>
    <fill>
      <patternFill patternType="solid">
        <fgColor rgb="FFE0D6C8"/>
        <bgColor indexed="64"/>
      </patternFill>
    </fill>
    <fill>
      <patternFill patternType="solid">
        <fgColor rgb="FFE4EDEA"/>
        <bgColor indexed="64"/>
      </patternFill>
    </fill>
    <fill>
      <patternFill patternType="solid">
        <fgColor rgb="FF29201E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0" fillId="0" borderId="0" applyNumberFormat="0" applyFill="0" applyBorder="0" applyAlignment="0" applyProtection="0"/>
  </cellStyleXfs>
  <cellXfs count="9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2" borderId="0" xfId="0" applyFont="1" applyFill="1" applyAlignment="1">
      <alignment horizontal="left"/>
    </xf>
    <xf numFmtId="0" fontId="10" fillId="0" borderId="0" xfId="0" applyFont="1"/>
    <xf numFmtId="0" fontId="11" fillId="2" borderId="0" xfId="0" applyFont="1" applyFill="1" applyAlignment="1">
      <alignment horizontal="left"/>
    </xf>
    <xf numFmtId="0" fontId="12" fillId="2" borderId="0" xfId="0" applyFont="1" applyFill="1" applyAlignment="1">
      <alignment horizontal="left"/>
    </xf>
    <xf numFmtId="0" fontId="13" fillId="0" borderId="0" xfId="0" applyFont="1"/>
    <xf numFmtId="0" fontId="14" fillId="0" borderId="0" xfId="0" applyFont="1"/>
    <xf numFmtId="0" fontId="15" fillId="2" borderId="0" xfId="0" applyFont="1" applyFill="1"/>
    <xf numFmtId="0" fontId="16" fillId="0" borderId="0" xfId="0" applyFont="1"/>
    <xf numFmtId="0" fontId="21" fillId="0" borderId="1" xfId="0" applyFont="1" applyBorder="1" applyAlignment="1">
      <alignment horizontal="center" wrapText="1"/>
    </xf>
    <xf numFmtId="0" fontId="21" fillId="0" borderId="1" xfId="0" applyFont="1" applyBorder="1" applyAlignment="1">
      <alignment wrapText="1"/>
    </xf>
    <xf numFmtId="0" fontId="20" fillId="0" borderId="1" xfId="1" applyBorder="1" applyAlignment="1">
      <alignment wrapText="1"/>
    </xf>
    <xf numFmtId="0" fontId="22" fillId="3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wrapText="1"/>
    </xf>
    <xf numFmtId="0" fontId="63" fillId="0" borderId="1" xfId="0" applyFont="1" applyBorder="1" applyAlignment="1">
      <alignment wrapText="1"/>
    </xf>
    <xf numFmtId="0" fontId="24" fillId="0" borderId="1" xfId="0" applyFont="1" applyBorder="1" applyAlignment="1">
      <alignment vertical="center"/>
    </xf>
    <xf numFmtId="0" fontId="25" fillId="5" borderId="1" xfId="0" applyFont="1" applyFill="1" applyBorder="1" applyAlignment="1">
      <alignment vertical="center"/>
    </xf>
    <xf numFmtId="0" fontId="26" fillId="6" borderId="1" xfId="0" applyFont="1" applyFill="1" applyBorder="1" applyAlignment="1">
      <alignment vertical="center"/>
    </xf>
    <xf numFmtId="0" fontId="27" fillId="6" borderId="1" xfId="0" applyFont="1" applyFill="1" applyBorder="1" applyAlignment="1">
      <alignment vertical="center"/>
    </xf>
    <xf numFmtId="0" fontId="20" fillId="0" borderId="1" xfId="1" applyBorder="1" applyAlignment="1">
      <alignment vertical="center"/>
    </xf>
    <xf numFmtId="0" fontId="28" fillId="0" borderId="1" xfId="0" applyFont="1" applyBorder="1" applyAlignment="1">
      <alignment vertical="center"/>
    </xf>
    <xf numFmtId="0" fontId="29" fillId="6" borderId="1" xfId="0" applyFont="1" applyFill="1" applyBorder="1" applyAlignment="1">
      <alignment vertical="center"/>
    </xf>
    <xf numFmtId="0" fontId="75" fillId="0" borderId="1" xfId="0" applyFont="1" applyBorder="1" applyAlignment="1">
      <alignment wrapText="1"/>
    </xf>
    <xf numFmtId="0" fontId="30" fillId="5" borderId="1" xfId="0" applyFont="1" applyFill="1" applyBorder="1" applyAlignment="1">
      <alignment wrapText="1"/>
    </xf>
    <xf numFmtId="0" fontId="47" fillId="0" borderId="1" xfId="0" applyFont="1" applyBorder="1" applyAlignment="1">
      <alignment wrapText="1"/>
    </xf>
    <xf numFmtId="0" fontId="31" fillId="6" borderId="1" xfId="0" applyFont="1" applyFill="1" applyBorder="1" applyAlignment="1">
      <alignment vertical="center"/>
    </xf>
    <xf numFmtId="0" fontId="32" fillId="0" borderId="1" xfId="0" applyFont="1" applyBorder="1" applyAlignment="1">
      <alignment vertical="center"/>
    </xf>
    <xf numFmtId="0" fontId="39" fillId="0" borderId="1" xfId="0" applyFont="1" applyBorder="1" applyAlignment="1">
      <alignment wrapText="1"/>
    </xf>
    <xf numFmtId="0" fontId="33" fillId="7" borderId="1" xfId="0" applyFont="1" applyFill="1" applyBorder="1" applyAlignment="1">
      <alignment vertical="center"/>
    </xf>
    <xf numFmtId="0" fontId="34" fillId="3" borderId="1" xfId="0" applyFont="1" applyFill="1" applyBorder="1" applyAlignment="1">
      <alignment horizontal="center" vertical="center"/>
    </xf>
    <xf numFmtId="0" fontId="35" fillId="0" borderId="1" xfId="0" applyFont="1" applyBorder="1" applyAlignment="1">
      <alignment wrapText="1"/>
    </xf>
    <xf numFmtId="0" fontId="36" fillId="8" borderId="1" xfId="0" applyFont="1" applyFill="1" applyBorder="1" applyAlignment="1">
      <alignment vertical="center"/>
    </xf>
    <xf numFmtId="0" fontId="37" fillId="9" borderId="1" xfId="0" applyFont="1" applyFill="1" applyBorder="1" applyAlignment="1">
      <alignment vertical="center"/>
    </xf>
    <xf numFmtId="0" fontId="48" fillId="0" borderId="1" xfId="0" applyFont="1" applyBorder="1" applyAlignment="1">
      <alignment wrapText="1"/>
    </xf>
    <xf numFmtId="0" fontId="38" fillId="6" borderId="1" xfId="0" applyFont="1" applyFill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vertical="center"/>
    </xf>
    <xf numFmtId="0" fontId="42" fillId="0" borderId="1" xfId="0" applyFont="1" applyBorder="1" applyAlignment="1">
      <alignment vertical="center"/>
    </xf>
    <xf numFmtId="0" fontId="21" fillId="0" borderId="1" xfId="0" applyFont="1" applyBorder="1" applyAlignment="1">
      <alignment vertical="center"/>
    </xf>
    <xf numFmtId="0" fontId="43" fillId="6" borderId="1" xfId="0" applyFont="1" applyFill="1" applyBorder="1" applyAlignment="1">
      <alignment wrapText="1"/>
    </xf>
    <xf numFmtId="0" fontId="44" fillId="3" borderId="1" xfId="0" applyFont="1" applyFill="1" applyBorder="1" applyAlignment="1">
      <alignment wrapText="1"/>
    </xf>
    <xf numFmtId="0" fontId="45" fillId="0" borderId="1" xfId="0" applyFont="1" applyBorder="1" applyAlignment="1">
      <alignment vertical="center"/>
    </xf>
    <xf numFmtId="0" fontId="21" fillId="5" borderId="1" xfId="0" applyFont="1" applyFill="1" applyBorder="1" applyAlignment="1">
      <alignment wrapText="1"/>
    </xf>
    <xf numFmtId="0" fontId="32" fillId="6" borderId="1" xfId="0" applyFont="1" applyFill="1" applyBorder="1" applyAlignment="1">
      <alignment vertical="center"/>
    </xf>
    <xf numFmtId="0" fontId="76" fillId="6" borderId="1" xfId="0" applyFont="1" applyFill="1" applyBorder="1" applyAlignment="1">
      <alignment wrapText="1"/>
    </xf>
    <xf numFmtId="0" fontId="46" fillId="6" borderId="1" xfId="0" applyFont="1" applyFill="1" applyBorder="1" applyAlignment="1">
      <alignment wrapText="1"/>
    </xf>
    <xf numFmtId="0" fontId="47" fillId="6" borderId="1" xfId="0" applyFont="1" applyFill="1" applyBorder="1" applyAlignment="1">
      <alignment wrapText="1"/>
    </xf>
    <xf numFmtId="0" fontId="48" fillId="6" borderId="1" xfId="0" applyFont="1" applyFill="1" applyBorder="1" applyAlignment="1">
      <alignment wrapText="1"/>
    </xf>
    <xf numFmtId="0" fontId="77" fillId="6" borderId="1" xfId="0" applyFont="1" applyFill="1" applyBorder="1" applyAlignment="1">
      <alignment wrapText="1"/>
    </xf>
    <xf numFmtId="0" fontId="49" fillId="10" borderId="1" xfId="0" applyFont="1" applyFill="1" applyBorder="1" applyAlignment="1">
      <alignment horizontal="center" vertical="center"/>
    </xf>
    <xf numFmtId="0" fontId="50" fillId="6" borderId="1" xfId="0" applyFont="1" applyFill="1" applyBorder="1" applyAlignment="1">
      <alignment horizontal="center" wrapText="1"/>
    </xf>
    <xf numFmtId="0" fontId="35" fillId="0" borderId="1" xfId="0" applyFont="1" applyBorder="1" applyAlignment="1">
      <alignment vertical="center"/>
    </xf>
    <xf numFmtId="0" fontId="51" fillId="6" borderId="1" xfId="0" applyFont="1" applyFill="1" applyBorder="1" applyAlignment="1">
      <alignment vertical="center"/>
    </xf>
    <xf numFmtId="0" fontId="52" fillId="0" borderId="1" xfId="0" applyFont="1" applyBorder="1" applyAlignment="1">
      <alignment horizontal="center" wrapText="1"/>
    </xf>
    <xf numFmtId="0" fontId="53" fillId="11" borderId="1" xfId="0" applyFont="1" applyFill="1" applyBorder="1" applyAlignment="1">
      <alignment wrapText="1"/>
    </xf>
    <xf numFmtId="0" fontId="78" fillId="12" borderId="1" xfId="0" applyFont="1" applyFill="1" applyBorder="1" applyAlignment="1">
      <alignment wrapText="1"/>
    </xf>
    <xf numFmtId="0" fontId="54" fillId="0" borderId="1" xfId="0" applyFont="1" applyBorder="1" applyAlignment="1">
      <alignment vertical="center"/>
    </xf>
    <xf numFmtId="0" fontId="55" fillId="0" borderId="1" xfId="0" applyFont="1" applyBorder="1" applyAlignment="1">
      <alignment horizontal="center" wrapText="1"/>
    </xf>
    <xf numFmtId="0" fontId="56" fillId="0" borderId="1" xfId="0" applyFont="1" applyBorder="1" applyAlignment="1">
      <alignment vertical="center"/>
    </xf>
    <xf numFmtId="0" fontId="57" fillId="0" borderId="1" xfId="0" applyFont="1" applyBorder="1" applyAlignment="1">
      <alignment horizontal="center" vertical="center"/>
    </xf>
    <xf numFmtId="0" fontId="58" fillId="0" borderId="1" xfId="0" applyFont="1" applyBorder="1" applyAlignment="1">
      <alignment vertical="center"/>
    </xf>
    <xf numFmtId="0" fontId="59" fillId="0" borderId="1" xfId="0" applyFont="1" applyBorder="1" applyAlignment="1">
      <alignment horizontal="center" wrapText="1"/>
    </xf>
    <xf numFmtId="0" fontId="60" fillId="0" borderId="1" xfId="0" applyFont="1" applyBorder="1" applyAlignment="1">
      <alignment wrapText="1"/>
    </xf>
    <xf numFmtId="0" fontId="61" fillId="13" borderId="1" xfId="0" applyFont="1" applyFill="1" applyBorder="1" applyAlignment="1">
      <alignment vertical="center"/>
    </xf>
    <xf numFmtId="0" fontId="79" fillId="0" borderId="1" xfId="0" applyFont="1" applyBorder="1" applyAlignment="1">
      <alignment wrapText="1"/>
    </xf>
    <xf numFmtId="0" fontId="62" fillId="0" borderId="1" xfId="0" applyFont="1" applyBorder="1" applyAlignment="1">
      <alignment vertical="center"/>
    </xf>
    <xf numFmtId="0" fontId="64" fillId="7" borderId="1" xfId="0" applyFont="1" applyFill="1" applyBorder="1" applyAlignment="1">
      <alignment vertical="center"/>
    </xf>
    <xf numFmtId="0" fontId="80" fillId="0" borderId="1" xfId="0" applyFont="1" applyBorder="1" applyAlignment="1">
      <alignment wrapText="1"/>
    </xf>
    <xf numFmtId="0" fontId="65" fillId="0" borderId="1" xfId="0" applyFont="1" applyBorder="1" applyAlignment="1">
      <alignment vertical="center"/>
    </xf>
    <xf numFmtId="0" fontId="81" fillId="6" borderId="1" xfId="0" applyFont="1" applyFill="1" applyBorder="1" applyAlignment="1">
      <alignment wrapText="1"/>
    </xf>
    <xf numFmtId="0" fontId="66" fillId="0" borderId="1" xfId="0" applyFont="1" applyBorder="1" applyAlignment="1">
      <alignment wrapText="1"/>
    </xf>
    <xf numFmtId="0" fontId="67" fillId="0" borderId="1" xfId="0" applyFont="1" applyBorder="1" applyAlignment="1">
      <alignment vertical="center"/>
    </xf>
    <xf numFmtId="0" fontId="68" fillId="0" borderId="1" xfId="0" applyFont="1" applyBorder="1" applyAlignment="1">
      <alignment horizontal="center" vertical="center"/>
    </xf>
    <xf numFmtId="0" fontId="82" fillId="0" borderId="1" xfId="0" applyFont="1" applyBorder="1" applyAlignment="1">
      <alignment wrapText="1"/>
    </xf>
    <xf numFmtId="0" fontId="69" fillId="0" borderId="1" xfId="0" applyFont="1" applyBorder="1" applyAlignment="1">
      <alignment vertical="center"/>
    </xf>
    <xf numFmtId="0" fontId="71" fillId="0" borderId="1" xfId="0" applyFont="1" applyBorder="1" applyAlignment="1">
      <alignment wrapText="1"/>
    </xf>
    <xf numFmtId="0" fontId="70" fillId="14" borderId="1" xfId="0" applyFont="1" applyFill="1" applyBorder="1" applyAlignment="1">
      <alignment horizontal="center" vertical="center"/>
    </xf>
    <xf numFmtId="0" fontId="72" fillId="15" borderId="1" xfId="0" applyFont="1" applyFill="1" applyBorder="1" applyAlignment="1">
      <alignment horizontal="center" vertical="center"/>
    </xf>
    <xf numFmtId="0" fontId="83" fillId="6" borderId="1" xfId="0" applyFont="1" applyFill="1" applyBorder="1" applyAlignment="1">
      <alignment wrapText="1"/>
    </xf>
    <xf numFmtId="0" fontId="84" fillId="0" borderId="1" xfId="0" applyFont="1" applyBorder="1" applyAlignment="1">
      <alignment wrapText="1"/>
    </xf>
    <xf numFmtId="0" fontId="73" fillId="0" borderId="1" xfId="0" applyFont="1" applyBorder="1" applyAlignment="1">
      <alignment wrapText="1"/>
    </xf>
    <xf numFmtId="0" fontId="74" fillId="6" borderId="1" xfId="0" applyFont="1" applyFill="1" applyBorder="1" applyAlignment="1">
      <alignment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aoni.co.jp/search/nojima-kenji.html" TargetMode="External"/><Relationship Id="rId299" Type="http://schemas.openxmlformats.org/officeDocument/2006/relationships/hyperlink" Target="https://www.kenproduction.co.jp/talent/107" TargetMode="External"/><Relationship Id="rId303" Type="http://schemas.openxmlformats.org/officeDocument/2006/relationships/hyperlink" Target="https://asleben.jp/talents/yukihiro-yoshikawa" TargetMode="External"/><Relationship Id="rId21" Type="http://schemas.openxmlformats.org/officeDocument/2006/relationships/hyperlink" Target="https://www.kenproduction.co.jp/talent/192" TargetMode="External"/><Relationship Id="rId42" Type="http://schemas.openxmlformats.org/officeDocument/2006/relationships/hyperlink" Target="https://haikyo.co.jp/profile/profile.php?ActorID=12560" TargetMode="External"/><Relationship Id="rId63" Type="http://schemas.openxmlformats.org/officeDocument/2006/relationships/hyperlink" Target="https://www.production-ace.co.jp/ace_talent/keisukekomoto/" TargetMode="External"/><Relationship Id="rId84" Type="http://schemas.openxmlformats.org/officeDocument/2006/relationships/hyperlink" Target="https://www.imenterprise.jp/profile.php?id=55" TargetMode="External"/><Relationship Id="rId138" Type="http://schemas.openxmlformats.org/officeDocument/2006/relationships/hyperlink" Target="https://www.raccoon-dog.co.jp/talent/m08-horie.html" TargetMode="External"/><Relationship Id="rId159" Type="http://schemas.openxmlformats.org/officeDocument/2006/relationships/hyperlink" Target="https://haikyo.co.jp/profile/profile.php?ActorID=13112" TargetMode="External"/><Relationship Id="rId170" Type="http://schemas.openxmlformats.org/officeDocument/2006/relationships/hyperlink" Target="https://www.artsvision.co.jp/talent/14426/" TargetMode="External"/><Relationship Id="rId191" Type="http://schemas.openxmlformats.org/officeDocument/2006/relationships/hyperlink" Target="https://intention-k.com/profile/kenichi_suzumura" TargetMode="External"/><Relationship Id="rId205" Type="http://schemas.openxmlformats.org/officeDocument/2006/relationships/hyperlink" Target="https://www.imenterprise.jp/profile.php?id=66" TargetMode="External"/><Relationship Id="rId226" Type="http://schemas.openxmlformats.org/officeDocument/2006/relationships/hyperlink" Target="https://kenyu-office.com/narusemakoto/" TargetMode="External"/><Relationship Id="rId247" Type="http://schemas.openxmlformats.org/officeDocument/2006/relationships/hyperlink" Target="https://www.aoni.co.jp/search/kamiya-hiroshi.html" TargetMode="External"/><Relationship Id="rId107" Type="http://schemas.openxmlformats.org/officeDocument/2006/relationships/hyperlink" Target="https://remax-web.jp/talent/toyoshima-s/" TargetMode="External"/><Relationship Id="rId268" Type="http://schemas.openxmlformats.org/officeDocument/2006/relationships/hyperlink" Target="https://www.artsvision.co.jp/talent/14414/" TargetMode="External"/><Relationship Id="rId289" Type="http://schemas.openxmlformats.org/officeDocument/2006/relationships/hyperlink" Target="https://www.aoni.co.jp/search/takato-yasuhiro.html" TargetMode="External"/><Relationship Id="rId11" Type="http://schemas.openxmlformats.org/officeDocument/2006/relationships/hyperlink" Target="https://mausu.net/talent/ichiki-mitsuhiro.html" TargetMode="External"/><Relationship Id="rId32" Type="http://schemas.openxmlformats.org/officeDocument/2006/relationships/hyperlink" Target="https://www.aoni.co.jp/search/okiayu-ryotaro.html" TargetMode="External"/><Relationship Id="rId53" Type="http://schemas.openxmlformats.org/officeDocument/2006/relationships/hyperlink" Target="https://www.81produce.co.jp/dcms_plusdb/index.php/item?id=45" TargetMode="External"/><Relationship Id="rId74" Type="http://schemas.openxmlformats.org/officeDocument/2006/relationships/hyperlink" Target="https://www.aoni.co.jp/search/shimazaki-nobunaga.html" TargetMode="External"/><Relationship Id="rId128" Type="http://schemas.openxmlformats.org/officeDocument/2006/relationships/hyperlink" Target="https://www.kekke.co.jp/talent/male/hw/hirose.html" TargetMode="External"/><Relationship Id="rId149" Type="http://schemas.openxmlformats.org/officeDocument/2006/relationships/hyperlink" Target="https://www.blackship.jp/male/takaomitsutomi/" TargetMode="External"/><Relationship Id="rId5" Type="http://schemas.openxmlformats.org/officeDocument/2006/relationships/hyperlink" Target="https://www.imenterprise.jp/profile.php?id=11" TargetMode="External"/><Relationship Id="rId95" Type="http://schemas.openxmlformats.org/officeDocument/2006/relationships/hyperlink" Target="https://remax-web.jp/talent/tai-y/" TargetMode="External"/><Relationship Id="rId160" Type="http://schemas.openxmlformats.org/officeDocument/2006/relationships/hyperlink" Target="https://www.tsp-pro.co.jp/" TargetMode="External"/><Relationship Id="rId181" Type="http://schemas.openxmlformats.org/officeDocument/2006/relationships/hyperlink" Target="https://amuleto.jp/talents/okawagenki.html" TargetMode="External"/><Relationship Id="rId216" Type="http://schemas.openxmlformats.org/officeDocument/2006/relationships/hyperlink" Target="https://haikyo.co.jp/profile/profile.php?ActorID=12971" TargetMode="External"/><Relationship Id="rId237" Type="http://schemas.openxmlformats.org/officeDocument/2006/relationships/hyperlink" Target="https://www.81produce.co.jp/actor_search/index.php/item?cell003=%E3%81%8B%E8%A1%8C&amp;cell029=%E7%94%B7%E6%80%A7&amp;keyword=&amp;cell028=&amp;cell004=&amp;name=%E6%9C%A8%E6%9A%AE%E3%80%80%E6%99%83%E7%9F%B3&amp;id=372&amp;label=1" TargetMode="External"/><Relationship Id="rId258" Type="http://schemas.openxmlformats.org/officeDocument/2006/relationships/hyperlink" Target="https://aksent.co.jp/profile/horie_kazuma/" TargetMode="External"/><Relationship Id="rId279" Type="http://schemas.openxmlformats.org/officeDocument/2006/relationships/hyperlink" Target="https://www.81produce.co.jp/actor_search/index.php/item?cell003=%E3%81%9F%E8%A1%8C&amp;cell029=%E7%94%B7%E6%80%A7&amp;keyword=&amp;cell028=&amp;cell004=&amp;name=%E5%9D%AA%E4%BA%95%E3%80%80%E6%99%BA%E6%B5%A9&amp;id=84&amp;label=1" TargetMode="External"/><Relationship Id="rId22" Type="http://schemas.openxmlformats.org/officeDocument/2006/relationships/hyperlink" Target="https://www.artsvision.co.jp/talent/14239/" TargetMode="External"/><Relationship Id="rId43" Type="http://schemas.openxmlformats.org/officeDocument/2006/relationships/hyperlink" Target="https://www.aoni.co.jp/search/kawashima-reiji.html" TargetMode="External"/><Relationship Id="rId64" Type="http://schemas.openxmlformats.org/officeDocument/2006/relationships/hyperlink" Target="https://www.81produce.co.jp/dcms_plusdb/index.php/item?cell003=%E3%81%95%E8%A1%8C&amp;label=1&amp;cell004=&amp;name=%E6%96%89%E8%97%A4%E3%80%80%E5%A3%AE%E9%A6%AC&amp;id=47" TargetMode="External"/><Relationship Id="rId118" Type="http://schemas.openxmlformats.org/officeDocument/2006/relationships/hyperlink" Target="https://www.aoni.co.jp/search/nojima-hirofumi.html" TargetMode="External"/><Relationship Id="rId139" Type="http://schemas.openxmlformats.org/officeDocument/2006/relationships/hyperlink" Target="https://across-ent.com/voice_actor/detail.html?id=106" TargetMode="External"/><Relationship Id="rId290" Type="http://schemas.openxmlformats.org/officeDocument/2006/relationships/hyperlink" Target="https://www.air-agency.co.jp/talent/man/kosaka_atsushi" TargetMode="External"/><Relationship Id="rId304" Type="http://schemas.openxmlformats.org/officeDocument/2006/relationships/hyperlink" Target="https://asleben.jp/talents/masaru-yoshimura" TargetMode="External"/><Relationship Id="rId85" Type="http://schemas.openxmlformats.org/officeDocument/2006/relationships/hyperlink" Target="https://mausu.net/talent/takatsuka-tomohito.html" TargetMode="External"/><Relationship Id="rId150" Type="http://schemas.openxmlformats.org/officeDocument/2006/relationships/hyperlink" Target="https://pro-baobab.jp/actor/%e6%b0%b4%e4%b8%ad-%e9%9b%85%e7%ab%a0/" TargetMode="External"/><Relationship Id="rId171" Type="http://schemas.openxmlformats.org/officeDocument/2006/relationships/hyperlink" Target="https://www.artsvision.co.jp/talent/14393/" TargetMode="External"/><Relationship Id="rId192" Type="http://schemas.openxmlformats.org/officeDocument/2006/relationships/hyperlink" Target="https://www.atomicmonkey.jp/talent/sasatsubasa" TargetMode="External"/><Relationship Id="rId206" Type="http://schemas.openxmlformats.org/officeDocument/2006/relationships/hyperlink" Target="https://www.raccoon-dog.co.jp/talent/m13-matsuoka.html" TargetMode="External"/><Relationship Id="rId227" Type="http://schemas.openxmlformats.org/officeDocument/2006/relationships/hyperlink" Target="https://www.aoni.co.jp/search/kisaichi-atsushi.html" TargetMode="External"/><Relationship Id="rId248" Type="http://schemas.openxmlformats.org/officeDocument/2006/relationships/hyperlink" Target="https://mausu.net/talent/okawa-toru.html" TargetMode="External"/><Relationship Id="rId269" Type="http://schemas.openxmlformats.org/officeDocument/2006/relationships/hyperlink" Target="https://www.kenproduction.co.jp/talent/95" TargetMode="External"/><Relationship Id="rId12" Type="http://schemas.openxmlformats.org/officeDocument/2006/relationships/hyperlink" Target="https://www.81produce.co.jp/dcms_plusdb/index.php/item?cell003=%E3%81%82%E8%A1%8C&amp;keyword=&amp;cell028=&amp;page=2&amp;cell004=&amp;name=%E4%BC%8A%E6%9D%B1%E3%80%80%E5%81%A5%E4%BA%BA&amp;id=9&amp;label=1" TargetMode="External"/><Relationship Id="rId33" Type="http://schemas.openxmlformats.org/officeDocument/2006/relationships/hyperlink" Target="https://www.kekke.co.jp/talent/male/ak/okitsu.html" TargetMode="External"/><Relationship Id="rId108" Type="http://schemas.openxmlformats.org/officeDocument/2006/relationships/hyperlink" Target="https://www.artsvision.co.jp/talent/14365/" TargetMode="External"/><Relationship Id="rId129" Type="http://schemas.openxmlformats.org/officeDocument/2006/relationships/hyperlink" Target="https://www.artsvision.co.jp/talent/14316/" TargetMode="External"/><Relationship Id="rId280" Type="http://schemas.openxmlformats.org/officeDocument/2006/relationships/hyperlink" Target="https://www.artsvision.co.jp/talent/14363/" TargetMode="External"/><Relationship Id="rId54" Type="http://schemas.openxmlformats.org/officeDocument/2006/relationships/hyperlink" Target="https://osawa-inc.co.jp/men/kobayashichiaki/" TargetMode="External"/><Relationship Id="rId75" Type="http://schemas.openxmlformats.org/officeDocument/2006/relationships/hyperlink" Target="https://www.imenterprise.jp/profile.php?id=38" TargetMode="External"/><Relationship Id="rId96" Type="http://schemas.openxmlformats.org/officeDocument/2006/relationships/hyperlink" Target="https://www.toysfactory.co.jp/artist/shoyachiba/news/detail/5551" TargetMode="External"/><Relationship Id="rId140" Type="http://schemas.openxmlformats.org/officeDocument/2006/relationships/hyperlink" Target="https://www.artsvision.co.jp/talent/14322/" TargetMode="External"/><Relationship Id="rId161" Type="http://schemas.openxmlformats.org/officeDocument/2006/relationships/hyperlink" Target="https://osawa-inc.co.jp/men/yamashitaseiichiro/" TargetMode="External"/><Relationship Id="rId182" Type="http://schemas.openxmlformats.org/officeDocument/2006/relationships/hyperlink" Target="https://www.aoni.co.jp/search/hashizume-tomohisa.html" TargetMode="External"/><Relationship Id="rId217" Type="http://schemas.openxmlformats.org/officeDocument/2006/relationships/hyperlink" Target="https://www.vims.co.jp/talent/325/" TargetMode="External"/><Relationship Id="rId6" Type="http://schemas.openxmlformats.org/officeDocument/2006/relationships/hyperlink" Target="https://haikyo.co.jp/profile/profile.php?ActorID=12183" TargetMode="External"/><Relationship Id="rId238" Type="http://schemas.openxmlformats.org/officeDocument/2006/relationships/hyperlink" Target="https://hideyuki-kobayashi.netlify.app/" TargetMode="External"/><Relationship Id="rId259" Type="http://schemas.openxmlformats.org/officeDocument/2006/relationships/hyperlink" Target="https://hibiki-cast.jp/hibiki_m/morishima_syuta/" TargetMode="External"/><Relationship Id="rId23" Type="http://schemas.openxmlformats.org/officeDocument/2006/relationships/hyperlink" Target="https://www.vims.co.jp/talent/329/" TargetMode="External"/><Relationship Id="rId119" Type="http://schemas.openxmlformats.org/officeDocument/2006/relationships/hyperlink" Target="https://stay-luck.com/talent/nozuyama-yukihiro/" TargetMode="External"/><Relationship Id="rId270" Type="http://schemas.openxmlformats.org/officeDocument/2006/relationships/hyperlink" Target="https://amuleto.jp/talents/kojimahideki.html" TargetMode="External"/><Relationship Id="rId291" Type="http://schemas.openxmlformats.org/officeDocument/2006/relationships/hyperlink" Target="https://www.artsvision.co.jp/talent/14371/" TargetMode="External"/><Relationship Id="rId305" Type="http://schemas.openxmlformats.org/officeDocument/2006/relationships/hyperlink" Target="https://www.81produce.co.jp/dcms_plusdb/index.php/item?cell003=%E3%81%AA%E8%A1%8C&amp;cell029=%E7%94%B7%E6%80%A7&amp;keyword=&amp;cell028=&amp;cell004=&amp;name=%E9%95%B7%E5%B2%A1%E3%80%80%E9%BE%8D%E6%AD%A9&amp;id=392&amp;label=1" TargetMode="External"/><Relationship Id="rId44" Type="http://schemas.openxmlformats.org/officeDocument/2006/relationships/hyperlink" Target="https://mausu.net/talent/kawanishi-kengo.html" TargetMode="External"/><Relationship Id="rId65" Type="http://schemas.openxmlformats.org/officeDocument/2006/relationships/hyperlink" Target="https://animoproduce.co.jp/artists/sakaikodai/" TargetMode="External"/><Relationship Id="rId86" Type="http://schemas.openxmlformats.org/officeDocument/2006/relationships/hyperlink" Target="https://www.artsvision.co.jp/talent/14342/" TargetMode="External"/><Relationship Id="rId130" Type="http://schemas.openxmlformats.org/officeDocument/2006/relationships/hyperlink" Target="https://axl-one.com/talent/hino.html" TargetMode="External"/><Relationship Id="rId151" Type="http://schemas.openxmlformats.org/officeDocument/2006/relationships/hyperlink" Target="https://www.aoni.co.jp/search/midorikawa-hikaru.html" TargetMode="External"/><Relationship Id="rId172" Type="http://schemas.openxmlformats.org/officeDocument/2006/relationships/hyperlink" Target="https://www.artsvision.co.jp/talent/14242/" TargetMode="External"/><Relationship Id="rId193" Type="http://schemas.openxmlformats.org/officeDocument/2006/relationships/hyperlink" Target="https://www.vims.co.jp/talent/343/" TargetMode="External"/><Relationship Id="rId207" Type="http://schemas.openxmlformats.org/officeDocument/2006/relationships/hyperlink" Target="https://arise-pj.co.jp/talent/narufumi-machimoto/" TargetMode="External"/><Relationship Id="rId228" Type="http://schemas.openxmlformats.org/officeDocument/2006/relationships/hyperlink" Target="https://osawa-inc.co.jp/men/chibasusumu/" TargetMode="External"/><Relationship Id="rId249" Type="http://schemas.openxmlformats.org/officeDocument/2006/relationships/hyperlink" Target="https://www.aoni.co.jp/search/onosaka-masaya.html" TargetMode="External"/><Relationship Id="rId13" Type="http://schemas.openxmlformats.org/officeDocument/2006/relationships/hyperlink" Target="https://b-box-box.com/actor/kazuhiko_inoue/" TargetMode="External"/><Relationship Id="rId109" Type="http://schemas.openxmlformats.org/officeDocument/2006/relationships/hyperlink" Target="https://haikyo.co.jp/profile/profile.php?ActorID=12828" TargetMode="External"/><Relationship Id="rId260" Type="http://schemas.openxmlformats.org/officeDocument/2006/relationships/hyperlink" Target="https://aptepro.jp/talents/y_asagiri.html" TargetMode="External"/><Relationship Id="rId281" Type="http://schemas.openxmlformats.org/officeDocument/2006/relationships/hyperlink" Target="https://across-ent.com/voice_actor/detail.html?id=168" TargetMode="External"/><Relationship Id="rId34" Type="http://schemas.openxmlformats.org/officeDocument/2006/relationships/hyperlink" Target="https://animoproduce.co.jp/artists/onokensho/" TargetMode="External"/><Relationship Id="rId55" Type="http://schemas.openxmlformats.org/officeDocument/2006/relationships/hyperlink" Target="https://www.atomicmonkey.jp/talent/kobayashichikahiro" TargetMode="External"/><Relationship Id="rId76" Type="http://schemas.openxmlformats.org/officeDocument/2006/relationships/hyperlink" Target="https://www.earlywing.co.jp/actordb/catec/talent_shiraiyusuke" TargetMode="External"/><Relationship Id="rId97" Type="http://schemas.openxmlformats.org/officeDocument/2006/relationships/hyperlink" Target="https://tsudaken.jp/" TargetMode="External"/><Relationship Id="rId120" Type="http://schemas.openxmlformats.org/officeDocument/2006/relationships/hyperlink" Target="https://www.81produce.co.jp/actor_search/index.php/item?cell003=%E3%81%AF%E8%A1%8C&amp;cell029=%E7%94%B7%E6%80%A7&amp;keyword=&amp;cell028=&amp;cell004=&amp;name=%E6%A9%8B%E6%9C%AC%E3%80%80%E6%99%83%E5%A4%AA%E6%9C%97&amp;id=100&amp;label=1" TargetMode="External"/><Relationship Id="rId141" Type="http://schemas.openxmlformats.org/officeDocument/2006/relationships/hyperlink" Target="https://www.artsvision.co.jp/talent/14253/" TargetMode="External"/><Relationship Id="rId7" Type="http://schemas.openxmlformats.org/officeDocument/2006/relationships/hyperlink" Target="https://stay-luck.com/talent/ishikawa-kaito/" TargetMode="External"/><Relationship Id="rId162" Type="http://schemas.openxmlformats.org/officeDocument/2006/relationships/hyperlink" Target="https://www.artsvision.co.jp/talent/14249/" TargetMode="External"/><Relationship Id="rId183" Type="http://schemas.openxmlformats.org/officeDocument/2006/relationships/hyperlink" Target="https://www.aoni.co.jp/search/takeuchi-ryota.html" TargetMode="External"/><Relationship Id="rId218" Type="http://schemas.openxmlformats.org/officeDocument/2006/relationships/hyperlink" Target="https://www.stardust.co.jp/talent/voiceactor/miyazakimasaya/" TargetMode="External"/><Relationship Id="rId239" Type="http://schemas.openxmlformats.org/officeDocument/2006/relationships/hyperlink" Target="https://www.raccoon-dog.co.jp/talent/m19-yanagi.html" TargetMode="External"/><Relationship Id="rId250" Type="http://schemas.openxmlformats.org/officeDocument/2006/relationships/hyperlink" Target="https://aksent.co.jp/profile/shiraishi_minoru/" TargetMode="External"/><Relationship Id="rId271" Type="http://schemas.openxmlformats.org/officeDocument/2006/relationships/hyperlink" Target="https://www.vims.co.jp/talent/372/" TargetMode="External"/><Relationship Id="rId292" Type="http://schemas.openxmlformats.org/officeDocument/2006/relationships/hyperlink" Target="https://www.81produce.co.jp/dcms_plusdb/index.php/item?id=48" TargetMode="External"/><Relationship Id="rId306" Type="http://schemas.openxmlformats.org/officeDocument/2006/relationships/hyperlink" Target="https://mausu.net/talent/ohno-tomohiro.html" TargetMode="External"/><Relationship Id="rId24" Type="http://schemas.openxmlformats.org/officeDocument/2006/relationships/hyperlink" Target="https://www.81produce.co.jp/dcms_plusdb/index.php/item?cell003=%E3%81%82%E8%A1%8C&amp;label=1&amp;page=3&amp;cell004=&amp;name=%E6%B1%9F%E5%8F%A3%E3%80%80%E6%8B%93%E4%B9%9F&amp;id=18" TargetMode="External"/><Relationship Id="rId45" Type="http://schemas.openxmlformats.org/officeDocument/2006/relationships/hyperlink" Target="https://across-ent.com/voice_actor/detail.html?id=103" TargetMode="External"/><Relationship Id="rId66" Type="http://schemas.openxmlformats.org/officeDocument/2006/relationships/hyperlink" Target="https://osawa-inc.co.jp/men/bantaito/" TargetMode="External"/><Relationship Id="rId87" Type="http://schemas.openxmlformats.org/officeDocument/2006/relationships/hyperlink" Target="https://www.kenproduction.co.jp/talent/118" TargetMode="External"/><Relationship Id="rId110" Type="http://schemas.openxmlformats.org/officeDocument/2006/relationships/hyperlink" Target="https://www.81produce.co.jp/dcms_plusdb/index.php/item?cell003=%E3%81%AA%E8%A1%8C&amp;label=1&amp;cell004=&amp;name=%E4%B8%AD%E5%B3%B6%E3%80%80%E3%83%A8%E3%82%B7%E3%82%AD&amp;id=92" TargetMode="External"/><Relationship Id="rId131" Type="http://schemas.openxmlformats.org/officeDocument/2006/relationships/hyperlink" Target="https://aptepro.jp/talents/t_fukamachi.html" TargetMode="External"/><Relationship Id="rId61" Type="http://schemas.openxmlformats.org/officeDocument/2006/relationships/hyperlink" Target="https://tsf-official.com/talent/takehito-koyasu/" TargetMode="External"/><Relationship Id="rId82" Type="http://schemas.openxmlformats.org/officeDocument/2006/relationships/hyperlink" Target="https://www.81produce.co.jp/actor_search/index.php/item?cell003=%E3%81%95%E8%A1%8C&amp;cell029=%E7%94%B7%E6%80%A7&amp;keyword=&amp;cell028=&amp;page=2&amp;cell004=&amp;name=%E9%96%A2%E3%80%80%E4%BF%8A%E5%BD%A6&amp;id=64&amp;label=1" TargetMode="External"/><Relationship Id="rId152" Type="http://schemas.openxmlformats.org/officeDocument/2006/relationships/hyperlink" Target="https://breeze-voice.com/talents/miyashita-eiji/" TargetMode="External"/><Relationship Id="rId173" Type="http://schemas.openxmlformats.org/officeDocument/2006/relationships/hyperlink" Target="https://rushstyle.net/talent/show_hayami/" TargetMode="External"/><Relationship Id="rId194" Type="http://schemas.openxmlformats.org/officeDocument/2006/relationships/hyperlink" Target="https://across-ent.com/voice_actor/detail.html?id=157" TargetMode="External"/><Relationship Id="rId199" Type="http://schemas.openxmlformats.org/officeDocument/2006/relationships/hyperlink" Target="https://daisukeono.com/" TargetMode="External"/><Relationship Id="rId203" Type="http://schemas.openxmlformats.org/officeDocument/2006/relationships/hyperlink" Target="https://haikyo.co.jp/profile/profile.php?ActorID=12211" TargetMode="External"/><Relationship Id="rId208" Type="http://schemas.openxmlformats.org/officeDocument/2006/relationships/hyperlink" Target="https://www.imenterprise.jp/profile.php?id=69" TargetMode="External"/><Relationship Id="rId229" Type="http://schemas.openxmlformats.org/officeDocument/2006/relationships/hyperlink" Target="https://www.aoni.co.jp/search/suganuma-hisayoshi.html" TargetMode="External"/><Relationship Id="rId19" Type="http://schemas.openxmlformats.org/officeDocument/2006/relationships/hyperlink" Target="https://intention-k.com/profile/shuichi_uchida" TargetMode="External"/><Relationship Id="rId224" Type="http://schemas.openxmlformats.org/officeDocument/2006/relationships/hyperlink" Target="https://osawa-inc.co.jp/men/kosugijurota/" TargetMode="External"/><Relationship Id="rId240" Type="http://schemas.openxmlformats.org/officeDocument/2006/relationships/hyperlink" Target="https://www.aoni.co.jp/search/takeda-kaito.html" TargetMode="External"/><Relationship Id="rId245" Type="http://schemas.openxmlformats.org/officeDocument/2006/relationships/hyperlink" Target="https://remax-web.jp/talent/watanuki-r/" TargetMode="External"/><Relationship Id="rId261" Type="http://schemas.openxmlformats.org/officeDocument/2006/relationships/hyperlink" Target="https://minenobuya.wixsite.com/mine" TargetMode="External"/><Relationship Id="rId266" Type="http://schemas.openxmlformats.org/officeDocument/2006/relationships/hyperlink" Target="https://www.kenproduction.co.jp/talent/99" TargetMode="External"/><Relationship Id="rId287" Type="http://schemas.openxmlformats.org/officeDocument/2006/relationships/hyperlink" Target="https://hibiki-cast.jp/hibiki_m/ito_masahiro/" TargetMode="External"/><Relationship Id="rId14" Type="http://schemas.openxmlformats.org/officeDocument/2006/relationships/hyperlink" Target="https://mausu.net/talent/inoue-yuki.html" TargetMode="External"/><Relationship Id="rId30" Type="http://schemas.openxmlformats.org/officeDocument/2006/relationships/hyperlink" Target="https://www.imenterprise.jp/profile.php?id=28" TargetMode="External"/><Relationship Id="rId35" Type="http://schemas.openxmlformats.org/officeDocument/2006/relationships/hyperlink" Target="https://web.onoyuki.com/" TargetMode="External"/><Relationship Id="rId56" Type="http://schemas.openxmlformats.org/officeDocument/2006/relationships/hyperlink" Target="https://avex-pictures.co.jp/lineup/33139/" TargetMode="External"/><Relationship Id="rId77" Type="http://schemas.openxmlformats.org/officeDocument/2006/relationships/hyperlink" Target="https://agrs.co.jp/voiceact/" TargetMode="External"/><Relationship Id="rId100" Type="http://schemas.openxmlformats.org/officeDocument/2006/relationships/hyperlink" Target="https://simbatsuchiya.studio.site/" TargetMode="External"/><Relationship Id="rId105" Type="http://schemas.openxmlformats.org/officeDocument/2006/relationships/hyperlink" Target="https://across-ent.com/voice_actor/detail.html?id=149" TargetMode="External"/><Relationship Id="rId126" Type="http://schemas.openxmlformats.org/officeDocument/2006/relationships/hyperlink" Target="https://mausu.net/talent/hamada-kenji.html" TargetMode="External"/><Relationship Id="rId147" Type="http://schemas.openxmlformats.org/officeDocument/2006/relationships/hyperlink" Target="https://www.atomicmonkey.jp/talent/miurakatsuyuki" TargetMode="External"/><Relationship Id="rId168" Type="http://schemas.openxmlformats.org/officeDocument/2006/relationships/hyperlink" Target="https://zynchro.jp/talent/kenn.html" TargetMode="External"/><Relationship Id="rId282" Type="http://schemas.openxmlformats.org/officeDocument/2006/relationships/hyperlink" Target="https://www.aoni.co.jp/search/madono-mitsuaki.html" TargetMode="External"/><Relationship Id="rId312" Type="http://schemas.openxmlformats.org/officeDocument/2006/relationships/hyperlink" Target="https://www.kenproduction.co.jp/talent/191" TargetMode="External"/><Relationship Id="rId8" Type="http://schemas.openxmlformats.org/officeDocument/2006/relationships/hyperlink" Target="https://osawa-inc.co.jp/men/ishiyaharuki/" TargetMode="External"/><Relationship Id="rId51" Type="http://schemas.openxmlformats.org/officeDocument/2006/relationships/hyperlink" Target="https://haikyo.co.jp/profile/profile.php?ActorID=12741" TargetMode="External"/><Relationship Id="rId72" Type="http://schemas.openxmlformats.org/officeDocument/2006/relationships/hyperlink" Target="https://stay-luck.com/talent/sawashiro-chiharu/" TargetMode="External"/><Relationship Id="rId93" Type="http://schemas.openxmlformats.org/officeDocument/2006/relationships/hyperlink" Target="https://www.81produce.co.jp/actor_search/index.php/item?cell003=%E3%81%9F%E8%A1%8C&amp;cell029=%E7%94%B7%E6%80%A7&amp;keyword=&amp;cell028=&amp;cell004=&amp;name=%E7%94%B0%E6%89%80%E3%80%80%E9%99%BD%E5%90%91&amp;id=74&amp;label=1" TargetMode="External"/><Relationship Id="rId98" Type="http://schemas.openxmlformats.org/officeDocument/2006/relationships/hyperlink" Target="https://www.aoni.co.jp/search/tsuji-fumito.html" TargetMode="External"/><Relationship Id="rId121" Type="http://schemas.openxmlformats.org/officeDocument/2006/relationships/hyperlink" Target="https://www.kenproduction.co.jp/talent/113" TargetMode="External"/><Relationship Id="rId142" Type="http://schemas.openxmlformats.org/officeDocument/2006/relationships/hyperlink" Target="https://www.kenproduction.co.jp/talent/105" TargetMode="External"/><Relationship Id="rId163" Type="http://schemas.openxmlformats.org/officeDocument/2006/relationships/hyperlink" Target="https://kenyu-office.com/yamanakamasahiro/" TargetMode="External"/><Relationship Id="rId184" Type="http://schemas.openxmlformats.org/officeDocument/2006/relationships/hyperlink" Target="https://www.kenproduction.co.jp/talent/58" TargetMode="External"/><Relationship Id="rId189" Type="http://schemas.openxmlformats.org/officeDocument/2006/relationships/hyperlink" Target="https://avex-pictures.co.jp/lineup/15125/" TargetMode="External"/><Relationship Id="rId219" Type="http://schemas.openxmlformats.org/officeDocument/2006/relationships/hyperlink" Target="https://d-master.jp/cast/kawai/" TargetMode="External"/><Relationship Id="rId3" Type="http://schemas.openxmlformats.org/officeDocument/2006/relationships/hyperlink" Target="https://www.kenproduction.co.jp/talent/3" TargetMode="External"/><Relationship Id="rId214" Type="http://schemas.openxmlformats.org/officeDocument/2006/relationships/hyperlink" Target="https://www.blackship.jp/male/kokiino/" TargetMode="External"/><Relationship Id="rId230" Type="http://schemas.openxmlformats.org/officeDocument/2006/relationships/hyperlink" Target="https://www.aoni.co.jp/search/tanabe-kohsuke.html" TargetMode="External"/><Relationship Id="rId235" Type="http://schemas.openxmlformats.org/officeDocument/2006/relationships/hyperlink" Target="https://kenyu-office.com/miyasenaoya/" TargetMode="External"/><Relationship Id="rId251" Type="http://schemas.openxmlformats.org/officeDocument/2006/relationships/hyperlink" Target="https://www.aoni.co.jp/search/kishio-daisuke.html" TargetMode="External"/><Relationship Id="rId256" Type="http://schemas.openxmlformats.org/officeDocument/2006/relationships/hyperlink" Target="https://www.imenterprise.jp/profile.php?id=36" TargetMode="External"/><Relationship Id="rId277" Type="http://schemas.openxmlformats.org/officeDocument/2006/relationships/hyperlink" Target="https://www.kenproduction.co.jp/talent/108" TargetMode="External"/><Relationship Id="rId298" Type="http://schemas.openxmlformats.org/officeDocument/2006/relationships/hyperlink" Target="https://www.raccoon-dog.co.jp/talent/m11-tsuda.html" TargetMode="External"/><Relationship Id="rId25" Type="http://schemas.openxmlformats.org/officeDocument/2006/relationships/hyperlink" Target="https://asleben.jp/talents/junya-enoki" TargetMode="External"/><Relationship Id="rId46" Type="http://schemas.openxmlformats.org/officeDocument/2006/relationships/hyperlink" Target="https://www.81produce.co.jp/dcms_plusdb/index.php/item?cell003=%E3%81%8B%E8%A1%8C&amp;label=1&amp;cell004=&amp;name=%E7%A5%9E%E5%B0%BE%E3%80%80%E6%99%8B%E4%B8%80%E9%83%8E&amp;id=32" TargetMode="External"/><Relationship Id="rId67" Type="http://schemas.openxmlformats.org/officeDocument/2006/relationships/hyperlink" Target="https://www.aoni.co.jp/search/sakata-shogo.html" TargetMode="External"/><Relationship Id="rId116" Type="http://schemas.openxmlformats.org/officeDocument/2006/relationships/hyperlink" Target="https://www.vims.co.jp/talent/356/" TargetMode="External"/><Relationship Id="rId137" Type="http://schemas.openxmlformats.org/officeDocument/2006/relationships/hyperlink" Target="https://www.raccoon-dog.co.jp/talent/m16-horikane.html" TargetMode="External"/><Relationship Id="rId158" Type="http://schemas.openxmlformats.org/officeDocument/2006/relationships/hyperlink" Target="https://sigma7.co.jp/actors/yasumoto_hiroki/" TargetMode="External"/><Relationship Id="rId272" Type="http://schemas.openxmlformats.org/officeDocument/2006/relationships/hyperlink" Target="https://haikyo.co.jp/profile/profile.php?ActorID=12221" TargetMode="External"/><Relationship Id="rId293" Type="http://schemas.openxmlformats.org/officeDocument/2006/relationships/hyperlink" Target="https://www.aoni.co.jp/search/kusao-takeshi.html" TargetMode="External"/><Relationship Id="rId302" Type="http://schemas.openxmlformats.org/officeDocument/2006/relationships/hyperlink" Target="https://hibiki-cast.jp/hibiki_m/maeda_seiji/" TargetMode="External"/><Relationship Id="rId307" Type="http://schemas.openxmlformats.org/officeDocument/2006/relationships/hyperlink" Target="https://www.earlywing.co.jp/actordb/cated/talent_toyoshimamasato" TargetMode="External"/><Relationship Id="rId20" Type="http://schemas.openxmlformats.org/officeDocument/2006/relationships/hyperlink" Target="https://intention-k.com/profile/yuma_uchida" TargetMode="External"/><Relationship Id="rId41" Type="http://schemas.openxmlformats.org/officeDocument/2006/relationships/hyperlink" Target="https://www.aoni.co.jp/search/kasuya-yuta.html" TargetMode="External"/><Relationship Id="rId62" Type="http://schemas.openxmlformats.org/officeDocument/2006/relationships/hyperlink" Target="https://ambernote.jp/talent/takashi_kondo" TargetMode="External"/><Relationship Id="rId83" Type="http://schemas.openxmlformats.org/officeDocument/2006/relationships/hyperlink" Target="https://amuleto.jp/talents/kosakatomoya.html" TargetMode="External"/><Relationship Id="rId88" Type="http://schemas.openxmlformats.org/officeDocument/2006/relationships/hyperlink" Target="https://mausu.net/talent/takahashi-hidenori.html" TargetMode="External"/><Relationship Id="rId111" Type="http://schemas.openxmlformats.org/officeDocument/2006/relationships/hyperlink" Target="https://across-ent.com/voice_actor/detail.html?id=107" TargetMode="External"/><Relationship Id="rId132" Type="http://schemas.openxmlformats.org/officeDocument/2006/relationships/hyperlink" Target="https://www.artsvision.co.jp/talent/14317/" TargetMode="External"/><Relationship Id="rId153" Type="http://schemas.openxmlformats.org/officeDocument/2006/relationships/hyperlink" Target="https://www.81produce.co.jp/dcms_plusdb/index.php/item?cell003=%E3%81%BE%E8%A1%8C&amp;label=1&amp;page=2&amp;cell004=&amp;name=%E5%AE%AE%E7%94%B0%E3%80%80%E5%B9%B8%E5%AD%A3&amp;id=122" TargetMode="External"/><Relationship Id="rId174" Type="http://schemas.openxmlformats.org/officeDocument/2006/relationships/hyperlink" Target="https://www.artsvision.co.jp/talent/14347/" TargetMode="External"/><Relationship Id="rId179" Type="http://schemas.openxmlformats.org/officeDocument/2006/relationships/hyperlink" Target="https://swallow-p.com/actor/hosoda-kenta/" TargetMode="External"/><Relationship Id="rId195" Type="http://schemas.openxmlformats.org/officeDocument/2006/relationships/hyperlink" Target="https://mausu.net/talent/post_6.html" TargetMode="External"/><Relationship Id="rId209" Type="http://schemas.openxmlformats.org/officeDocument/2006/relationships/hyperlink" Target="https://kenyu-office.com/watanabehiroshi/" TargetMode="External"/><Relationship Id="rId190" Type="http://schemas.openxmlformats.org/officeDocument/2006/relationships/hyperlink" Target="https://www.81produce.co.jp/actor_search/index.php/item?cell003=%E3%82%89%E8%A1%8C&amp;keyword=&amp;cell028=&amp;cell004=&amp;name=%E3%83%A9%E3%83%B3%E3%82%BA%E3%83%99%E3%83%AA%E3%83%BC%E3%83%BB%E3%82%A2%E3%83%BC%E3%82%B5%E3%83%BC&amp;id=132&amp;label=1" TargetMode="External"/><Relationship Id="rId204" Type="http://schemas.openxmlformats.org/officeDocument/2006/relationships/hyperlink" Target="https://www.vims.co.jp/talent/368/" TargetMode="External"/><Relationship Id="rId220" Type="http://schemas.openxmlformats.org/officeDocument/2006/relationships/hyperlink" Target="https://www.81produce.co.jp/dcms_plusdb/index.php/item?cell003=%E3%81%82%E8%A1%8C&amp;label=1&amp;page=2&amp;cell004=&amp;name=%E9%B5%9C%E6%BE%A4%E3%80%80%E6%AD%A3%E5%A4%AA%E9%83%8E&amp;id=15" TargetMode="External"/><Relationship Id="rId225" Type="http://schemas.openxmlformats.org/officeDocument/2006/relationships/hyperlink" Target="https://www.aoni.co.jp/search/nakai-kazuya.html" TargetMode="External"/><Relationship Id="rId241" Type="http://schemas.openxmlformats.org/officeDocument/2006/relationships/hyperlink" Target="https://www.81produce.co.jp/actor_search/index.php/item?cell003=%E3%81%95%E8%A1%8C&amp;cell029=%E7%94%B7%E6%80%A7&amp;keyword=&amp;cell028=&amp;cell004=&amp;name=%E4%BD%90%E3%80%85%E6%9C%A8%E3%80%80%E5%95%93%E5%A4%AB&amp;id=53&amp;label=1" TargetMode="External"/><Relationship Id="rId246" Type="http://schemas.openxmlformats.org/officeDocument/2006/relationships/hyperlink" Target="https://rushstyle.net/talent/naoyuki_shimozuru/" TargetMode="External"/><Relationship Id="rId267" Type="http://schemas.openxmlformats.org/officeDocument/2006/relationships/hyperlink" Target="https://www.aoni.co.jp/search/oda-yusei.html" TargetMode="External"/><Relationship Id="rId288" Type="http://schemas.openxmlformats.org/officeDocument/2006/relationships/hyperlink" Target="https://across-ent.com/voice_actor/detail.html?id=102" TargetMode="External"/><Relationship Id="rId15" Type="http://schemas.openxmlformats.org/officeDocument/2006/relationships/hyperlink" Target="https://rushstyle.net/talent/fumiya_imai/" TargetMode="External"/><Relationship Id="rId36" Type="http://schemas.openxmlformats.org/officeDocument/2006/relationships/hyperlink" Target="https://pro-baobab.jp/actor/%E6%B5%B7%E6%B8%A1-%E7%BF%BC/?utm_source=chatgpt.com" TargetMode="External"/><Relationship Id="rId57" Type="http://schemas.openxmlformats.org/officeDocument/2006/relationships/hyperlink" Target="https://yu-rin.com/pro-man/kobayashi-yusuke" TargetMode="External"/><Relationship Id="rId106" Type="http://schemas.openxmlformats.org/officeDocument/2006/relationships/hyperlink" Target="https://withline.jp/talent/shunichi_toki" TargetMode="External"/><Relationship Id="rId127" Type="http://schemas.openxmlformats.org/officeDocument/2006/relationships/hyperlink" Target="https://www.81produce.co.jp/actor_search/index.php/item?cell003=%E3%81%AF%E8%A1%8C&amp;cell029=%E7%94%B7%E6%80%A7&amp;keyword=&amp;cell028=&amp;cell004=&amp;name=%E6%AF%94%E7%95%99%E9%96%93%E3%80%80%E4%BF%8A%E5%93%89&amp;id=106&amp;label=1" TargetMode="External"/><Relationship Id="rId262" Type="http://schemas.openxmlformats.org/officeDocument/2006/relationships/hyperlink" Target="https://amuleto.jp/talents/yokotakoichi.html" TargetMode="External"/><Relationship Id="rId283" Type="http://schemas.openxmlformats.org/officeDocument/2006/relationships/hyperlink" Target="https://www.aoni.co.jp/search/sato-yuga.html" TargetMode="External"/><Relationship Id="rId313" Type="http://schemas.openxmlformats.org/officeDocument/2006/relationships/hyperlink" Target="https://yu-rin.com/pro-man/takahirokoike" TargetMode="External"/><Relationship Id="rId10" Type="http://schemas.openxmlformats.org/officeDocument/2006/relationships/hyperlink" Target="https://www.vims.co.jp/talent/327/" TargetMode="External"/><Relationship Id="rId31" Type="http://schemas.openxmlformats.org/officeDocument/2006/relationships/hyperlink" Target="https://www.raccoon-dog.co.jp/talent/m01-okamoto.html" TargetMode="External"/><Relationship Id="rId52" Type="http://schemas.openxmlformats.org/officeDocument/2006/relationships/hyperlink" Target="https://www.aoni.co.jp/search/kusano-taichi.html" TargetMode="External"/><Relationship Id="rId73" Type="http://schemas.openxmlformats.org/officeDocument/2006/relationships/hyperlink" Target="https://haikyo.co.jp/profile/profile.php?ActorID=13018" TargetMode="External"/><Relationship Id="rId78" Type="http://schemas.openxmlformats.org/officeDocument/2006/relationships/hyperlink" Target="https://stay-luck.com/talent/sugiyama-noriaki/" TargetMode="External"/><Relationship Id="rId94" Type="http://schemas.openxmlformats.org/officeDocument/2006/relationships/hyperlink" Target="https://mausu.net/talent/tamaru-atsushi.html" TargetMode="External"/><Relationship Id="rId99" Type="http://schemas.openxmlformats.org/officeDocument/2006/relationships/hyperlink" Target="https://www.81produce.co.jp/dcms_plusdb/index.php/item?id=83" TargetMode="External"/><Relationship Id="rId101" Type="http://schemas.openxmlformats.org/officeDocument/2006/relationships/hyperlink" Target="https://kenyu-office.com/terashimajunta/" TargetMode="External"/><Relationship Id="rId122" Type="http://schemas.openxmlformats.org/officeDocument/2006/relationships/hyperlink" Target="https://www.81produce.co.jp/dcms_plusdb/index.php/item?cell003=%E3%81%AF%E8%A1%8C&amp;cell004=&amp;label=1&amp;name=%E7%BE%BD%E5%A4%9A%E9%87%8E%E3%80%80%E6%B8%89&amp;id=102" TargetMode="External"/><Relationship Id="rId143" Type="http://schemas.openxmlformats.org/officeDocument/2006/relationships/hyperlink" Target="https://www.imenterprise.jp/profile.php?id=80" TargetMode="External"/><Relationship Id="rId148" Type="http://schemas.openxmlformats.org/officeDocument/2006/relationships/hyperlink" Target="https://www.81produce.co.jp/dcms_plusdb/index.php/item?cell003=%E3%81%BE%E8%A1%8C&amp;label=1&amp;name=%E4%B8%89%E6%9C%A8%E3%80%80%E7%9C%9E%E4%B8%80%E9%83%8E&amp;id=118" TargetMode="External"/><Relationship Id="rId164" Type="http://schemas.openxmlformats.org/officeDocument/2006/relationships/hyperlink" Target="https://amuleto.jp/talents/yamamotokazutomi.html" TargetMode="External"/><Relationship Id="rId169" Type="http://schemas.openxmlformats.org/officeDocument/2006/relationships/hyperlink" Target="https://mausu.net/talent/shingaki-tarusuke.html" TargetMode="External"/><Relationship Id="rId185" Type="http://schemas.openxmlformats.org/officeDocument/2006/relationships/hyperlink" Target="https://www.aoni.co.jp/search/kondo-takayuki.html" TargetMode="External"/><Relationship Id="rId4" Type="http://schemas.openxmlformats.org/officeDocument/2006/relationships/hyperlink" Target="https://www.kenproduction.co.jp/talent/249" TargetMode="External"/><Relationship Id="rId9" Type="http://schemas.openxmlformats.org/officeDocument/2006/relationships/hyperlink" Target="https://osawa-inc.co.jp/men/ichikawaaoi/" TargetMode="External"/><Relationship Id="rId180" Type="http://schemas.openxmlformats.org/officeDocument/2006/relationships/hyperlink" Target="https://www.aoni.co.jp/search/hyuga-saku.html" TargetMode="External"/><Relationship Id="rId210" Type="http://schemas.openxmlformats.org/officeDocument/2006/relationships/hyperlink" Target="https://withline.jp/talent/takeru_kikuchi" TargetMode="External"/><Relationship Id="rId215" Type="http://schemas.openxmlformats.org/officeDocument/2006/relationships/hyperlink" Target="https://across-ent.com/voice_actor/detail.html?id=121" TargetMode="External"/><Relationship Id="rId236" Type="http://schemas.openxmlformats.org/officeDocument/2006/relationships/hyperlink" Target="https://kenyu-office.com/takanokentaro/" TargetMode="External"/><Relationship Id="rId257" Type="http://schemas.openxmlformats.org/officeDocument/2006/relationships/hyperlink" Target="https://inari-inc.com/talent/hiromu-mineta/" TargetMode="External"/><Relationship Id="rId278" Type="http://schemas.openxmlformats.org/officeDocument/2006/relationships/hyperlink" Target="https://amuleto.jp/talents/yamaguchimasahide.html" TargetMode="External"/><Relationship Id="rId26" Type="http://schemas.openxmlformats.org/officeDocument/2006/relationships/hyperlink" Target="https://www.earlywing.co.jp/actordb/catea/talent_osakaryota" TargetMode="External"/><Relationship Id="rId231" Type="http://schemas.openxmlformats.org/officeDocument/2006/relationships/hyperlink" Target="https://www.81produce.co.jp/actor_search/index.php/item?cell003=%E3%81%BE%E8%A1%8C&amp;cell029=%E7%94%B7%E6%80%A7&amp;keyword=&amp;cell028=&amp;cell004=&amp;name=%E4%B8%89%E5%AE%85%E3%80%80%E8%B2%B4%E5%A4%A7&amp;id=121&amp;label=1" TargetMode="External"/><Relationship Id="rId252" Type="http://schemas.openxmlformats.org/officeDocument/2006/relationships/hyperlink" Target="https://sigma7.co.jp/actors/matsumoto_yasunori/" TargetMode="External"/><Relationship Id="rId273" Type="http://schemas.openxmlformats.org/officeDocument/2006/relationships/hyperlink" Target="https://www.aoni.co.jp/search/matsukaze-masaya.html" TargetMode="External"/><Relationship Id="rId294" Type="http://schemas.openxmlformats.org/officeDocument/2006/relationships/hyperlink" Target="https://topone.inc/talent/%e5%a4%a7%e5%a1%9a-%e6%98%8e%e5%a4%ab/" TargetMode="External"/><Relationship Id="rId308" Type="http://schemas.openxmlformats.org/officeDocument/2006/relationships/hyperlink" Target="https://osawa-inc.co.jp/men/kiriidaisuke/" TargetMode="External"/><Relationship Id="rId47" Type="http://schemas.openxmlformats.org/officeDocument/2006/relationships/hyperlink" Target="https://mausu.net/talent/kijima-ryuichi.html" TargetMode="External"/><Relationship Id="rId68" Type="http://schemas.openxmlformats.org/officeDocument/2006/relationships/hyperlink" Target="https://www.81produce.co.jp/dcms_plusdb/index.php/item?cell003=%E3%81%95%E8%A1%8C&amp;label=1&amp;cell004=&amp;name=%E6%A6%8A%E5%8E%9F%E3%80%80%E5%84%AA%E5%B8%8C&amp;id=49" TargetMode="External"/><Relationship Id="rId89" Type="http://schemas.openxmlformats.org/officeDocument/2006/relationships/hyperlink" Target="https://www.81produce.co.jp/dcms_plusdb/index.php/item?cell003=%E3%81%9F%E8%A1%8C&amp;label=1&amp;cell004=&amp;name=%E6%AD%A6%E5%86%85%E3%80%80%E9%A7%BF%E8%BC%94&amp;id=71" TargetMode="External"/><Relationship Id="rId112" Type="http://schemas.openxmlformats.org/officeDocument/2006/relationships/hyperlink" Target="https://pro-baobab.jp/actor/%E4%BB%B2%E6%9D%91-%E6%B0%B4%E5%B8%8C/" TargetMode="External"/><Relationship Id="rId133" Type="http://schemas.openxmlformats.org/officeDocument/2006/relationships/hyperlink" Target="https://www.blackship.jp/male/junfukuyama/" TargetMode="External"/><Relationship Id="rId154" Type="http://schemas.openxmlformats.org/officeDocument/2006/relationships/hyperlink" Target="https://muraseayumu.com/" TargetMode="External"/><Relationship Id="rId175" Type="http://schemas.openxmlformats.org/officeDocument/2006/relationships/hyperlink" Target="https://swallow-p.com/actor/urata-wataru/" TargetMode="External"/><Relationship Id="rId196" Type="http://schemas.openxmlformats.org/officeDocument/2006/relationships/hyperlink" Target="https://www.atomicmonkey.jp/talent/okinokoji" TargetMode="External"/><Relationship Id="rId200" Type="http://schemas.openxmlformats.org/officeDocument/2006/relationships/hyperlink" Target="https://across-ent.com/voice_actor/detail.html?id=153" TargetMode="External"/><Relationship Id="rId16" Type="http://schemas.openxmlformats.org/officeDocument/2006/relationships/hyperlink" Target="https://www.atomicmonkey.jp/talent/iriereona" TargetMode="External"/><Relationship Id="rId221" Type="http://schemas.openxmlformats.org/officeDocument/2006/relationships/hyperlink" Target="https://stay-luck.com/talent/tachibana-tatsumaru/" TargetMode="External"/><Relationship Id="rId242" Type="http://schemas.openxmlformats.org/officeDocument/2006/relationships/hyperlink" Target="https://kenyu-office.com/ishigurofumitake/" TargetMode="External"/><Relationship Id="rId263" Type="http://schemas.openxmlformats.org/officeDocument/2006/relationships/hyperlink" Target="https://www.kenproduction.co.jp/talent/102" TargetMode="External"/><Relationship Id="rId284" Type="http://schemas.openxmlformats.org/officeDocument/2006/relationships/hyperlink" Target="https://haikyo.co.jp/profile/profile.php?ActorID=13040" TargetMode="External"/><Relationship Id="rId37" Type="http://schemas.openxmlformats.org/officeDocument/2006/relationships/hyperlink" Target="https://haikyo.co.jp/profile/profile.php?ActorID=12608&amp;utm_source=chatgpt.com" TargetMode="External"/><Relationship Id="rId58" Type="http://schemas.openxmlformats.org/officeDocument/2006/relationships/hyperlink" Target="https://www.kenproduction.co.jp/talent/130" TargetMode="External"/><Relationship Id="rId79" Type="http://schemas.openxmlformats.org/officeDocument/2006/relationships/hyperlink" Target="https://kenyu-office.com/suzukiyuuto/" TargetMode="External"/><Relationship Id="rId102" Type="http://schemas.openxmlformats.org/officeDocument/2006/relationships/hyperlink" Target="https://www.axl-one.com/talent/terashima.html" TargetMode="External"/><Relationship Id="rId123" Type="http://schemas.openxmlformats.org/officeDocument/2006/relationships/hyperlink" Target="https://www.aoni.co.jp/search/hattori-sonosuke.html" TargetMode="External"/><Relationship Id="rId144" Type="http://schemas.openxmlformats.org/officeDocument/2006/relationships/hyperlink" Target="https://www.toysfactory.co.jp/artist/toshikimasuda/news/detail/3369" TargetMode="External"/><Relationship Id="rId90" Type="http://schemas.openxmlformats.org/officeDocument/2006/relationships/hyperlink" Target="https://www.aoni.co.jp/search/takemoto-eiji.html" TargetMode="External"/><Relationship Id="rId165" Type="http://schemas.openxmlformats.org/officeDocument/2006/relationships/hyperlink" Target="https://ninelive.co.jp/talent/hiroyuki-yoshino/" TargetMode="External"/><Relationship Id="rId186" Type="http://schemas.openxmlformats.org/officeDocument/2006/relationships/hyperlink" Target="https://asleben.jp/talents/shogo-yano" TargetMode="External"/><Relationship Id="rId211" Type="http://schemas.openxmlformats.org/officeDocument/2006/relationships/hyperlink" Target="https://www.atomicmonkey.jp/talent/ballettayutaka" TargetMode="External"/><Relationship Id="rId232" Type="http://schemas.openxmlformats.org/officeDocument/2006/relationships/hyperlink" Target="https://highpine.co.jp/talent/hozumi-yuya.html" TargetMode="External"/><Relationship Id="rId253" Type="http://schemas.openxmlformats.org/officeDocument/2006/relationships/hyperlink" Target="https://mausu.net/talent/ito-kentaro.html" TargetMode="External"/><Relationship Id="rId274" Type="http://schemas.openxmlformats.org/officeDocument/2006/relationships/hyperlink" Target="https://sigma7.co.jp/actors/inoue_go/" TargetMode="External"/><Relationship Id="rId295" Type="http://schemas.openxmlformats.org/officeDocument/2006/relationships/hyperlink" Target="https://www.artsvision.co.jp/talent/14409/" TargetMode="External"/><Relationship Id="rId309" Type="http://schemas.openxmlformats.org/officeDocument/2006/relationships/hyperlink" Target="https://www.leopardsteel.com/talent/Nomiya_Kazunori/" TargetMode="External"/><Relationship Id="rId27" Type="http://schemas.openxmlformats.org/officeDocument/2006/relationships/hyperlink" Target="https://www.earlywing.co.jp/actordb/catea/talent_ogasawarajin" TargetMode="External"/><Relationship Id="rId48" Type="http://schemas.openxmlformats.org/officeDocument/2006/relationships/hyperlink" Target="https://www.kenproduction.co.jp/talent/224" TargetMode="External"/><Relationship Id="rId69" Type="http://schemas.openxmlformats.org/officeDocument/2006/relationships/hyperlink" Target="https://www.aoni.co.jp/search/sakaguchi-daisuke.html" TargetMode="External"/><Relationship Id="rId113" Type="http://schemas.openxmlformats.org/officeDocument/2006/relationships/hyperlink" Target="https://intention-k.com/profile/yuichi_nakamura" TargetMode="External"/><Relationship Id="rId134" Type="http://schemas.openxmlformats.org/officeDocument/2006/relationships/hyperlink" Target="https://www.toysfactory.co.jp/artist/makotofurukawa/news/detail/3366" TargetMode="External"/><Relationship Id="rId80" Type="http://schemas.openxmlformats.org/officeDocument/2006/relationships/hyperlink" Target="https://dash-on.co.jp/talent/" TargetMode="External"/><Relationship Id="rId155" Type="http://schemas.openxmlformats.org/officeDocument/2006/relationships/hyperlink" Target="https://across-ent.com/voice_actor/detail.html?id=105" TargetMode="External"/><Relationship Id="rId176" Type="http://schemas.openxmlformats.org/officeDocument/2006/relationships/hyperlink" Target="https://www.artsvision.co.jp/talent/14305/" TargetMode="External"/><Relationship Id="rId197" Type="http://schemas.openxmlformats.org/officeDocument/2006/relationships/hyperlink" Target="https://www.earlywing.co.jp/actordb/catea/talent_akiyahiroto" TargetMode="External"/><Relationship Id="rId201" Type="http://schemas.openxmlformats.org/officeDocument/2006/relationships/hyperlink" Target="https://artist.llvictor.com/yachi/" TargetMode="External"/><Relationship Id="rId222" Type="http://schemas.openxmlformats.org/officeDocument/2006/relationships/hyperlink" Target="https://pg-wcf.co.jp/profile/01/" TargetMode="External"/><Relationship Id="rId243" Type="http://schemas.openxmlformats.org/officeDocument/2006/relationships/hyperlink" Target="https://localdream.jp/archives/3118" TargetMode="External"/><Relationship Id="rId264" Type="http://schemas.openxmlformats.org/officeDocument/2006/relationships/hyperlink" Target="https://haikyo.co.jp/profile/profile.php?ActorID=12775" TargetMode="External"/><Relationship Id="rId285" Type="http://schemas.openxmlformats.org/officeDocument/2006/relationships/hyperlink" Target="https://www.aoni.co.jp/search/ishikawa-hideo.html" TargetMode="External"/><Relationship Id="rId17" Type="http://schemas.openxmlformats.org/officeDocument/2006/relationships/hyperlink" Target="https://www.atomicmonkey.jp/talent/iwasakiryouta" TargetMode="External"/><Relationship Id="rId38" Type="http://schemas.openxmlformats.org/officeDocument/2006/relationships/hyperlink" Target="https://fractal-voice.jp/works/talent_yukikaji.html" TargetMode="External"/><Relationship Id="rId59" Type="http://schemas.openxmlformats.org/officeDocument/2006/relationships/hyperlink" Target="https://www.81produce.co.jp/dcms_plusdb/index.php/item?cell003=%E3%81%8B%E8%A1%8C&amp;label=1&amp;page=3&amp;cell004=&amp;name=%E9%A7%92%E7%94%B0%E3%80%80%E8%88%AA&amp;id=46" TargetMode="External"/><Relationship Id="rId103" Type="http://schemas.openxmlformats.org/officeDocument/2006/relationships/hyperlink" Target="https://remax-web.jp/talent/tezuka-h/" TargetMode="External"/><Relationship Id="rId124" Type="http://schemas.openxmlformats.org/officeDocument/2006/relationships/hyperlink" Target="https://across-ent.com/voice_actor/detail.html?id=104" TargetMode="External"/><Relationship Id="rId310" Type="http://schemas.openxmlformats.org/officeDocument/2006/relationships/hyperlink" Target="https://remax-web.jp/talent/tsuruoka-s/" TargetMode="External"/><Relationship Id="rId70" Type="http://schemas.openxmlformats.org/officeDocument/2006/relationships/hyperlink" Target="https://www.kenproduction.co.jp/talent/84" TargetMode="External"/><Relationship Id="rId91" Type="http://schemas.openxmlformats.org/officeDocument/2006/relationships/hyperlink" Target="https://www.blackship.jp/male/shinnosuketachibana/" TargetMode="External"/><Relationship Id="rId145" Type="http://schemas.openxmlformats.org/officeDocument/2006/relationships/hyperlink" Target="https://www.imenterprise.jp/profile.php?id=82" TargetMode="External"/><Relationship Id="rId166" Type="http://schemas.openxmlformats.org/officeDocument/2006/relationships/hyperlink" Target="https://www.kenproduction.co.jp/talent/74" TargetMode="External"/><Relationship Id="rId187" Type="http://schemas.openxmlformats.org/officeDocument/2006/relationships/hyperlink" Target="https://www.artsvision.co.jp/talent/14412/" TargetMode="External"/><Relationship Id="rId1" Type="http://schemas.openxmlformats.org/officeDocument/2006/relationships/hyperlink" Target="https://www.aoni.co.jp/search/akabane-kenji.html" TargetMode="External"/><Relationship Id="rId212" Type="http://schemas.openxmlformats.org/officeDocument/2006/relationships/hyperlink" Target="https://remax-web.jp/talent/nakada-y/" TargetMode="External"/><Relationship Id="rId233" Type="http://schemas.openxmlformats.org/officeDocument/2006/relationships/hyperlink" Target="https://www.aoni.co.jp/search/ono-masamu.html" TargetMode="External"/><Relationship Id="rId254" Type="http://schemas.openxmlformats.org/officeDocument/2006/relationships/hyperlink" Target="https://nexeed.com/talent/%e4%b8%89%e4%b8%8a%e3%80%80%e5%93%b2/" TargetMode="External"/><Relationship Id="rId28" Type="http://schemas.openxmlformats.org/officeDocument/2006/relationships/hyperlink" Target="https://amuleto.jp/talents/osuka-jun.html" TargetMode="External"/><Relationship Id="rId49" Type="http://schemas.openxmlformats.org/officeDocument/2006/relationships/hyperlink" Target="https://amuleto.jp/talents/kusunokitaiten.html" TargetMode="External"/><Relationship Id="rId114" Type="http://schemas.openxmlformats.org/officeDocument/2006/relationships/hyperlink" Target="https://www.81produce.co.jp/actor_search/index.php/item?cell003=%E3%81%AA%E8%A1%8C&amp;cell029=%E7%94%B7%E6%80%A7&amp;keyword=&amp;cell028=&amp;cell004=&amp;name=%E6%96%B0%E7%94%B0%E3%80%80%E6%9D%8F%E6%A8%B9&amp;id=99&amp;label=1" TargetMode="External"/><Relationship Id="rId275" Type="http://schemas.openxmlformats.org/officeDocument/2006/relationships/hyperlink" Target="https://www.air-agency.co.jp/talent/man/keiji_fujiwara" TargetMode="External"/><Relationship Id="rId296" Type="http://schemas.openxmlformats.org/officeDocument/2006/relationships/hyperlink" Target="http://www.carrothouse.info/profile/kazuhiroyoshimura/" TargetMode="External"/><Relationship Id="rId300" Type="http://schemas.openxmlformats.org/officeDocument/2006/relationships/hyperlink" Target="https://www.kenproduction.co.jp/talent/68" TargetMode="External"/><Relationship Id="rId60" Type="http://schemas.openxmlformats.org/officeDocument/2006/relationships/hyperlink" Target="https://www.kenproduction.co.jp/talent/32" TargetMode="External"/><Relationship Id="rId81" Type="http://schemas.openxmlformats.org/officeDocument/2006/relationships/hyperlink" Target="https://haikyo.co.jp/profile/profile.php?ActorID=11470" TargetMode="External"/><Relationship Id="rId135" Type="http://schemas.openxmlformats.org/officeDocument/2006/relationships/hyperlink" Target="https://voicekit.jp/talent/furutakazuki/" TargetMode="External"/><Relationship Id="rId156" Type="http://schemas.openxmlformats.org/officeDocument/2006/relationships/hyperlink" Target="https://www.axl-one.com/talent/morikawa.html" TargetMode="External"/><Relationship Id="rId177" Type="http://schemas.openxmlformats.org/officeDocument/2006/relationships/hyperlink" Target="https://www.kenproduction.co.jp/talent/104" TargetMode="External"/><Relationship Id="rId198" Type="http://schemas.openxmlformats.org/officeDocument/2006/relationships/hyperlink" Target="https://suzukitatsuhisa-official.com/profile" TargetMode="External"/><Relationship Id="rId202" Type="http://schemas.openxmlformats.org/officeDocument/2006/relationships/hyperlink" Target="https://kenyu-office.com/shimodumayoshiyuki/" TargetMode="External"/><Relationship Id="rId223" Type="http://schemas.openxmlformats.org/officeDocument/2006/relationships/hyperlink" Target="https://www.artsvision.co.jp/talent/14315/" TargetMode="External"/><Relationship Id="rId244" Type="http://schemas.openxmlformats.org/officeDocument/2006/relationships/hyperlink" Target="https://smavoice.jp/s/sma03/page/voicesample?ima=4935" TargetMode="External"/><Relationship Id="rId18" Type="http://schemas.openxmlformats.org/officeDocument/2006/relationships/hyperlink" Target="https://mausu.net/talent/iwanaka-mutsuki.html" TargetMode="External"/><Relationship Id="rId39" Type="http://schemas.openxmlformats.org/officeDocument/2006/relationships/hyperlink" Target="https://www.blackship.jp/male/daishikajita/" TargetMode="External"/><Relationship Id="rId265" Type="http://schemas.openxmlformats.org/officeDocument/2006/relationships/hyperlink" Target="https://mausu.net/talent/muto-tadashi.html" TargetMode="External"/><Relationship Id="rId286" Type="http://schemas.openxmlformats.org/officeDocument/2006/relationships/hyperlink" Target="https://www.yasumuramakoto.com/" TargetMode="External"/><Relationship Id="rId50" Type="http://schemas.openxmlformats.org/officeDocument/2006/relationships/hyperlink" Target="https://avex-pictures.co.jp/lineup/96941/" TargetMode="External"/><Relationship Id="rId104" Type="http://schemas.openxmlformats.org/officeDocument/2006/relationships/hyperlink" Target="https://www.imenterprise.jp/profile.php?id=176" TargetMode="External"/><Relationship Id="rId125" Type="http://schemas.openxmlformats.org/officeDocument/2006/relationships/hyperlink" Target="https://sigma7.co.jp/actors/hama_kento/" TargetMode="External"/><Relationship Id="rId146" Type="http://schemas.openxmlformats.org/officeDocument/2006/relationships/hyperlink" Target="https://www.artsvision.co.jp/talent/14257/" TargetMode="External"/><Relationship Id="rId167" Type="http://schemas.openxmlformats.org/officeDocument/2006/relationships/hyperlink" Target="https://www.81produce.co.jp/actor_search/index.php/item?cell003=%E3%82%84%E8%A1%8C&amp;cell029=%E7%94%B7%E6%80%A7&amp;keyword=&amp;cell028=&amp;cell004=&amp;name=%E7%B1%B3%E5%86%85%E3%80%80%E4%BD%91%E5%B8%8C&amp;id=131&amp;label=1" TargetMode="External"/><Relationship Id="rId188" Type="http://schemas.openxmlformats.org/officeDocument/2006/relationships/hyperlink" Target="https://aksent.co.jp/profile/batori_shogo/" TargetMode="External"/><Relationship Id="rId311" Type="http://schemas.openxmlformats.org/officeDocument/2006/relationships/hyperlink" Target="https://www.81produce.co.jp/dcms_plusdb/index.php/item?cell003=%E3%81%9F%E8%A1%8C&amp;label=1&amp;cell004=&amp;name=%E9%AB%98%E9%87%8E%E3%80%80%E5%A4%A7%E6%B2%B3&amp;id=431" TargetMode="External"/><Relationship Id="rId71" Type="http://schemas.openxmlformats.org/officeDocument/2006/relationships/hyperlink" Target="https://www.kenproduction.co.jp/talent/39" TargetMode="External"/><Relationship Id="rId92" Type="http://schemas.openxmlformats.org/officeDocument/2006/relationships/hyperlink" Target="https://www.kenproduction.co.jp/talent/53" TargetMode="External"/><Relationship Id="rId213" Type="http://schemas.openxmlformats.org/officeDocument/2006/relationships/hyperlink" Target="https://remax-web.jp/talent/kodama-t/" TargetMode="External"/><Relationship Id="rId234" Type="http://schemas.openxmlformats.org/officeDocument/2006/relationships/hyperlink" Target="https://youtu.be/02B5A29YpQ4" TargetMode="External"/><Relationship Id="rId2" Type="http://schemas.openxmlformats.org/officeDocument/2006/relationships/hyperlink" Target="https://www.aoni.co.jp/search/azakami-yohei.html" TargetMode="External"/><Relationship Id="rId29" Type="http://schemas.openxmlformats.org/officeDocument/2006/relationships/hyperlink" Target="https://yukiotani.studio.site/" TargetMode="External"/><Relationship Id="rId255" Type="http://schemas.openxmlformats.org/officeDocument/2006/relationships/hyperlink" Target="https://www.aoni.co.jp/search/miura-hiroaki.html" TargetMode="External"/><Relationship Id="rId276" Type="http://schemas.openxmlformats.org/officeDocument/2006/relationships/hyperlink" Target="https://www.kekke.co.jp/talent/male/hw/matsuura.html" TargetMode="External"/><Relationship Id="rId297" Type="http://schemas.openxmlformats.org/officeDocument/2006/relationships/hyperlink" Target="https://www.oginext.com/men/iwasaki/" TargetMode="External"/><Relationship Id="rId40" Type="http://schemas.openxmlformats.org/officeDocument/2006/relationships/hyperlink" Target="https://haikyo.co.jp/profile/profile.php?ActorID=12813" TargetMode="External"/><Relationship Id="rId115" Type="http://schemas.openxmlformats.org/officeDocument/2006/relationships/hyperlink" Target="https://www.81produce.co.jp/actor_search/index.php/item?cell003=%E3%81%AA%E8%A1%8C&amp;name=%E8%A5%BF%E5%B1%B1%E3%80%80%E5%AE%8F%E5%A4%AA%E6%9C%97&amp;id=98&amp;label=1" TargetMode="External"/><Relationship Id="rId136" Type="http://schemas.openxmlformats.org/officeDocument/2006/relationships/hyperlink" Target="https://yoshimasa-hosoya.info/" TargetMode="External"/><Relationship Id="rId157" Type="http://schemas.openxmlformats.org/officeDocument/2006/relationships/hyperlink" Target="https://www.vims.co.jp/talent/210/" TargetMode="External"/><Relationship Id="rId178" Type="http://schemas.openxmlformats.org/officeDocument/2006/relationships/hyperlink" Target="https://www.axl-one.com/talent/fukuhara.html" TargetMode="External"/><Relationship Id="rId301" Type="http://schemas.openxmlformats.org/officeDocument/2006/relationships/hyperlink" Target="https://remax-web.jp/talent/muro-g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animatetimes.com/tag/details.php?id=6194" TargetMode="External"/><Relationship Id="rId117" Type="http://schemas.openxmlformats.org/officeDocument/2006/relationships/hyperlink" Target="https://www.animatetimes.com/tag/details.php?id=4144" TargetMode="External"/><Relationship Id="rId21" Type="http://schemas.openxmlformats.org/officeDocument/2006/relationships/hyperlink" Target="https://www.animatetimes.com/tag/details.php?id=3497" TargetMode="External"/><Relationship Id="rId42" Type="http://schemas.openxmlformats.org/officeDocument/2006/relationships/hyperlink" Target="https://www.animatetimes.com/tag/details.php?id=7561" TargetMode="External"/><Relationship Id="rId47" Type="http://schemas.openxmlformats.org/officeDocument/2006/relationships/hyperlink" Target="https://www.animatetimes.com/tag/details.php?id=13576" TargetMode="External"/><Relationship Id="rId63" Type="http://schemas.openxmlformats.org/officeDocument/2006/relationships/hyperlink" Target="https://www.animatetimes.com/tag/details.php?id=314" TargetMode="External"/><Relationship Id="rId68" Type="http://schemas.openxmlformats.org/officeDocument/2006/relationships/hyperlink" Target="https://www.animatetimes.com/tag/details.php?id=5559" TargetMode="External"/><Relationship Id="rId84" Type="http://schemas.openxmlformats.org/officeDocument/2006/relationships/hyperlink" Target="https://www.animatetimes.com/tag/details.php?id=440" TargetMode="External"/><Relationship Id="rId89" Type="http://schemas.openxmlformats.org/officeDocument/2006/relationships/hyperlink" Target="https://www.animatetimes.com/tag/details.php?id=521" TargetMode="External"/><Relationship Id="rId112" Type="http://schemas.openxmlformats.org/officeDocument/2006/relationships/hyperlink" Target="https://www.animatetimes.com/tag/details.php?id=24679" TargetMode="External"/><Relationship Id="rId133" Type="http://schemas.openxmlformats.org/officeDocument/2006/relationships/hyperlink" Target="https://www.animatetimes.com/tag/details.php?id=719" TargetMode="External"/><Relationship Id="rId138" Type="http://schemas.openxmlformats.org/officeDocument/2006/relationships/hyperlink" Target="https://www.animatetimes.com/tag/details.php?id=317" TargetMode="External"/><Relationship Id="rId154" Type="http://schemas.openxmlformats.org/officeDocument/2006/relationships/hyperlink" Target="https://www.animatetimes.com/tag/details.php?id=823" TargetMode="External"/><Relationship Id="rId16" Type="http://schemas.openxmlformats.org/officeDocument/2006/relationships/hyperlink" Target="https://www.animatetimes.com/tag/details.php?id=6734" TargetMode="External"/><Relationship Id="rId107" Type="http://schemas.openxmlformats.org/officeDocument/2006/relationships/hyperlink" Target="https://www.animatetimes.com/tag/details.php?id=5934" TargetMode="External"/><Relationship Id="rId11" Type="http://schemas.openxmlformats.org/officeDocument/2006/relationships/hyperlink" Target="https://www.animatetimes.com/tag/details.php?id=5887" TargetMode="External"/><Relationship Id="rId32" Type="http://schemas.openxmlformats.org/officeDocument/2006/relationships/hyperlink" Target="https://www.animatetimes.com/tag/details.php?id=6204" TargetMode="External"/><Relationship Id="rId37" Type="http://schemas.openxmlformats.org/officeDocument/2006/relationships/hyperlink" Target="https://www.animatetimes.com/tag/details.php?id=5434" TargetMode="External"/><Relationship Id="rId53" Type="http://schemas.openxmlformats.org/officeDocument/2006/relationships/hyperlink" Target="https://www.animatetimes.com/tag/details.php?id=6072" TargetMode="External"/><Relationship Id="rId58" Type="http://schemas.openxmlformats.org/officeDocument/2006/relationships/hyperlink" Target="https://www.animatetimes.com/tag/details.php?id=545" TargetMode="External"/><Relationship Id="rId74" Type="http://schemas.openxmlformats.org/officeDocument/2006/relationships/hyperlink" Target="https://www.animatetimes.com/tag/details.php?id=6782" TargetMode="External"/><Relationship Id="rId79" Type="http://schemas.openxmlformats.org/officeDocument/2006/relationships/hyperlink" Target="https://www.animatetimes.com/tag/details.php?id=783" TargetMode="External"/><Relationship Id="rId102" Type="http://schemas.openxmlformats.org/officeDocument/2006/relationships/hyperlink" Target="https://www.animatetimes.com/tag/details.php?id=779" TargetMode="External"/><Relationship Id="rId123" Type="http://schemas.openxmlformats.org/officeDocument/2006/relationships/hyperlink" Target="https://www.animatetimes.com/tag/details.php?id=2332" TargetMode="External"/><Relationship Id="rId128" Type="http://schemas.openxmlformats.org/officeDocument/2006/relationships/hyperlink" Target="https://www.animatetimes.com/tag/details.php?id=952" TargetMode="External"/><Relationship Id="rId144" Type="http://schemas.openxmlformats.org/officeDocument/2006/relationships/hyperlink" Target="https://www.animatetimes.com/tag/details.php?id=786" TargetMode="External"/><Relationship Id="rId149" Type="http://schemas.openxmlformats.org/officeDocument/2006/relationships/hyperlink" Target="https://www.animatetimes.com/tag/details.php?id=789" TargetMode="External"/><Relationship Id="rId5" Type="http://schemas.openxmlformats.org/officeDocument/2006/relationships/hyperlink" Target="https://www.animatetimes.com/tag/details.php?id=5249" TargetMode="External"/><Relationship Id="rId90" Type="http://schemas.openxmlformats.org/officeDocument/2006/relationships/hyperlink" Target="https://www.animatetimes.com/tag/details.php?id=635" TargetMode="External"/><Relationship Id="rId95" Type="http://schemas.openxmlformats.org/officeDocument/2006/relationships/hyperlink" Target="https://www.animatetimes.com/tag/details.php?id=872" TargetMode="External"/><Relationship Id="rId22" Type="http://schemas.openxmlformats.org/officeDocument/2006/relationships/hyperlink" Target="https://www.animatetimes.com/tag/details.php?id=7519" TargetMode="External"/><Relationship Id="rId27" Type="http://schemas.openxmlformats.org/officeDocument/2006/relationships/hyperlink" Target="https://www.animatetimes.com/tag/details.php?id=5099" TargetMode="External"/><Relationship Id="rId43" Type="http://schemas.openxmlformats.org/officeDocument/2006/relationships/hyperlink" Target="https://www.animatetimes.com/tag/details.php?id=7575" TargetMode="External"/><Relationship Id="rId48" Type="http://schemas.openxmlformats.org/officeDocument/2006/relationships/hyperlink" Target="https://www.animatetimes.com/tag/details.php?id=7237" TargetMode="External"/><Relationship Id="rId64" Type="http://schemas.openxmlformats.org/officeDocument/2006/relationships/hyperlink" Target="https://www.animatetimes.com/tag/details.php?id=518" TargetMode="External"/><Relationship Id="rId69" Type="http://schemas.openxmlformats.org/officeDocument/2006/relationships/hyperlink" Target="https://www.animatetimes.com/tag/details.php?id=19225" TargetMode="External"/><Relationship Id="rId113" Type="http://schemas.openxmlformats.org/officeDocument/2006/relationships/hyperlink" Target="https://www.animatetimes.com/tag/details.php?id=611" TargetMode="External"/><Relationship Id="rId118" Type="http://schemas.openxmlformats.org/officeDocument/2006/relationships/hyperlink" Target="https://www.animatetimes.com/tag/details.php?id=5249" TargetMode="External"/><Relationship Id="rId134" Type="http://schemas.openxmlformats.org/officeDocument/2006/relationships/hyperlink" Target="https://www.animatetimes.com/tag/details.php?id=486" TargetMode="External"/><Relationship Id="rId139" Type="http://schemas.openxmlformats.org/officeDocument/2006/relationships/hyperlink" Target="https://www.animatetimes.com/tag/details.php?id=6782" TargetMode="External"/><Relationship Id="rId80" Type="http://schemas.openxmlformats.org/officeDocument/2006/relationships/hyperlink" Target="https://www.animatetimes.com/tag/details.php?id=571" TargetMode="External"/><Relationship Id="rId85" Type="http://schemas.openxmlformats.org/officeDocument/2006/relationships/hyperlink" Target="https://www.animatetimes.com/tag/details.php?id=446" TargetMode="External"/><Relationship Id="rId150" Type="http://schemas.openxmlformats.org/officeDocument/2006/relationships/hyperlink" Target="https://www.animatetimes.com/tag/details.php?id=303" TargetMode="External"/><Relationship Id="rId155" Type="http://schemas.openxmlformats.org/officeDocument/2006/relationships/hyperlink" Target="https://www.animatetimes.com/tag/details.php?id=779" TargetMode="External"/><Relationship Id="rId12" Type="http://schemas.openxmlformats.org/officeDocument/2006/relationships/hyperlink" Target="https://www.animatetimes.com/tag/details.php?id=4061" TargetMode="External"/><Relationship Id="rId17" Type="http://schemas.openxmlformats.org/officeDocument/2006/relationships/hyperlink" Target="https://www.animatetimes.com/tag/details.php?id=4075" TargetMode="External"/><Relationship Id="rId33" Type="http://schemas.openxmlformats.org/officeDocument/2006/relationships/hyperlink" Target="https://www.animatetimes.com/tag/details.php?id=9047" TargetMode="External"/><Relationship Id="rId38" Type="http://schemas.openxmlformats.org/officeDocument/2006/relationships/hyperlink" Target="https://www.animatetimes.com/tag/details.php?id=7336" TargetMode="External"/><Relationship Id="rId59" Type="http://schemas.openxmlformats.org/officeDocument/2006/relationships/hyperlink" Target="https://www.animatetimes.com/tag/details.php?id=303" TargetMode="External"/><Relationship Id="rId103" Type="http://schemas.openxmlformats.org/officeDocument/2006/relationships/hyperlink" Target="https://www.animatetimes.com/tag/details.php?id=547" TargetMode="External"/><Relationship Id="rId108" Type="http://schemas.openxmlformats.org/officeDocument/2006/relationships/hyperlink" Target="https://www.animatetimes.com/tag/details.php?id=719" TargetMode="External"/><Relationship Id="rId124" Type="http://schemas.openxmlformats.org/officeDocument/2006/relationships/hyperlink" Target="https://www.animatetimes.com/tag/details.php?id=545" TargetMode="External"/><Relationship Id="rId129" Type="http://schemas.openxmlformats.org/officeDocument/2006/relationships/hyperlink" Target="https://www.animatetimes.com/tag/details.php?id=6184" TargetMode="External"/><Relationship Id="rId20" Type="http://schemas.openxmlformats.org/officeDocument/2006/relationships/hyperlink" Target="https://www.animatetimes.com/tag/details.php?id=4389" TargetMode="External"/><Relationship Id="rId41" Type="http://schemas.openxmlformats.org/officeDocument/2006/relationships/hyperlink" Target="https://www.animatetimes.com/tag/details.php?id=4073" TargetMode="External"/><Relationship Id="rId54" Type="http://schemas.openxmlformats.org/officeDocument/2006/relationships/hyperlink" Target="https://www.animatetimes.com/tag/details.php?id=5523" TargetMode="External"/><Relationship Id="rId62" Type="http://schemas.openxmlformats.org/officeDocument/2006/relationships/hyperlink" Target="https://www.animatetimes.com/tag/details.php?id=439" TargetMode="External"/><Relationship Id="rId70" Type="http://schemas.openxmlformats.org/officeDocument/2006/relationships/hyperlink" Target="https://www.animatetimes.com/tag/details.php?id=1709" TargetMode="External"/><Relationship Id="rId75" Type="http://schemas.openxmlformats.org/officeDocument/2006/relationships/hyperlink" Target="https://www.animatetimes.com/tag/details.php?id=3931" TargetMode="External"/><Relationship Id="rId83" Type="http://schemas.openxmlformats.org/officeDocument/2006/relationships/hyperlink" Target="https://www.animatetimes.com/tag/details.php?id=798" TargetMode="External"/><Relationship Id="rId88" Type="http://schemas.openxmlformats.org/officeDocument/2006/relationships/hyperlink" Target="https://www.animatetimes.com/tag/details.php?id=729" TargetMode="External"/><Relationship Id="rId91" Type="http://schemas.openxmlformats.org/officeDocument/2006/relationships/hyperlink" Target="https://www.animatetimes.com/tag/details.php?id=787" TargetMode="External"/><Relationship Id="rId96" Type="http://schemas.openxmlformats.org/officeDocument/2006/relationships/hyperlink" Target="https://www.animatetimes.com/tag/details.php?id=823" TargetMode="External"/><Relationship Id="rId111" Type="http://schemas.openxmlformats.org/officeDocument/2006/relationships/hyperlink" Target="https://www.animatetimes.com/tag/details.php?id=9570" TargetMode="External"/><Relationship Id="rId132" Type="http://schemas.openxmlformats.org/officeDocument/2006/relationships/hyperlink" Target="https://www.animatetimes.com/tag/details.php?id=528" TargetMode="External"/><Relationship Id="rId140" Type="http://schemas.openxmlformats.org/officeDocument/2006/relationships/hyperlink" Target="https://www.animatetimes.com/tag/details.php?id=5249" TargetMode="External"/><Relationship Id="rId145" Type="http://schemas.openxmlformats.org/officeDocument/2006/relationships/hyperlink" Target="https://www.animatetimes.com/tag/details.php?id=680" TargetMode="External"/><Relationship Id="rId153" Type="http://schemas.openxmlformats.org/officeDocument/2006/relationships/hyperlink" Target="https://www.animatetimes.com/tag/details.php?id=4069" TargetMode="External"/><Relationship Id="rId1" Type="http://schemas.openxmlformats.org/officeDocument/2006/relationships/hyperlink" Target="https://www.animatetimes.com/tag/details.php?id=454" TargetMode="External"/><Relationship Id="rId6" Type="http://schemas.openxmlformats.org/officeDocument/2006/relationships/hyperlink" Target="https://www.animatetimes.com/tag/details.php?id=5889" TargetMode="External"/><Relationship Id="rId15" Type="http://schemas.openxmlformats.org/officeDocument/2006/relationships/hyperlink" Target="https://www.animatetimes.com/tag/details.php?id=4411" TargetMode="External"/><Relationship Id="rId23" Type="http://schemas.openxmlformats.org/officeDocument/2006/relationships/hyperlink" Target="https://www.animatetimes.com/tag/details.php?id=6726" TargetMode="External"/><Relationship Id="rId28" Type="http://schemas.openxmlformats.org/officeDocument/2006/relationships/hyperlink" Target="https://www.animatetimes.com/tag/details.php?id=7018" TargetMode="External"/><Relationship Id="rId36" Type="http://schemas.openxmlformats.org/officeDocument/2006/relationships/hyperlink" Target="https://www.animatetimes.com/tag/details.php?id=7076" TargetMode="External"/><Relationship Id="rId49" Type="http://schemas.openxmlformats.org/officeDocument/2006/relationships/hyperlink" Target="https://www.animatetimes.com/tag/details.php?id=5929" TargetMode="External"/><Relationship Id="rId57" Type="http://schemas.openxmlformats.org/officeDocument/2006/relationships/hyperlink" Target="https://www.animatetimes.com/tag/details.php?id=5082" TargetMode="External"/><Relationship Id="rId106" Type="http://schemas.openxmlformats.org/officeDocument/2006/relationships/hyperlink" Target="https://www.animatetimes.com/tag/details.php?id=26531" TargetMode="External"/><Relationship Id="rId114" Type="http://schemas.openxmlformats.org/officeDocument/2006/relationships/hyperlink" Target="https://www.animatetimes.com/tag/details.php?id=283" TargetMode="External"/><Relationship Id="rId119" Type="http://schemas.openxmlformats.org/officeDocument/2006/relationships/hyperlink" Target="https://www.animatetimes.com/tag/details.php?id=3099" TargetMode="External"/><Relationship Id="rId127" Type="http://schemas.openxmlformats.org/officeDocument/2006/relationships/hyperlink" Target="https://www.animatetimes.com/tag/details.php?id=454" TargetMode="External"/><Relationship Id="rId10" Type="http://schemas.openxmlformats.org/officeDocument/2006/relationships/hyperlink" Target="https://www.animatetimes.com/tag/details.php?id=6195" TargetMode="External"/><Relationship Id="rId31" Type="http://schemas.openxmlformats.org/officeDocument/2006/relationships/hyperlink" Target="https://www.animatetimes.com/tag/details.php?id=9103" TargetMode="External"/><Relationship Id="rId44" Type="http://schemas.openxmlformats.org/officeDocument/2006/relationships/hyperlink" Target="https://www.animatetimes.com/tag/details.php?id=7311" TargetMode="External"/><Relationship Id="rId52" Type="http://schemas.openxmlformats.org/officeDocument/2006/relationships/hyperlink" Target="https://www.animatetimes.com/tag/details.php?id=5889" TargetMode="External"/><Relationship Id="rId60" Type="http://schemas.openxmlformats.org/officeDocument/2006/relationships/hyperlink" Target="https://www.animatetimes.com/tag/details.php?id=596" TargetMode="External"/><Relationship Id="rId65" Type="http://schemas.openxmlformats.org/officeDocument/2006/relationships/hyperlink" Target="https://www.animatetimes.com/tag/details.php?id=791" TargetMode="External"/><Relationship Id="rId73" Type="http://schemas.openxmlformats.org/officeDocument/2006/relationships/hyperlink" Target="https://www.animatetimes.com/tag/details.php?id=2994" TargetMode="External"/><Relationship Id="rId78" Type="http://schemas.openxmlformats.org/officeDocument/2006/relationships/hyperlink" Target="https://www.animatetimes.com/tag/details.php?id=276" TargetMode="External"/><Relationship Id="rId81" Type="http://schemas.openxmlformats.org/officeDocument/2006/relationships/hyperlink" Target="https://www.animatetimes.com/tag/details.php?id=439" TargetMode="External"/><Relationship Id="rId86" Type="http://schemas.openxmlformats.org/officeDocument/2006/relationships/hyperlink" Target="https://www.animatetimes.com/tag/details.php?id=478" TargetMode="External"/><Relationship Id="rId94" Type="http://schemas.openxmlformats.org/officeDocument/2006/relationships/hyperlink" Target="https://www.animatetimes.com/tag/details.php?id=520" TargetMode="External"/><Relationship Id="rId99" Type="http://schemas.openxmlformats.org/officeDocument/2006/relationships/hyperlink" Target="https://www.animatetimes.com/tag/details.php?id=3288" TargetMode="External"/><Relationship Id="rId101" Type="http://schemas.openxmlformats.org/officeDocument/2006/relationships/hyperlink" Target="https://www.animatetimes.com/tag/details.php?id=584" TargetMode="External"/><Relationship Id="rId122" Type="http://schemas.openxmlformats.org/officeDocument/2006/relationships/hyperlink" Target="https://www.animatetimes.com/tag/details.php?id=4061" TargetMode="External"/><Relationship Id="rId130" Type="http://schemas.openxmlformats.org/officeDocument/2006/relationships/hyperlink" Target="https://www.animatetimes.com/tag/details.php?id=799" TargetMode="External"/><Relationship Id="rId135" Type="http://schemas.openxmlformats.org/officeDocument/2006/relationships/hyperlink" Target="https://www.animatetimes.com/tag/details.php?id=692" TargetMode="External"/><Relationship Id="rId143" Type="http://schemas.openxmlformats.org/officeDocument/2006/relationships/hyperlink" Target="https://www.animatetimes.com/tag/details.php?id=4256" TargetMode="External"/><Relationship Id="rId148" Type="http://schemas.openxmlformats.org/officeDocument/2006/relationships/hyperlink" Target="https://www.animatetimes.com/tag/details.php?id=757" TargetMode="External"/><Relationship Id="rId151" Type="http://schemas.openxmlformats.org/officeDocument/2006/relationships/hyperlink" Target="https://www.animatetimes.com/tag/details.php?id=4324" TargetMode="External"/><Relationship Id="rId156" Type="http://schemas.openxmlformats.org/officeDocument/2006/relationships/hyperlink" Target="https://www.animatetimes.com/tag/details.php?id=5929" TargetMode="External"/><Relationship Id="rId4" Type="http://schemas.openxmlformats.org/officeDocument/2006/relationships/hyperlink" Target="https://www.animatetimes.com/tag/details.php?id=6864" TargetMode="External"/><Relationship Id="rId9" Type="http://schemas.openxmlformats.org/officeDocument/2006/relationships/hyperlink" Target="https://www.animatetimes.com/tag/details.php?id=6266" TargetMode="External"/><Relationship Id="rId13" Type="http://schemas.openxmlformats.org/officeDocument/2006/relationships/hyperlink" Target="https://www.animatetimes.com/tag/details.php?id=5523" TargetMode="External"/><Relationship Id="rId18" Type="http://schemas.openxmlformats.org/officeDocument/2006/relationships/hyperlink" Target="https://www.animatetimes.com/tag/details.php?id=4410" TargetMode="External"/><Relationship Id="rId39" Type="http://schemas.openxmlformats.org/officeDocument/2006/relationships/hyperlink" Target="https://www.animatetimes.com/tag/details.php?id=7560" TargetMode="External"/><Relationship Id="rId109" Type="http://schemas.openxmlformats.org/officeDocument/2006/relationships/hyperlink" Target="https://www.animatetimes.com/tag/details.php?id=11602" TargetMode="External"/><Relationship Id="rId34" Type="http://schemas.openxmlformats.org/officeDocument/2006/relationships/hyperlink" Target="https://www.animatetimes.com/tag/details.php?id=5906" TargetMode="External"/><Relationship Id="rId50" Type="http://schemas.openxmlformats.org/officeDocument/2006/relationships/hyperlink" Target="https://www.animatetimes.com/tag/details.php?id=4144" TargetMode="External"/><Relationship Id="rId55" Type="http://schemas.openxmlformats.org/officeDocument/2006/relationships/hyperlink" Target="https://www.animatetimes.com/tag/details.php?id=5249" TargetMode="External"/><Relationship Id="rId76" Type="http://schemas.openxmlformats.org/officeDocument/2006/relationships/hyperlink" Target="https://www.animatetimes.com/tag/details.php?id=347" TargetMode="External"/><Relationship Id="rId97" Type="http://schemas.openxmlformats.org/officeDocument/2006/relationships/hyperlink" Target="https://www.animatetimes.com/tag/details.php?id=545" TargetMode="External"/><Relationship Id="rId104" Type="http://schemas.openxmlformats.org/officeDocument/2006/relationships/hyperlink" Target="https://www.animatetimes.com/tag/details.php?id=306" TargetMode="External"/><Relationship Id="rId120" Type="http://schemas.openxmlformats.org/officeDocument/2006/relationships/hyperlink" Target="https://www.animatetimes.com/tag/details.php?id=5349" TargetMode="External"/><Relationship Id="rId125" Type="http://schemas.openxmlformats.org/officeDocument/2006/relationships/hyperlink" Target="https://www.animatetimes.com/tag/details.php?id=528" TargetMode="External"/><Relationship Id="rId141" Type="http://schemas.openxmlformats.org/officeDocument/2006/relationships/hyperlink" Target="https://www.animatetimes.com/tag/details.php?id=8146" TargetMode="External"/><Relationship Id="rId146" Type="http://schemas.openxmlformats.org/officeDocument/2006/relationships/hyperlink" Target="https://www.animatetimes.com/tag/details.php?id=862" TargetMode="External"/><Relationship Id="rId7" Type="http://schemas.openxmlformats.org/officeDocument/2006/relationships/hyperlink" Target="https://www.animatetimes.com/tag/details.php?id=5349" TargetMode="External"/><Relationship Id="rId71" Type="http://schemas.openxmlformats.org/officeDocument/2006/relationships/hyperlink" Target="https://www.animatetimes.com/tag/details.php?id=9206" TargetMode="External"/><Relationship Id="rId92" Type="http://schemas.openxmlformats.org/officeDocument/2006/relationships/hyperlink" Target="https://www.animatetimes.com/tag/details.php?id=786" TargetMode="External"/><Relationship Id="rId2" Type="http://schemas.openxmlformats.org/officeDocument/2006/relationships/hyperlink" Target="https://www.animatetimes.com/tag/details.php?id=3834" TargetMode="External"/><Relationship Id="rId29" Type="http://schemas.openxmlformats.org/officeDocument/2006/relationships/hyperlink" Target="https://www.animatetimes.com/tag/details.php?id=6031" TargetMode="External"/><Relationship Id="rId24" Type="http://schemas.openxmlformats.org/officeDocument/2006/relationships/hyperlink" Target="https://www.animatetimes.com/tag/details.php?id=6344" TargetMode="External"/><Relationship Id="rId40" Type="http://schemas.openxmlformats.org/officeDocument/2006/relationships/hyperlink" Target="https://www.animatetimes.com/tag/details.php?id=29010" TargetMode="External"/><Relationship Id="rId45" Type="http://schemas.openxmlformats.org/officeDocument/2006/relationships/hyperlink" Target="https://www.animatetimes.com/tag/details.php?id=6795" TargetMode="External"/><Relationship Id="rId66" Type="http://schemas.openxmlformats.org/officeDocument/2006/relationships/hyperlink" Target="https://www.animatetimes.com/tag/details.php?id=4809" TargetMode="External"/><Relationship Id="rId87" Type="http://schemas.openxmlformats.org/officeDocument/2006/relationships/hyperlink" Target="https://www.animatetimes.com/tag/details.php?id=518" TargetMode="External"/><Relationship Id="rId110" Type="http://schemas.openxmlformats.org/officeDocument/2006/relationships/hyperlink" Target="https://www.animatetimes.com/tag/details.php?id=330" TargetMode="External"/><Relationship Id="rId115" Type="http://schemas.openxmlformats.org/officeDocument/2006/relationships/hyperlink" Target="https://www.animatetimes.com/tag/details.php?id=380" TargetMode="External"/><Relationship Id="rId131" Type="http://schemas.openxmlformats.org/officeDocument/2006/relationships/hyperlink" Target="https://www.animatetimes.com/tag/details.php?id=645" TargetMode="External"/><Relationship Id="rId136" Type="http://schemas.openxmlformats.org/officeDocument/2006/relationships/hyperlink" Target="https://www.animatetimes.com/tag/details.php?id=346" TargetMode="External"/><Relationship Id="rId157" Type="http://schemas.openxmlformats.org/officeDocument/2006/relationships/hyperlink" Target="https://www.animatetimes.com/tag/details.php?id=480" TargetMode="External"/><Relationship Id="rId61" Type="http://schemas.openxmlformats.org/officeDocument/2006/relationships/hyperlink" Target="https://www.animatetimes.com/tag/details.php?id=2332" TargetMode="External"/><Relationship Id="rId82" Type="http://schemas.openxmlformats.org/officeDocument/2006/relationships/hyperlink" Target="https://www.animatetimes.com/tag/details.php?id=632" TargetMode="External"/><Relationship Id="rId152" Type="http://schemas.openxmlformats.org/officeDocument/2006/relationships/hyperlink" Target="https://www.animatetimes.com/tag/details.php?id=894" TargetMode="External"/><Relationship Id="rId19" Type="http://schemas.openxmlformats.org/officeDocument/2006/relationships/hyperlink" Target="https://www.animatetimes.com/tag/details.php?id=4074" TargetMode="External"/><Relationship Id="rId14" Type="http://schemas.openxmlformats.org/officeDocument/2006/relationships/hyperlink" Target="https://www.animatetimes.com/tag/details.php?id=6964" TargetMode="External"/><Relationship Id="rId30" Type="http://schemas.openxmlformats.org/officeDocument/2006/relationships/hyperlink" Target="https://www.animatetimes.com/tag/details.php?id=3970" TargetMode="External"/><Relationship Id="rId35" Type="http://schemas.openxmlformats.org/officeDocument/2006/relationships/hyperlink" Target="https://www.animatetimes.com/tag/details.php?id=5929" TargetMode="External"/><Relationship Id="rId56" Type="http://schemas.openxmlformats.org/officeDocument/2006/relationships/hyperlink" Target="https://www.animatetimes.com/tag/details.php?id=3098" TargetMode="External"/><Relationship Id="rId77" Type="http://schemas.openxmlformats.org/officeDocument/2006/relationships/hyperlink" Target="https://www.animatetimes.com/tag/details.php?id=42" TargetMode="External"/><Relationship Id="rId100" Type="http://schemas.openxmlformats.org/officeDocument/2006/relationships/hyperlink" Target="https://www.animatetimes.com/tag/details.php?id=451" TargetMode="External"/><Relationship Id="rId105" Type="http://schemas.openxmlformats.org/officeDocument/2006/relationships/hyperlink" Target="https://www.animatetimes.com/tag/details.php?id=2745" TargetMode="External"/><Relationship Id="rId126" Type="http://schemas.openxmlformats.org/officeDocument/2006/relationships/hyperlink" Target="https://www.animatetimes.com/tag/details.php?id=719" TargetMode="External"/><Relationship Id="rId147" Type="http://schemas.openxmlformats.org/officeDocument/2006/relationships/hyperlink" Target="https://www.animatetimes.com/tag/details.php?id=2173" TargetMode="External"/><Relationship Id="rId8" Type="http://schemas.openxmlformats.org/officeDocument/2006/relationships/hyperlink" Target="https://www.animatetimes.com/tag/details.php?id=6030" TargetMode="External"/><Relationship Id="rId51" Type="http://schemas.openxmlformats.org/officeDocument/2006/relationships/hyperlink" Target="https://www.animatetimes.com/tag/details.php?id=5209" TargetMode="External"/><Relationship Id="rId72" Type="http://schemas.openxmlformats.org/officeDocument/2006/relationships/hyperlink" Target="https://www.animatetimes.com/tag/details.php?id=6903" TargetMode="External"/><Relationship Id="rId93" Type="http://schemas.openxmlformats.org/officeDocument/2006/relationships/hyperlink" Target="https://www.animatetimes.com/tag/details.php?id=3834" TargetMode="External"/><Relationship Id="rId98" Type="http://schemas.openxmlformats.org/officeDocument/2006/relationships/hyperlink" Target="https://www.animatetimes.com/tag/details.php?id=534" TargetMode="External"/><Relationship Id="rId121" Type="http://schemas.openxmlformats.org/officeDocument/2006/relationships/hyperlink" Target="https://www.animatetimes.com/tag/details.php?id=3236" TargetMode="External"/><Relationship Id="rId142" Type="http://schemas.openxmlformats.org/officeDocument/2006/relationships/hyperlink" Target="https://www.animatetimes.com/tag/details.php?id=337" TargetMode="External"/><Relationship Id="rId3" Type="http://schemas.openxmlformats.org/officeDocument/2006/relationships/hyperlink" Target="https://www.animatetimes.com/tag/details.php?id=2146" TargetMode="External"/><Relationship Id="rId25" Type="http://schemas.openxmlformats.org/officeDocument/2006/relationships/hyperlink" Target="https://www.animatetimes.com/tag/details.php?id=6515" TargetMode="External"/><Relationship Id="rId46" Type="http://schemas.openxmlformats.org/officeDocument/2006/relationships/hyperlink" Target="https://www.animatetimes.com/tag/details.php?id=12510" TargetMode="External"/><Relationship Id="rId67" Type="http://schemas.openxmlformats.org/officeDocument/2006/relationships/hyperlink" Target="https://www.animatetimes.com/tag/details.php?id=4861" TargetMode="External"/><Relationship Id="rId116" Type="http://schemas.openxmlformats.org/officeDocument/2006/relationships/hyperlink" Target="https://www.animatetimes.com/tag/details.php?id=1517" TargetMode="External"/><Relationship Id="rId137" Type="http://schemas.openxmlformats.org/officeDocument/2006/relationships/hyperlink" Target="https://www.animatetimes.com/tag/details.php?id=757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92"/>
  <sheetViews>
    <sheetView workbookViewId="0"/>
  </sheetViews>
  <sheetFormatPr defaultColWidth="12.6640625" defaultRowHeight="15.75" customHeight="1"/>
  <sheetData>
    <row r="1" spans="1:3">
      <c r="A1" s="2" t="s">
        <v>1</v>
      </c>
      <c r="B1" s="2" t="s">
        <v>6</v>
      </c>
      <c r="C1" s="2" t="s">
        <v>8</v>
      </c>
    </row>
    <row r="2" spans="1:3">
      <c r="A2" s="1" t="s">
        <v>9</v>
      </c>
      <c r="B2" s="1" t="s">
        <v>10</v>
      </c>
      <c r="C2" s="1" t="s">
        <v>11</v>
      </c>
    </row>
    <row r="3" spans="1:3">
      <c r="A3" s="1" t="s">
        <v>12</v>
      </c>
      <c r="B3" s="1" t="s">
        <v>13</v>
      </c>
      <c r="C3" s="1" t="s">
        <v>11</v>
      </c>
    </row>
    <row r="4" spans="1:3">
      <c r="A4" s="1" t="s">
        <v>14</v>
      </c>
      <c r="B4" s="1" t="s">
        <v>15</v>
      </c>
      <c r="C4" s="1" t="s">
        <v>11</v>
      </c>
    </row>
    <row r="5" spans="1:3">
      <c r="A5" s="1" t="s">
        <v>16</v>
      </c>
      <c r="B5" s="1" t="s">
        <v>17</v>
      </c>
      <c r="C5" s="1" t="s">
        <v>11</v>
      </c>
    </row>
    <row r="6" spans="1:3">
      <c r="A6" s="1" t="s">
        <v>18</v>
      </c>
      <c r="B6" s="1" t="s">
        <v>19</v>
      </c>
      <c r="C6" s="1" t="s">
        <v>11</v>
      </c>
    </row>
    <row r="7" spans="1:3">
      <c r="A7" s="1" t="s">
        <v>20</v>
      </c>
      <c r="B7" s="1" t="s">
        <v>21</v>
      </c>
      <c r="C7" s="1" t="s">
        <v>11</v>
      </c>
    </row>
    <row r="8" spans="1:3">
      <c r="A8" s="1" t="s">
        <v>22</v>
      </c>
      <c r="B8" s="1" t="s">
        <v>22</v>
      </c>
      <c r="C8" s="1" t="s">
        <v>11</v>
      </c>
    </row>
    <row r="9" spans="1:3">
      <c r="A9" s="1" t="s">
        <v>23</v>
      </c>
      <c r="B9" s="1" t="s">
        <v>24</v>
      </c>
      <c r="C9" s="1" t="s">
        <v>11</v>
      </c>
    </row>
    <row r="10" spans="1:3">
      <c r="A10" s="1" t="s">
        <v>25</v>
      </c>
      <c r="B10" s="1" t="s">
        <v>26</v>
      </c>
      <c r="C10" s="1" t="s">
        <v>11</v>
      </c>
    </row>
    <row r="11" spans="1:3">
      <c r="A11" s="1" t="s">
        <v>27</v>
      </c>
      <c r="B11" s="1" t="s">
        <v>28</v>
      </c>
      <c r="C11" s="1" t="s">
        <v>11</v>
      </c>
    </row>
    <row r="12" spans="1:3">
      <c r="A12" s="1" t="s">
        <v>29</v>
      </c>
      <c r="B12" s="1" t="s">
        <v>30</v>
      </c>
      <c r="C12" s="1" t="s">
        <v>31</v>
      </c>
    </row>
    <row r="13" spans="1:3">
      <c r="A13" s="1" t="s">
        <v>32</v>
      </c>
      <c r="B13" s="1" t="s">
        <v>33</v>
      </c>
      <c r="C13" s="1" t="s">
        <v>31</v>
      </c>
    </row>
    <row r="14" spans="1:3">
      <c r="A14" s="1" t="s">
        <v>34</v>
      </c>
      <c r="B14" s="1" t="s">
        <v>35</v>
      </c>
      <c r="C14" s="1" t="s">
        <v>31</v>
      </c>
    </row>
    <row r="15" spans="1:3">
      <c r="A15" s="1" t="s">
        <v>36</v>
      </c>
      <c r="B15" s="1" t="s">
        <v>37</v>
      </c>
      <c r="C15" s="1" t="s">
        <v>31</v>
      </c>
    </row>
    <row r="16" spans="1:3">
      <c r="A16" s="1" t="s">
        <v>38</v>
      </c>
      <c r="B16" s="1" t="s">
        <v>39</v>
      </c>
      <c r="C16" s="1" t="s">
        <v>31</v>
      </c>
    </row>
    <row r="17" spans="1:3">
      <c r="A17" s="1" t="s">
        <v>42</v>
      </c>
      <c r="B17" s="1" t="s">
        <v>43</v>
      </c>
      <c r="C17" s="1" t="s">
        <v>31</v>
      </c>
    </row>
    <row r="18" spans="1:3">
      <c r="A18" s="1" t="s">
        <v>44</v>
      </c>
      <c r="B18" s="1" t="s">
        <v>45</v>
      </c>
      <c r="C18" s="1" t="s">
        <v>31</v>
      </c>
    </row>
    <row r="19" spans="1:3">
      <c r="A19" s="1" t="s">
        <v>46</v>
      </c>
      <c r="B19" s="1" t="s">
        <v>47</v>
      </c>
      <c r="C19" s="1" t="s">
        <v>31</v>
      </c>
    </row>
    <row r="20" spans="1:3">
      <c r="A20" s="1" t="s">
        <v>48</v>
      </c>
      <c r="B20" s="1" t="s">
        <v>49</v>
      </c>
      <c r="C20" s="1" t="s">
        <v>31</v>
      </c>
    </row>
    <row r="21" spans="1:3">
      <c r="A21" s="1" t="s">
        <v>50</v>
      </c>
      <c r="B21" s="1" t="s">
        <v>51</v>
      </c>
      <c r="C21" s="1" t="s">
        <v>31</v>
      </c>
    </row>
    <row r="22" spans="1:3">
      <c r="A22" s="1" t="s">
        <v>52</v>
      </c>
      <c r="B22" s="1" t="s">
        <v>53</v>
      </c>
      <c r="C22" s="1" t="s">
        <v>54</v>
      </c>
    </row>
    <row r="23" spans="1:3">
      <c r="A23" s="1" t="s">
        <v>55</v>
      </c>
      <c r="B23" s="1" t="s">
        <v>56</v>
      </c>
      <c r="C23" s="1" t="s">
        <v>54</v>
      </c>
    </row>
    <row r="24" spans="1:3">
      <c r="A24" s="1" t="s">
        <v>57</v>
      </c>
      <c r="B24" s="1" t="s">
        <v>58</v>
      </c>
      <c r="C24" s="1" t="s">
        <v>59</v>
      </c>
    </row>
    <row r="25" spans="1:3">
      <c r="A25" s="1" t="s">
        <v>60</v>
      </c>
      <c r="B25" s="1" t="s">
        <v>61</v>
      </c>
      <c r="C25" s="1" t="s">
        <v>59</v>
      </c>
    </row>
    <row r="26" spans="1:3">
      <c r="A26" s="1" t="s">
        <v>62</v>
      </c>
      <c r="B26" s="1" t="s">
        <v>63</v>
      </c>
      <c r="C26" s="1" t="s">
        <v>59</v>
      </c>
    </row>
    <row r="27" spans="1:3">
      <c r="A27" s="1" t="s">
        <v>64</v>
      </c>
      <c r="B27" s="1" t="s">
        <v>65</v>
      </c>
      <c r="C27" s="1" t="s">
        <v>66</v>
      </c>
    </row>
    <row r="28" spans="1:3">
      <c r="A28" s="1" t="s">
        <v>67</v>
      </c>
      <c r="B28" s="1" t="s">
        <v>68</v>
      </c>
      <c r="C28" s="1" t="s">
        <v>66</v>
      </c>
    </row>
    <row r="29" spans="1:3">
      <c r="A29" s="1" t="s">
        <v>69</v>
      </c>
      <c r="B29" s="1" t="s">
        <v>70</v>
      </c>
      <c r="C29" s="1" t="s">
        <v>66</v>
      </c>
    </row>
    <row r="30" spans="1:3">
      <c r="A30" s="1" t="s">
        <v>71</v>
      </c>
      <c r="B30" s="1" t="s">
        <v>72</v>
      </c>
      <c r="C30" s="1" t="s">
        <v>66</v>
      </c>
    </row>
    <row r="31" spans="1:3">
      <c r="A31" s="1" t="s">
        <v>73</v>
      </c>
      <c r="B31" s="1" t="s">
        <v>74</v>
      </c>
      <c r="C31" s="1" t="s">
        <v>66</v>
      </c>
    </row>
    <row r="32" spans="1:3">
      <c r="A32" s="1" t="s">
        <v>76</v>
      </c>
      <c r="B32" s="1" t="s">
        <v>78</v>
      </c>
      <c r="C32" s="1" t="s">
        <v>79</v>
      </c>
    </row>
    <row r="33" spans="1:3">
      <c r="A33" s="1" t="s">
        <v>80</v>
      </c>
      <c r="B33" s="1" t="s">
        <v>81</v>
      </c>
      <c r="C33" s="1" t="s">
        <v>79</v>
      </c>
    </row>
    <row r="34" spans="1:3">
      <c r="A34" s="1" t="s">
        <v>82</v>
      </c>
      <c r="B34" s="1" t="s">
        <v>83</v>
      </c>
      <c r="C34" s="1" t="s">
        <v>85</v>
      </c>
    </row>
    <row r="35" spans="1:3">
      <c r="A35" s="1" t="s">
        <v>86</v>
      </c>
      <c r="B35" s="1" t="s">
        <v>87</v>
      </c>
      <c r="C35" s="1" t="s">
        <v>89</v>
      </c>
    </row>
    <row r="36" spans="1:3">
      <c r="A36" s="1" t="s">
        <v>90</v>
      </c>
      <c r="B36" s="1" t="s">
        <v>91</v>
      </c>
      <c r="C36" s="1" t="s">
        <v>89</v>
      </c>
    </row>
    <row r="37" spans="1:3">
      <c r="A37" s="1" t="s">
        <v>92</v>
      </c>
      <c r="B37" s="1" t="s">
        <v>93</v>
      </c>
      <c r="C37" s="1" t="s">
        <v>95</v>
      </c>
    </row>
    <row r="38" spans="1:3">
      <c r="A38" s="1" t="s">
        <v>96</v>
      </c>
      <c r="B38" s="1" t="s">
        <v>98</v>
      </c>
      <c r="C38" s="1" t="s">
        <v>99</v>
      </c>
    </row>
    <row r="39" spans="1:3">
      <c r="A39" s="1" t="s">
        <v>100</v>
      </c>
      <c r="B39" s="1" t="s">
        <v>101</v>
      </c>
      <c r="C39" s="1" t="s">
        <v>99</v>
      </c>
    </row>
    <row r="40" spans="1:3">
      <c r="A40" s="1" t="s">
        <v>103</v>
      </c>
      <c r="B40" s="1" t="s">
        <v>104</v>
      </c>
      <c r="C40" s="1" t="s">
        <v>105</v>
      </c>
    </row>
    <row r="41" spans="1:3">
      <c r="A41" s="1" t="s">
        <v>107</v>
      </c>
      <c r="B41" s="1" t="s">
        <v>108</v>
      </c>
      <c r="C41" s="1" t="s">
        <v>109</v>
      </c>
    </row>
    <row r="42" spans="1:3">
      <c r="A42" s="1" t="s">
        <v>110</v>
      </c>
      <c r="B42" s="1" t="s">
        <v>111</v>
      </c>
      <c r="C42" s="1" t="s">
        <v>112</v>
      </c>
    </row>
    <row r="43" spans="1:3">
      <c r="A43" s="1" t="s">
        <v>114</v>
      </c>
      <c r="B43" s="1" t="s">
        <v>115</v>
      </c>
      <c r="C43" s="1" t="s">
        <v>116</v>
      </c>
    </row>
    <row r="44" spans="1:3">
      <c r="A44" s="1" t="s">
        <v>118</v>
      </c>
      <c r="B44" s="1" t="s">
        <v>119</v>
      </c>
      <c r="C44" s="1" t="s">
        <v>120</v>
      </c>
    </row>
    <row r="45" spans="1:3">
      <c r="A45" s="1" t="s">
        <v>121</v>
      </c>
      <c r="B45" s="1" t="s">
        <v>123</v>
      </c>
      <c r="C45" s="1" t="s">
        <v>124</v>
      </c>
    </row>
    <row r="46" spans="1:3">
      <c r="A46" s="1" t="s">
        <v>125</v>
      </c>
      <c r="B46" s="1" t="s">
        <v>127</v>
      </c>
      <c r="C46" s="1" t="s">
        <v>128</v>
      </c>
    </row>
    <row r="47" spans="1:3">
      <c r="A47" s="1" t="s">
        <v>129</v>
      </c>
      <c r="B47" s="1" t="s">
        <v>130</v>
      </c>
      <c r="C47" s="1" t="s">
        <v>131</v>
      </c>
    </row>
    <row r="48" spans="1:3">
      <c r="A48" s="1" t="s">
        <v>132</v>
      </c>
      <c r="B48" s="1" t="s">
        <v>133</v>
      </c>
      <c r="C48" s="1" t="s">
        <v>131</v>
      </c>
    </row>
    <row r="49" spans="1:3">
      <c r="A49" s="1" t="s">
        <v>135</v>
      </c>
      <c r="B49" s="1" t="s">
        <v>143</v>
      </c>
      <c r="C49" s="1" t="s">
        <v>131</v>
      </c>
    </row>
    <row r="50" spans="1:3">
      <c r="A50" s="1" t="s">
        <v>145</v>
      </c>
      <c r="B50" s="1" t="s">
        <v>146</v>
      </c>
      <c r="C50" s="1" t="s">
        <v>131</v>
      </c>
    </row>
    <row r="51" spans="1:3">
      <c r="A51" s="1" t="s">
        <v>147</v>
      </c>
      <c r="B51" s="1" t="s">
        <v>149</v>
      </c>
      <c r="C51" s="1" t="s">
        <v>131</v>
      </c>
    </row>
    <row r="52" spans="1:3">
      <c r="A52" s="1" t="s">
        <v>151</v>
      </c>
      <c r="B52" s="1" t="s">
        <v>152</v>
      </c>
      <c r="C52" s="1" t="s">
        <v>131</v>
      </c>
    </row>
    <row r="53" spans="1:3">
      <c r="A53" s="1" t="s">
        <v>153</v>
      </c>
      <c r="B53" s="1" t="s">
        <v>154</v>
      </c>
      <c r="C53" s="1" t="s">
        <v>131</v>
      </c>
    </row>
    <row r="54" spans="1:3">
      <c r="A54" s="1" t="s">
        <v>156</v>
      </c>
      <c r="B54" s="1" t="s">
        <v>157</v>
      </c>
      <c r="C54" s="1" t="s">
        <v>159</v>
      </c>
    </row>
    <row r="55" spans="1:3">
      <c r="A55" s="1" t="s">
        <v>160</v>
      </c>
      <c r="B55" s="1" t="s">
        <v>161</v>
      </c>
      <c r="C55" s="1" t="s">
        <v>162</v>
      </c>
    </row>
    <row r="56" spans="1:3">
      <c r="A56" s="1" t="s">
        <v>163</v>
      </c>
      <c r="B56" s="1" t="s">
        <v>165</v>
      </c>
      <c r="C56" s="1" t="s">
        <v>162</v>
      </c>
    </row>
    <row r="57" spans="1:3">
      <c r="A57" s="1" t="s">
        <v>167</v>
      </c>
      <c r="B57" s="1" t="s">
        <v>168</v>
      </c>
      <c r="C57" s="1" t="s">
        <v>169</v>
      </c>
    </row>
    <row r="58" spans="1:3">
      <c r="A58" s="1" t="s">
        <v>170</v>
      </c>
      <c r="B58" s="1" t="s">
        <v>171</v>
      </c>
      <c r="C58" s="1" t="s">
        <v>169</v>
      </c>
    </row>
    <row r="59" spans="1:3">
      <c r="A59" s="1" t="s">
        <v>172</v>
      </c>
      <c r="B59" s="1" t="s">
        <v>173</v>
      </c>
      <c r="C59" s="1" t="s">
        <v>174</v>
      </c>
    </row>
    <row r="60" spans="1:3">
      <c r="A60" s="1" t="s">
        <v>176</v>
      </c>
      <c r="B60" s="3" t="s">
        <v>178</v>
      </c>
      <c r="C60" s="1" t="s">
        <v>181</v>
      </c>
    </row>
    <row r="61" spans="1:3">
      <c r="A61" s="1" t="s">
        <v>182</v>
      </c>
      <c r="B61" s="1" t="s">
        <v>183</v>
      </c>
      <c r="C61" s="1" t="s">
        <v>181</v>
      </c>
    </row>
    <row r="62" spans="1:3">
      <c r="A62" s="1" t="s">
        <v>184</v>
      </c>
      <c r="B62" s="1" t="s">
        <v>185</v>
      </c>
      <c r="C62" s="1" t="s">
        <v>186</v>
      </c>
    </row>
    <row r="63" spans="1:3">
      <c r="A63" s="1" t="s">
        <v>188</v>
      </c>
      <c r="B63" s="1" t="s">
        <v>189</v>
      </c>
      <c r="C63" s="1" t="s">
        <v>186</v>
      </c>
    </row>
    <row r="64" spans="1:3">
      <c r="A64" s="1" t="s">
        <v>190</v>
      </c>
      <c r="B64" s="1" t="s">
        <v>191</v>
      </c>
      <c r="C64" s="1" t="s">
        <v>186</v>
      </c>
    </row>
    <row r="65" spans="1:3">
      <c r="A65" s="1" t="s">
        <v>193</v>
      </c>
      <c r="B65" s="1" t="s">
        <v>194</v>
      </c>
      <c r="C65" s="1" t="s">
        <v>186</v>
      </c>
    </row>
    <row r="66" spans="1:3">
      <c r="A66" s="1" t="s">
        <v>196</v>
      </c>
      <c r="B66" s="1" t="s">
        <v>197</v>
      </c>
      <c r="C66" s="1" t="s">
        <v>186</v>
      </c>
    </row>
    <row r="67" spans="1:3">
      <c r="A67" s="1" t="s">
        <v>198</v>
      </c>
      <c r="B67" s="1" t="s">
        <v>199</v>
      </c>
      <c r="C67" s="1" t="s">
        <v>200</v>
      </c>
    </row>
    <row r="68" spans="1:3">
      <c r="A68" s="1" t="s">
        <v>202</v>
      </c>
      <c r="B68" s="1" t="s">
        <v>203</v>
      </c>
      <c r="C68" s="1" t="s">
        <v>204</v>
      </c>
    </row>
    <row r="69" spans="1:3">
      <c r="A69" s="1" t="s">
        <v>205</v>
      </c>
      <c r="B69" s="1" t="s">
        <v>206</v>
      </c>
      <c r="C69" s="1" t="s">
        <v>204</v>
      </c>
    </row>
    <row r="70" spans="1:3">
      <c r="A70" s="1" t="s">
        <v>208</v>
      </c>
      <c r="B70" s="1" t="s">
        <v>210</v>
      </c>
      <c r="C70" s="1" t="s">
        <v>204</v>
      </c>
    </row>
    <row r="71" spans="1:3">
      <c r="A71" s="1" t="s">
        <v>211</v>
      </c>
      <c r="B71" s="1" t="s">
        <v>212</v>
      </c>
      <c r="C71" s="1" t="s">
        <v>213</v>
      </c>
    </row>
    <row r="72" spans="1:3">
      <c r="A72" s="1" t="s">
        <v>215</v>
      </c>
      <c r="B72" s="1" t="s">
        <v>216</v>
      </c>
      <c r="C72" s="1" t="s">
        <v>218</v>
      </c>
    </row>
    <row r="73" spans="1:3">
      <c r="A73" s="1" t="s">
        <v>219</v>
      </c>
      <c r="B73" s="1" t="s">
        <v>220</v>
      </c>
      <c r="C73" s="1" t="s">
        <v>221</v>
      </c>
    </row>
    <row r="74" spans="1:3">
      <c r="A74" s="1" t="s">
        <v>223</v>
      </c>
      <c r="B74" s="1" t="s">
        <v>224</v>
      </c>
      <c r="C74" s="1" t="s">
        <v>225</v>
      </c>
    </row>
    <row r="75" spans="1:3">
      <c r="A75" s="1" t="s">
        <v>227</v>
      </c>
      <c r="B75" s="1" t="s">
        <v>228</v>
      </c>
      <c r="C75" s="1" t="s">
        <v>225</v>
      </c>
    </row>
    <row r="76" spans="1:3">
      <c r="A76" s="1" t="s">
        <v>229</v>
      </c>
      <c r="B76" s="1" t="s">
        <v>230</v>
      </c>
      <c r="C76" s="1" t="s">
        <v>231</v>
      </c>
    </row>
    <row r="77" spans="1:3">
      <c r="A77" s="1" t="s">
        <v>233</v>
      </c>
      <c r="B77" s="1" t="s">
        <v>234</v>
      </c>
      <c r="C77" s="1" t="s">
        <v>236</v>
      </c>
    </row>
    <row r="78" spans="1:3">
      <c r="A78" s="1" t="s">
        <v>237</v>
      </c>
      <c r="B78" s="1" t="s">
        <v>238</v>
      </c>
      <c r="C78" s="1" t="s">
        <v>239</v>
      </c>
    </row>
    <row r="79" spans="1:3">
      <c r="A79" s="1" t="s">
        <v>241</v>
      </c>
      <c r="B79" s="1" t="s">
        <v>242</v>
      </c>
      <c r="C79" s="1" t="s">
        <v>239</v>
      </c>
    </row>
    <row r="80" spans="1:3">
      <c r="A80" s="1" t="s">
        <v>244</v>
      </c>
      <c r="B80" s="1" t="s">
        <v>245</v>
      </c>
      <c r="C80" s="1" t="s">
        <v>239</v>
      </c>
    </row>
    <row r="81" spans="1:3">
      <c r="A81" s="1" t="s">
        <v>246</v>
      </c>
      <c r="B81" s="1" t="s">
        <v>247</v>
      </c>
      <c r="C81" s="1" t="s">
        <v>239</v>
      </c>
    </row>
    <row r="82" spans="1:3">
      <c r="A82" s="1" t="s">
        <v>249</v>
      </c>
      <c r="B82" s="1" t="s">
        <v>251</v>
      </c>
      <c r="C82" s="1" t="s">
        <v>252</v>
      </c>
    </row>
    <row r="83" spans="1:3">
      <c r="A83" s="1" t="s">
        <v>253</v>
      </c>
      <c r="B83" s="1" t="s">
        <v>254</v>
      </c>
      <c r="C83" s="1" t="s">
        <v>255</v>
      </c>
    </row>
    <row r="84" spans="1:3">
      <c r="A84" s="1" t="s">
        <v>257</v>
      </c>
      <c r="B84" s="1" t="s">
        <v>258</v>
      </c>
      <c r="C84" s="1" t="s">
        <v>259</v>
      </c>
    </row>
    <row r="85" spans="1:3">
      <c r="A85" s="1" t="s">
        <v>261</v>
      </c>
      <c r="B85" s="1" t="s">
        <v>262</v>
      </c>
      <c r="C85" s="1" t="s">
        <v>259</v>
      </c>
    </row>
    <row r="86" spans="1:3">
      <c r="A86" s="1" t="s">
        <v>263</v>
      </c>
      <c r="B86" s="1" t="s">
        <v>264</v>
      </c>
      <c r="C86" s="1" t="s">
        <v>266</v>
      </c>
    </row>
    <row r="87" spans="1:3">
      <c r="A87" s="1" t="s">
        <v>267</v>
      </c>
      <c r="B87" s="1" t="s">
        <v>269</v>
      </c>
      <c r="C87" s="1" t="s">
        <v>270</v>
      </c>
    </row>
    <row r="88" spans="1:3">
      <c r="A88" s="1" t="s">
        <v>271</v>
      </c>
      <c r="B88" s="1" t="s">
        <v>272</v>
      </c>
      <c r="C88" s="1" t="s">
        <v>273</v>
      </c>
    </row>
    <row r="89" spans="1:3">
      <c r="A89" s="1" t="s">
        <v>275</v>
      </c>
      <c r="B89" s="1" t="s">
        <v>276</v>
      </c>
      <c r="C89" s="1" t="s">
        <v>278</v>
      </c>
    </row>
    <row r="90" spans="1:3">
      <c r="A90" s="1" t="s">
        <v>279</v>
      </c>
      <c r="B90" s="1" t="s">
        <v>280</v>
      </c>
      <c r="C90" s="1" t="s">
        <v>278</v>
      </c>
    </row>
    <row r="91" spans="1:3">
      <c r="A91" s="1" t="s">
        <v>281</v>
      </c>
      <c r="B91" s="1" t="s">
        <v>283</v>
      </c>
      <c r="C91" s="1" t="s">
        <v>278</v>
      </c>
    </row>
    <row r="92" spans="1:3">
      <c r="A92" s="1" t="s">
        <v>285</v>
      </c>
      <c r="B92" s="1" t="s">
        <v>286</v>
      </c>
      <c r="C92" s="1" t="s">
        <v>287</v>
      </c>
    </row>
  </sheetData>
  <phoneticPr fontId="1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000"/>
  <sheetViews>
    <sheetView topLeftCell="A403" workbookViewId="0">
      <selection activeCell="I61" sqref="I61"/>
    </sheetView>
  </sheetViews>
  <sheetFormatPr defaultColWidth="12.6640625" defaultRowHeight="15.75" customHeight="1"/>
  <sheetData>
    <row r="1" spans="1:8" ht="27" thickBot="1">
      <c r="A1" s="2" t="s">
        <v>0</v>
      </c>
      <c r="B1" s="2" t="s">
        <v>2</v>
      </c>
      <c r="C1" s="2" t="s">
        <v>3</v>
      </c>
      <c r="D1" s="2" t="s">
        <v>4</v>
      </c>
      <c r="E1" s="1" t="s">
        <v>5</v>
      </c>
      <c r="F1" s="1" t="s">
        <v>7</v>
      </c>
      <c r="G1" s="18" t="s">
        <v>2810</v>
      </c>
      <c r="H1" s="18" t="s">
        <v>2811</v>
      </c>
    </row>
    <row r="2" spans="1:8" ht="13.8" thickBot="1">
      <c r="A2" s="1" t="str">
        <f t="shared" ref="A2:A256" si="0">"va_" &amp; TEXT(ROW(A1), "000")</f>
        <v>va_001</v>
      </c>
      <c r="B2" s="1" t="s">
        <v>40</v>
      </c>
      <c r="C2" s="1" t="s">
        <v>41</v>
      </c>
      <c r="D2" s="1" t="str">
        <f t="shared" ref="D2:D256" ca="1" si="1">IF(E2="", "", IF(E2&gt;=3, "表示", "非表示"))</f>
        <v>非表示</v>
      </c>
      <c r="E2" s="1">
        <f ca="1">IFERROR(__xludf.DUMMYFUNCTION("MAP(B2:B1000, LAMBDA(name, IF(name="""", """", COUNTA(UNIQUE(FILTER('キャラクター名'!C:C, 'キャラクター名'!B:B=name))))))
"),1)</f>
        <v>1</v>
      </c>
      <c r="G2" s="19"/>
      <c r="H2" s="19"/>
    </row>
    <row r="3" spans="1:8" ht="53.4" thickBot="1">
      <c r="A3" s="1" t="str">
        <f t="shared" si="0"/>
        <v>va_002</v>
      </c>
      <c r="B3" s="1" t="s">
        <v>75</v>
      </c>
      <c r="C3" s="1" t="s">
        <v>77</v>
      </c>
      <c r="D3" s="1" t="str">
        <f t="shared" ca="1" si="1"/>
        <v>表示</v>
      </c>
      <c r="E3" s="1">
        <f ca="1">IFERROR(__xludf.DUMMYFUNCTION("""COMPUTED_VALUE"""),5)</f>
        <v>5</v>
      </c>
      <c r="F3" s="1" t="s">
        <v>84</v>
      </c>
      <c r="G3" s="20" t="s">
        <v>2812</v>
      </c>
      <c r="H3" s="21" t="s">
        <v>2813</v>
      </c>
    </row>
    <row r="4" spans="1:8" ht="53.4" thickBot="1">
      <c r="A4" s="1" t="str">
        <f t="shared" si="0"/>
        <v>va_003</v>
      </c>
      <c r="B4" s="1" t="s">
        <v>88</v>
      </c>
      <c r="C4" s="1" t="s">
        <v>77</v>
      </c>
      <c r="D4" s="1" t="str">
        <f t="shared" ca="1" si="1"/>
        <v>表示</v>
      </c>
      <c r="E4" s="1">
        <f ca="1">IFERROR(__xludf.DUMMYFUNCTION("""COMPUTED_VALUE"""),11)</f>
        <v>11</v>
      </c>
      <c r="F4" s="1" t="s">
        <v>94</v>
      </c>
      <c r="G4" s="20" t="s">
        <v>2814</v>
      </c>
      <c r="H4" s="21" t="s">
        <v>2813</v>
      </c>
    </row>
    <row r="5" spans="1:8" ht="13.8" thickBot="1">
      <c r="A5" s="1" t="str">
        <f t="shared" si="0"/>
        <v>va_004</v>
      </c>
      <c r="B5" s="1" t="s">
        <v>97</v>
      </c>
      <c r="C5" s="1" t="s">
        <v>77</v>
      </c>
      <c r="D5" s="1" t="str">
        <f t="shared" ca="1" si="1"/>
        <v>表示</v>
      </c>
      <c r="E5" s="1">
        <f ca="1">IFERROR(__xludf.DUMMYFUNCTION("""COMPUTED_VALUE"""),10)</f>
        <v>10</v>
      </c>
      <c r="F5" s="1" t="s">
        <v>102</v>
      </c>
      <c r="G5" s="19"/>
      <c r="H5" s="19"/>
    </row>
    <row r="6" spans="1:8" ht="42.6" thickBot="1">
      <c r="A6" s="1" t="str">
        <f t="shared" si="0"/>
        <v>va_005</v>
      </c>
      <c r="B6" s="1" t="s">
        <v>106</v>
      </c>
      <c r="C6" s="1" t="s">
        <v>77</v>
      </c>
      <c r="D6" s="1" t="str">
        <f t="shared" ca="1" si="1"/>
        <v>非表示</v>
      </c>
      <c r="E6" s="1">
        <f ca="1">IFERROR(__xludf.DUMMYFUNCTION("""COMPUTED_VALUE"""),2)</f>
        <v>2</v>
      </c>
      <c r="F6" s="1" t="s">
        <v>113</v>
      </c>
      <c r="G6" s="20" t="s">
        <v>2815</v>
      </c>
      <c r="H6" s="22" t="s">
        <v>2816</v>
      </c>
    </row>
    <row r="7" spans="1:8" ht="42.6" thickBot="1">
      <c r="A7" s="1" t="str">
        <f t="shared" si="0"/>
        <v>va_006</v>
      </c>
      <c r="B7" s="1" t="s">
        <v>117</v>
      </c>
      <c r="C7" s="1" t="s">
        <v>77</v>
      </c>
      <c r="D7" s="1" t="str">
        <f t="shared" ca="1" si="1"/>
        <v>表示</v>
      </c>
      <c r="E7" s="1">
        <f ca="1">IFERROR(__xludf.DUMMYFUNCTION("""COMPUTED_VALUE"""),7)</f>
        <v>7</v>
      </c>
      <c r="F7" s="1" t="s">
        <v>122</v>
      </c>
      <c r="G7" s="20" t="s">
        <v>2817</v>
      </c>
      <c r="H7" s="22" t="s">
        <v>2816</v>
      </c>
    </row>
    <row r="8" spans="1:8" ht="53.4" thickBot="1">
      <c r="A8" s="1" t="str">
        <f t="shared" si="0"/>
        <v>va_007</v>
      </c>
      <c r="B8" s="1" t="s">
        <v>126</v>
      </c>
      <c r="C8" s="1" t="s">
        <v>77</v>
      </c>
      <c r="D8" s="1" t="str">
        <f t="shared" ca="1" si="1"/>
        <v>表示</v>
      </c>
      <c r="E8" s="1">
        <f ca="1">IFERROR(__xludf.DUMMYFUNCTION("""COMPUTED_VALUE"""),11)</f>
        <v>11</v>
      </c>
      <c r="F8" s="1" t="s">
        <v>134</v>
      </c>
      <c r="G8" s="20" t="s">
        <v>2818</v>
      </c>
      <c r="H8" s="23" t="s">
        <v>2819</v>
      </c>
    </row>
    <row r="9" spans="1:8" ht="13.8" thickBot="1">
      <c r="A9" s="1" t="str">
        <f t="shared" si="0"/>
        <v>va_008</v>
      </c>
      <c r="B9" s="1" t="s">
        <v>136</v>
      </c>
      <c r="C9" s="1" t="s">
        <v>41</v>
      </c>
      <c r="D9" s="1" t="str">
        <f t="shared" ca="1" si="1"/>
        <v>表示</v>
      </c>
      <c r="E9" s="1">
        <f ca="1">IFERROR(__xludf.DUMMYFUNCTION("""COMPUTED_VALUE"""),3)</f>
        <v>3</v>
      </c>
      <c r="G9" s="19"/>
      <c r="H9" s="19"/>
    </row>
    <row r="10" spans="1:8" ht="13.8" thickBot="1">
      <c r="A10" s="1" t="str">
        <f t="shared" si="0"/>
        <v>va_009</v>
      </c>
      <c r="B10" s="1" t="s">
        <v>137</v>
      </c>
      <c r="C10" s="1" t="s">
        <v>77</v>
      </c>
      <c r="D10" s="1" t="str">
        <f t="shared" ca="1" si="1"/>
        <v>表示</v>
      </c>
      <c r="E10" s="1">
        <f ca="1">IFERROR(__xludf.DUMMYFUNCTION("""COMPUTED_VALUE"""),17)</f>
        <v>17</v>
      </c>
      <c r="F10" s="1" t="s">
        <v>138</v>
      </c>
      <c r="G10" s="19"/>
      <c r="H10" s="19"/>
    </row>
    <row r="11" spans="1:8" ht="13.8" thickBot="1">
      <c r="A11" s="1" t="str">
        <f t="shared" si="0"/>
        <v>va_010</v>
      </c>
      <c r="B11" s="1" t="s">
        <v>139</v>
      </c>
      <c r="C11" s="1" t="s">
        <v>41</v>
      </c>
      <c r="D11" s="1" t="str">
        <f t="shared" ca="1" si="1"/>
        <v>非表示</v>
      </c>
      <c r="E11" s="1">
        <f ca="1">IFERROR(__xludf.DUMMYFUNCTION("""COMPUTED_VALUE"""),1)</f>
        <v>1</v>
      </c>
      <c r="G11" s="19"/>
      <c r="H11" s="19"/>
    </row>
    <row r="12" spans="1:8" ht="13.8" thickBot="1">
      <c r="A12" s="1" t="str">
        <f t="shared" si="0"/>
        <v>va_011</v>
      </c>
      <c r="B12" s="1" t="s">
        <v>140</v>
      </c>
      <c r="C12" s="1" t="s">
        <v>41</v>
      </c>
      <c r="D12" s="1" t="str">
        <f t="shared" ca="1" si="1"/>
        <v>非表示</v>
      </c>
      <c r="E12" s="1">
        <f ca="1">IFERROR(__xludf.DUMMYFUNCTION("""COMPUTED_VALUE"""),2)</f>
        <v>2</v>
      </c>
      <c r="G12" s="19"/>
      <c r="H12" s="19"/>
    </row>
    <row r="13" spans="1:8" ht="53.4" thickBot="1">
      <c r="A13" s="1" t="str">
        <f t="shared" si="0"/>
        <v>va_012</v>
      </c>
      <c r="B13" s="1" t="s">
        <v>141</v>
      </c>
      <c r="C13" s="1" t="s">
        <v>77</v>
      </c>
      <c r="D13" s="1" t="str">
        <f t="shared" ca="1" si="1"/>
        <v>表示</v>
      </c>
      <c r="E13" s="1">
        <f ca="1">IFERROR(__xludf.DUMMYFUNCTION("""COMPUTED_VALUE"""),5)</f>
        <v>5</v>
      </c>
      <c r="F13" s="1" t="s">
        <v>142</v>
      </c>
      <c r="G13" s="20" t="s">
        <v>2820</v>
      </c>
      <c r="H13" s="24" t="s">
        <v>2819</v>
      </c>
    </row>
    <row r="14" spans="1:8" ht="53.4" thickBot="1">
      <c r="A14" s="1" t="str">
        <f t="shared" si="0"/>
        <v>va_013</v>
      </c>
      <c r="B14" s="1" t="s">
        <v>144</v>
      </c>
      <c r="C14" s="1" t="s">
        <v>77</v>
      </c>
      <c r="D14" s="1" t="str">
        <f t="shared" ca="1" si="1"/>
        <v>表示</v>
      </c>
      <c r="E14" s="1">
        <f ca="1">IFERROR(__xludf.DUMMYFUNCTION("""COMPUTED_VALUE"""),15)</f>
        <v>15</v>
      </c>
      <c r="F14" s="1" t="s">
        <v>148</v>
      </c>
      <c r="G14" s="20" t="s">
        <v>2821</v>
      </c>
      <c r="H14" s="25" t="s">
        <v>2813</v>
      </c>
    </row>
    <row r="15" spans="1:8" ht="40.200000000000003" thickBot="1">
      <c r="A15" s="1" t="str">
        <f t="shared" si="0"/>
        <v>va_014</v>
      </c>
      <c r="B15" s="1" t="s">
        <v>150</v>
      </c>
      <c r="C15" s="1" t="s">
        <v>77</v>
      </c>
      <c r="D15" s="1" t="str">
        <f t="shared" ca="1" si="1"/>
        <v>表示</v>
      </c>
      <c r="E15" s="1">
        <f ca="1">IFERROR(__xludf.DUMMYFUNCTION("""COMPUTED_VALUE"""),8)</f>
        <v>8</v>
      </c>
      <c r="F15" s="1" t="s">
        <v>155</v>
      </c>
      <c r="G15" s="20" t="s">
        <v>2822</v>
      </c>
      <c r="H15" s="26" t="s">
        <v>2819</v>
      </c>
    </row>
    <row r="16" spans="1:8" ht="40.200000000000003" thickBot="1">
      <c r="A16" s="1" t="str">
        <f t="shared" si="0"/>
        <v>va_015</v>
      </c>
      <c r="B16" s="1" t="s">
        <v>158</v>
      </c>
      <c r="C16" s="1" t="s">
        <v>77</v>
      </c>
      <c r="D16" s="1" t="str">
        <f t="shared" ca="1" si="1"/>
        <v>非表示</v>
      </c>
      <c r="E16" s="1">
        <f ca="1">IFERROR(__xludf.DUMMYFUNCTION("""COMPUTED_VALUE"""),2)</f>
        <v>2</v>
      </c>
      <c r="F16" s="1" t="s">
        <v>164</v>
      </c>
      <c r="G16" s="20" t="s">
        <v>2823</v>
      </c>
      <c r="H16" s="26" t="s">
        <v>2819</v>
      </c>
    </row>
    <row r="17" spans="1:8" ht="49.8" thickBot="1">
      <c r="A17" s="1" t="str">
        <f t="shared" si="0"/>
        <v>va_016</v>
      </c>
      <c r="B17" s="1" t="s">
        <v>166</v>
      </c>
      <c r="C17" s="1" t="s">
        <v>77</v>
      </c>
      <c r="D17" s="1" t="str">
        <f t="shared" ca="1" si="1"/>
        <v>非表示</v>
      </c>
      <c r="E17" s="1">
        <f ca="1">IFERROR(__xludf.DUMMYFUNCTION("""COMPUTED_VALUE"""),2)</f>
        <v>2</v>
      </c>
      <c r="F17" s="1" t="s">
        <v>175</v>
      </c>
      <c r="G17" s="20" t="s">
        <v>2824</v>
      </c>
      <c r="H17" s="27" t="s">
        <v>2825</v>
      </c>
    </row>
    <row r="18" spans="1:8" ht="13.8" thickBot="1">
      <c r="A18" s="1" t="str">
        <f t="shared" si="0"/>
        <v>va_017</v>
      </c>
      <c r="B18" s="1" t="s">
        <v>177</v>
      </c>
      <c r="C18" s="1" t="s">
        <v>77</v>
      </c>
      <c r="D18" s="1" t="str">
        <f t="shared" ca="1" si="1"/>
        <v>非表示</v>
      </c>
      <c r="E18" s="1">
        <f ca="1">IFERROR(__xludf.DUMMYFUNCTION("""COMPUTED_VALUE"""),2)</f>
        <v>2</v>
      </c>
      <c r="F18" s="1" t="s">
        <v>179</v>
      </c>
      <c r="G18" s="28" t="s">
        <v>2826</v>
      </c>
      <c r="H18" s="19"/>
    </row>
    <row r="19" spans="1:8" ht="13.8" thickBot="1">
      <c r="A19" s="1" t="str">
        <f t="shared" si="0"/>
        <v>va_018</v>
      </c>
      <c r="B19" s="1" t="s">
        <v>180</v>
      </c>
      <c r="C19" s="1" t="s">
        <v>41</v>
      </c>
      <c r="D19" s="1" t="str">
        <f t="shared" ca="1" si="1"/>
        <v>非表示</v>
      </c>
      <c r="E19" s="1">
        <f ca="1">IFERROR(__xludf.DUMMYFUNCTION("""COMPUTED_VALUE"""),1)</f>
        <v>1</v>
      </c>
      <c r="G19" s="19"/>
      <c r="H19" s="19"/>
    </row>
    <row r="20" spans="1:8" ht="225" thickBot="1">
      <c r="A20" s="1" t="str">
        <f t="shared" si="0"/>
        <v>va_019</v>
      </c>
      <c r="B20" s="1" t="s">
        <v>187</v>
      </c>
      <c r="C20" s="1" t="s">
        <v>77</v>
      </c>
      <c r="D20" s="1" t="str">
        <f t="shared" ca="1" si="1"/>
        <v>表示</v>
      </c>
      <c r="E20" s="1">
        <f ca="1">IFERROR(__xludf.DUMMYFUNCTION("""COMPUTED_VALUE"""),14)</f>
        <v>14</v>
      </c>
      <c r="F20" s="1" t="s">
        <v>192</v>
      </c>
      <c r="G20" s="20" t="s">
        <v>2827</v>
      </c>
      <c r="H20" s="29" t="s">
        <v>2813</v>
      </c>
    </row>
    <row r="21" spans="1:8" ht="13.8" thickBot="1">
      <c r="A21" s="1" t="str">
        <f t="shared" si="0"/>
        <v>va_020</v>
      </c>
      <c r="B21" s="1" t="s">
        <v>195</v>
      </c>
      <c r="C21" s="1" t="s">
        <v>41</v>
      </c>
      <c r="D21" s="1" t="str">
        <f t="shared" ca="1" si="1"/>
        <v>非表示</v>
      </c>
      <c r="E21" s="1">
        <f ca="1">IFERROR(__xludf.DUMMYFUNCTION("""COMPUTED_VALUE"""),1)</f>
        <v>1</v>
      </c>
      <c r="G21" s="19"/>
      <c r="H21" s="19"/>
    </row>
    <row r="22" spans="1:8" ht="53.4" thickBot="1">
      <c r="A22" s="1" t="str">
        <f t="shared" si="0"/>
        <v>va_021</v>
      </c>
      <c r="B22" s="1" t="s">
        <v>201</v>
      </c>
      <c r="C22" s="1" t="s">
        <v>77</v>
      </c>
      <c r="D22" s="1" t="str">
        <f t="shared" ca="1" si="1"/>
        <v>表示</v>
      </c>
      <c r="E22" s="1">
        <f ca="1">IFERROR(__xludf.DUMMYFUNCTION("""COMPUTED_VALUE"""),5)</f>
        <v>5</v>
      </c>
      <c r="F22" s="1" t="s">
        <v>207</v>
      </c>
      <c r="G22" s="20" t="s">
        <v>2828</v>
      </c>
      <c r="H22" s="30" t="s">
        <v>2825</v>
      </c>
    </row>
    <row r="23" spans="1:8" ht="13.8" thickBot="1">
      <c r="A23" s="1" t="str">
        <f t="shared" si="0"/>
        <v>va_022</v>
      </c>
      <c r="B23" s="1" t="s">
        <v>209</v>
      </c>
      <c r="C23" s="1" t="s">
        <v>77</v>
      </c>
      <c r="D23" s="1" t="str">
        <f t="shared" ca="1" si="1"/>
        <v>表示</v>
      </c>
      <c r="E23" s="1">
        <f ca="1">IFERROR(__xludf.DUMMYFUNCTION("""COMPUTED_VALUE"""),3)</f>
        <v>3</v>
      </c>
      <c r="F23" s="1" t="s">
        <v>214</v>
      </c>
      <c r="G23" s="28" t="s">
        <v>2829</v>
      </c>
      <c r="H23" s="19"/>
    </row>
    <row r="24" spans="1:8" ht="40.200000000000003" thickBot="1">
      <c r="A24" s="1" t="str">
        <f t="shared" si="0"/>
        <v>va_023</v>
      </c>
      <c r="B24" s="1" t="s">
        <v>217</v>
      </c>
      <c r="C24" s="1" t="s">
        <v>77</v>
      </c>
      <c r="D24" s="1" t="str">
        <f t="shared" ca="1" si="1"/>
        <v>表示</v>
      </c>
      <c r="E24" s="1">
        <f ca="1">IFERROR(__xludf.DUMMYFUNCTION("""COMPUTED_VALUE"""),7)</f>
        <v>7</v>
      </c>
      <c r="F24" s="1" t="s">
        <v>222</v>
      </c>
      <c r="G24" s="20" t="s">
        <v>2830</v>
      </c>
      <c r="H24" s="31" t="s">
        <v>2813</v>
      </c>
    </row>
    <row r="25" spans="1:8" ht="55.8" thickBot="1">
      <c r="A25" s="1" t="str">
        <f t="shared" si="0"/>
        <v>va_024</v>
      </c>
      <c r="B25" s="1" t="s">
        <v>226</v>
      </c>
      <c r="C25" s="1" t="s">
        <v>77</v>
      </c>
      <c r="D25" s="1" t="str">
        <f t="shared" ca="1" si="1"/>
        <v>非表示</v>
      </c>
      <c r="E25" s="1">
        <f ca="1">IFERROR(__xludf.DUMMYFUNCTION("""COMPUTED_VALUE"""),1)</f>
        <v>1</v>
      </c>
      <c r="F25" s="1" t="s">
        <v>232</v>
      </c>
      <c r="G25" s="20" t="s">
        <v>2831</v>
      </c>
      <c r="H25" s="32" t="s">
        <v>2832</v>
      </c>
    </row>
    <row r="26" spans="1:8" ht="13.8" thickBot="1">
      <c r="A26" s="1" t="str">
        <f t="shared" si="0"/>
        <v>va_025</v>
      </c>
      <c r="B26" s="1" t="s">
        <v>235</v>
      </c>
      <c r="C26" s="1" t="s">
        <v>77</v>
      </c>
      <c r="D26" s="1" t="str">
        <f t="shared" ca="1" si="1"/>
        <v>表示</v>
      </c>
      <c r="E26" s="1">
        <f ca="1">IFERROR(__xludf.DUMMYFUNCTION("""COMPUTED_VALUE"""),3)</f>
        <v>3</v>
      </c>
      <c r="F26" s="1" t="s">
        <v>240</v>
      </c>
      <c r="G26" s="19"/>
      <c r="H26" s="19"/>
    </row>
    <row r="27" spans="1:8" ht="55.8" thickBot="1">
      <c r="A27" s="1" t="str">
        <f t="shared" si="0"/>
        <v>va_026</v>
      </c>
      <c r="B27" s="1" t="s">
        <v>243</v>
      </c>
      <c r="C27" s="1" t="s">
        <v>77</v>
      </c>
      <c r="D27" s="1" t="str">
        <f t="shared" ca="1" si="1"/>
        <v>表示</v>
      </c>
      <c r="E27" s="1">
        <f ca="1">IFERROR(__xludf.DUMMYFUNCTION("""COMPUTED_VALUE"""),3)</f>
        <v>3</v>
      </c>
      <c r="F27" s="1" t="s">
        <v>248</v>
      </c>
      <c r="G27" s="20" t="s">
        <v>2833</v>
      </c>
      <c r="H27" s="32" t="s">
        <v>2834</v>
      </c>
    </row>
    <row r="28" spans="1:8" ht="13.8" thickBot="1">
      <c r="A28" s="1" t="str">
        <f t="shared" si="0"/>
        <v>va_027</v>
      </c>
      <c r="B28" s="1" t="s">
        <v>250</v>
      </c>
      <c r="C28" s="1" t="s">
        <v>77</v>
      </c>
      <c r="D28" s="1" t="str">
        <f t="shared" ca="1" si="1"/>
        <v>非表示</v>
      </c>
      <c r="E28" s="1">
        <f ca="1">IFERROR(__xludf.DUMMYFUNCTION("""COMPUTED_VALUE"""),2)</f>
        <v>2</v>
      </c>
      <c r="F28" s="1" t="s">
        <v>256</v>
      </c>
      <c r="G28" s="28" t="s">
        <v>2835</v>
      </c>
      <c r="H28" s="19"/>
    </row>
    <row r="29" spans="1:8" ht="13.8" thickBot="1">
      <c r="A29" s="1" t="str">
        <f t="shared" si="0"/>
        <v>va_028</v>
      </c>
      <c r="B29" s="1" t="s">
        <v>260</v>
      </c>
      <c r="C29" s="1" t="s">
        <v>77</v>
      </c>
      <c r="D29" s="1" t="str">
        <f t="shared" ca="1" si="1"/>
        <v>表示</v>
      </c>
      <c r="E29" s="1">
        <f ca="1">IFERROR(__xludf.DUMMYFUNCTION("""COMPUTED_VALUE"""),11)</f>
        <v>11</v>
      </c>
      <c r="F29" s="1" t="s">
        <v>265</v>
      </c>
      <c r="G29" s="19"/>
      <c r="H29" s="19"/>
    </row>
    <row r="30" spans="1:8" ht="53.4" thickBot="1">
      <c r="A30" s="1" t="str">
        <f t="shared" si="0"/>
        <v>va_029</v>
      </c>
      <c r="B30" s="1" t="s">
        <v>268</v>
      </c>
      <c r="C30" s="1" t="s">
        <v>77</v>
      </c>
      <c r="D30" s="1" t="str">
        <f t="shared" ca="1" si="1"/>
        <v>非表示</v>
      </c>
      <c r="E30" s="1">
        <f ca="1">IFERROR(__xludf.DUMMYFUNCTION("""COMPUTED_VALUE"""),1)</f>
        <v>1</v>
      </c>
      <c r="F30" s="1" t="s">
        <v>274</v>
      </c>
      <c r="G30" s="20" t="s">
        <v>2836</v>
      </c>
      <c r="H30" s="19" t="s">
        <v>2837</v>
      </c>
    </row>
    <row r="31" spans="1:8" ht="53.4" thickBot="1">
      <c r="A31" s="1" t="str">
        <f t="shared" si="0"/>
        <v>va_030</v>
      </c>
      <c r="B31" s="1" t="s">
        <v>277</v>
      </c>
      <c r="C31" s="1" t="s">
        <v>77</v>
      </c>
      <c r="D31" s="1" t="str">
        <f t="shared" ca="1" si="1"/>
        <v>表示</v>
      </c>
      <c r="E31" s="1">
        <f ca="1">IFERROR(__xludf.DUMMYFUNCTION("""COMPUTED_VALUE"""),21)</f>
        <v>21</v>
      </c>
      <c r="F31" s="1" t="s">
        <v>282</v>
      </c>
      <c r="G31" s="20" t="s">
        <v>2838</v>
      </c>
      <c r="H31" s="19" t="s">
        <v>2837</v>
      </c>
    </row>
    <row r="32" spans="1:8" ht="13.8" thickBot="1">
      <c r="A32" s="1" t="str">
        <f t="shared" si="0"/>
        <v>va_031</v>
      </c>
      <c r="B32" s="1" t="s">
        <v>284</v>
      </c>
      <c r="C32" s="1" t="s">
        <v>77</v>
      </c>
      <c r="D32" s="1" t="str">
        <f t="shared" ca="1" si="1"/>
        <v>表示</v>
      </c>
      <c r="E32" s="1">
        <f ca="1">IFERROR(__xludf.DUMMYFUNCTION("""COMPUTED_VALUE"""),3)</f>
        <v>3</v>
      </c>
      <c r="F32" s="1" t="s">
        <v>288</v>
      </c>
      <c r="G32" s="19"/>
      <c r="H32" s="19"/>
    </row>
    <row r="33" spans="1:8" ht="42.6" thickBot="1">
      <c r="A33" s="1" t="str">
        <f t="shared" si="0"/>
        <v>va_032</v>
      </c>
      <c r="B33" s="1" t="s">
        <v>289</v>
      </c>
      <c r="C33" s="1" t="s">
        <v>77</v>
      </c>
      <c r="D33" s="1" t="str">
        <f t="shared" ca="1" si="1"/>
        <v>表示</v>
      </c>
      <c r="E33" s="1">
        <f ca="1">IFERROR(__xludf.DUMMYFUNCTION("""COMPUTED_VALUE"""),3)</f>
        <v>3</v>
      </c>
      <c r="F33" s="1" t="s">
        <v>290</v>
      </c>
      <c r="G33" s="20" t="s">
        <v>2839</v>
      </c>
      <c r="H33" s="22" t="s">
        <v>2816</v>
      </c>
    </row>
    <row r="34" spans="1:8" ht="40.200000000000003" thickBot="1">
      <c r="A34" s="1" t="str">
        <f t="shared" si="0"/>
        <v>va_033</v>
      </c>
      <c r="B34" s="1" t="s">
        <v>291</v>
      </c>
      <c r="C34" s="1" t="s">
        <v>77</v>
      </c>
      <c r="D34" s="1" t="str">
        <f t="shared" ca="1" si="1"/>
        <v>表示</v>
      </c>
      <c r="E34" s="1">
        <f ca="1">IFERROR(__xludf.DUMMYFUNCTION("""COMPUTED_VALUE"""),21)</f>
        <v>21</v>
      </c>
      <c r="F34" s="1" t="s">
        <v>292</v>
      </c>
      <c r="G34" s="20" t="s">
        <v>2840</v>
      </c>
      <c r="H34" s="33" t="s">
        <v>2819</v>
      </c>
    </row>
    <row r="35" spans="1:8" ht="49.8" thickBot="1">
      <c r="A35" s="1" t="str">
        <f t="shared" si="0"/>
        <v>va_034</v>
      </c>
      <c r="B35" s="1" t="s">
        <v>293</v>
      </c>
      <c r="C35" s="1" t="s">
        <v>77</v>
      </c>
      <c r="D35" s="1" t="str">
        <f t="shared" ca="1" si="1"/>
        <v>表示</v>
      </c>
      <c r="E35" s="1">
        <f ca="1">IFERROR(__xludf.DUMMYFUNCTION("""COMPUTED_VALUE"""),4)</f>
        <v>4</v>
      </c>
      <c r="F35" s="1" t="s">
        <v>294</v>
      </c>
      <c r="G35" s="20" t="s">
        <v>2841</v>
      </c>
      <c r="H35" s="27" t="s">
        <v>2825</v>
      </c>
    </row>
    <row r="36" spans="1:8" ht="198.6" thickBot="1">
      <c r="A36" s="1" t="str">
        <f t="shared" si="0"/>
        <v>va_035</v>
      </c>
      <c r="B36" s="1" t="s">
        <v>295</v>
      </c>
      <c r="C36" s="1" t="s">
        <v>77</v>
      </c>
      <c r="D36" s="1" t="str">
        <f t="shared" ca="1" si="1"/>
        <v>表示</v>
      </c>
      <c r="E36" s="1">
        <f ca="1">IFERROR(__xludf.DUMMYFUNCTION("""COMPUTED_VALUE"""),20)</f>
        <v>20</v>
      </c>
      <c r="F36" s="1" t="s">
        <v>296</v>
      </c>
      <c r="G36" s="20" t="s">
        <v>2842</v>
      </c>
      <c r="H36" s="29" t="s">
        <v>2813</v>
      </c>
    </row>
    <row r="37" spans="1:8" ht="40.200000000000003" thickBot="1">
      <c r="A37" s="1" t="str">
        <f t="shared" si="0"/>
        <v>va_036</v>
      </c>
      <c r="B37" s="1" t="s">
        <v>297</v>
      </c>
      <c r="C37" s="1" t="s">
        <v>77</v>
      </c>
      <c r="D37" s="1" t="str">
        <f t="shared" ca="1" si="1"/>
        <v>表示</v>
      </c>
      <c r="E37" s="1">
        <f ca="1">IFERROR(__xludf.DUMMYFUNCTION("""COMPUTED_VALUE"""),10)</f>
        <v>10</v>
      </c>
      <c r="F37" s="1" t="s">
        <v>298</v>
      </c>
      <c r="G37" s="20" t="s">
        <v>2843</v>
      </c>
      <c r="H37" s="34" t="s">
        <v>2813</v>
      </c>
    </row>
    <row r="38" spans="1:8" ht="66.599999999999994" thickBot="1">
      <c r="A38" s="1" t="str">
        <f t="shared" si="0"/>
        <v>va_037</v>
      </c>
      <c r="B38" s="1" t="s">
        <v>299</v>
      </c>
      <c r="C38" s="1" t="s">
        <v>77</v>
      </c>
      <c r="D38" s="1" t="str">
        <f t="shared" ca="1" si="1"/>
        <v>表示</v>
      </c>
      <c r="E38" s="1">
        <f ca="1">IFERROR(__xludf.DUMMYFUNCTION("""COMPUTED_VALUE"""),14)</f>
        <v>14</v>
      </c>
      <c r="F38" s="1" t="s">
        <v>300</v>
      </c>
      <c r="G38" s="20" t="s">
        <v>2844</v>
      </c>
      <c r="H38" s="35" t="s">
        <v>2813</v>
      </c>
    </row>
    <row r="39" spans="1:8" ht="66.599999999999994" thickBot="1">
      <c r="A39" s="1" t="str">
        <f t="shared" si="0"/>
        <v>va_038</v>
      </c>
      <c r="B39" s="1" t="s">
        <v>301</v>
      </c>
      <c r="C39" s="1" t="s">
        <v>77</v>
      </c>
      <c r="D39" s="1" t="str">
        <f t="shared" ca="1" si="1"/>
        <v>表示</v>
      </c>
      <c r="E39" s="1">
        <f ca="1">IFERROR(__xludf.DUMMYFUNCTION("""COMPUTED_VALUE"""),6)</f>
        <v>6</v>
      </c>
      <c r="F39" s="1" t="s">
        <v>302</v>
      </c>
      <c r="G39" s="20" t="s">
        <v>2845</v>
      </c>
      <c r="H39" s="35" t="s">
        <v>2813</v>
      </c>
    </row>
    <row r="40" spans="1:8" ht="40.200000000000003" thickBot="1">
      <c r="A40" s="1" t="str">
        <f t="shared" si="0"/>
        <v>va_039</v>
      </c>
      <c r="B40" s="1" t="s">
        <v>303</v>
      </c>
      <c r="C40" s="1" t="s">
        <v>77</v>
      </c>
      <c r="D40" s="1" t="str">
        <f t="shared" ca="1" si="1"/>
        <v>表示</v>
      </c>
      <c r="E40" s="1">
        <f ca="1">IFERROR(__xludf.DUMMYFUNCTION("""COMPUTED_VALUE"""),4)</f>
        <v>4</v>
      </c>
      <c r="F40" s="1" t="s">
        <v>304</v>
      </c>
      <c r="G40" s="20" t="s">
        <v>2846</v>
      </c>
      <c r="H40" s="36" t="s">
        <v>2847</v>
      </c>
    </row>
    <row r="41" spans="1:8" ht="27" thickBot="1">
      <c r="A41" s="1" t="str">
        <f t="shared" si="0"/>
        <v>va_040</v>
      </c>
      <c r="B41" s="1" t="s">
        <v>305</v>
      </c>
      <c r="C41" s="1" t="s">
        <v>77</v>
      </c>
      <c r="D41" s="1" t="str">
        <f t="shared" ca="1" si="1"/>
        <v>非表示</v>
      </c>
      <c r="E41" s="1">
        <f ca="1">IFERROR(__xludf.DUMMYFUNCTION("""COMPUTED_VALUE"""),1)</f>
        <v>1</v>
      </c>
      <c r="F41" s="1" t="s">
        <v>306</v>
      </c>
      <c r="G41" s="20" t="s">
        <v>2848</v>
      </c>
      <c r="H41" s="19" t="s">
        <v>2849</v>
      </c>
    </row>
    <row r="42" spans="1:8" ht="53.4" thickBot="1">
      <c r="A42" s="1" t="str">
        <f t="shared" si="0"/>
        <v>va_041</v>
      </c>
      <c r="B42" s="1" t="s">
        <v>307</v>
      </c>
      <c r="C42" s="1" t="s">
        <v>77</v>
      </c>
      <c r="D42" s="1" t="str">
        <f t="shared" ca="1" si="1"/>
        <v>表示</v>
      </c>
      <c r="E42" s="1">
        <f ca="1">IFERROR(__xludf.DUMMYFUNCTION("""COMPUTED_VALUE"""),7)</f>
        <v>7</v>
      </c>
      <c r="F42" s="1" t="s">
        <v>308</v>
      </c>
      <c r="G42" s="20" t="s">
        <v>2850</v>
      </c>
      <c r="H42" s="19" t="s">
        <v>2819</v>
      </c>
    </row>
    <row r="43" spans="1:8" ht="66.599999999999994" thickBot="1">
      <c r="A43" s="1" t="str">
        <f t="shared" si="0"/>
        <v>va_042</v>
      </c>
      <c r="B43" s="1" t="s">
        <v>309</v>
      </c>
      <c r="C43" s="1" t="s">
        <v>77</v>
      </c>
      <c r="D43" s="1" t="str">
        <f t="shared" ca="1" si="1"/>
        <v>表示</v>
      </c>
      <c r="E43" s="1">
        <f ca="1">IFERROR(__xludf.DUMMYFUNCTION("""COMPUTED_VALUE"""),21)</f>
        <v>21</v>
      </c>
      <c r="F43" s="1" t="s">
        <v>310</v>
      </c>
      <c r="G43" s="20" t="s">
        <v>2851</v>
      </c>
      <c r="H43" s="37" t="s">
        <v>2819</v>
      </c>
    </row>
    <row r="44" spans="1:8" ht="53.4" thickBot="1">
      <c r="A44" s="1" t="str">
        <f t="shared" si="0"/>
        <v>va_043</v>
      </c>
      <c r="B44" s="1" t="s">
        <v>311</v>
      </c>
      <c r="C44" s="1" t="s">
        <v>77</v>
      </c>
      <c r="D44" s="1" t="str">
        <f t="shared" ca="1" si="1"/>
        <v>表示</v>
      </c>
      <c r="E44" s="1">
        <f ca="1">IFERROR(__xludf.DUMMYFUNCTION("""COMPUTED_VALUE"""),9)</f>
        <v>9</v>
      </c>
      <c r="F44" s="1" t="s">
        <v>312</v>
      </c>
      <c r="G44" s="20" t="s">
        <v>2852</v>
      </c>
      <c r="H44" s="38" t="s">
        <v>2813</v>
      </c>
    </row>
    <row r="45" spans="1:8" ht="53.4" thickBot="1">
      <c r="A45" s="1" t="str">
        <f t="shared" si="0"/>
        <v>va_044</v>
      </c>
      <c r="B45" s="1" t="s">
        <v>313</v>
      </c>
      <c r="C45" s="1" t="s">
        <v>77</v>
      </c>
      <c r="D45" s="1" t="str">
        <f t="shared" ca="1" si="1"/>
        <v>表示</v>
      </c>
      <c r="E45" s="1">
        <f ca="1">IFERROR(__xludf.DUMMYFUNCTION("""COMPUTED_VALUE"""),10)</f>
        <v>10</v>
      </c>
      <c r="F45" s="1" t="s">
        <v>314</v>
      </c>
      <c r="G45" s="20" t="s">
        <v>2853</v>
      </c>
      <c r="H45" s="39" t="s">
        <v>2854</v>
      </c>
    </row>
    <row r="46" spans="1:8" ht="53.4" thickBot="1">
      <c r="A46" s="1" t="str">
        <f t="shared" si="0"/>
        <v>va_045</v>
      </c>
      <c r="B46" s="1" t="s">
        <v>315</v>
      </c>
      <c r="C46" s="1" t="s">
        <v>77</v>
      </c>
      <c r="D46" s="1" t="str">
        <f t="shared" ca="1" si="1"/>
        <v>表示</v>
      </c>
      <c r="E46" s="1">
        <f ca="1">IFERROR(__xludf.DUMMYFUNCTION("""COMPUTED_VALUE"""),14)</f>
        <v>14</v>
      </c>
      <c r="F46" s="1" t="s">
        <v>316</v>
      </c>
      <c r="G46" s="20" t="s">
        <v>2855</v>
      </c>
      <c r="H46" s="40" t="s">
        <v>2825</v>
      </c>
    </row>
    <row r="47" spans="1:8" ht="27" thickBot="1">
      <c r="A47" s="1" t="str">
        <f t="shared" si="0"/>
        <v>va_046</v>
      </c>
      <c r="B47" s="1" t="s">
        <v>317</v>
      </c>
      <c r="C47" s="1" t="s">
        <v>77</v>
      </c>
      <c r="D47" s="1" t="str">
        <f t="shared" ca="1" si="1"/>
        <v>表示</v>
      </c>
      <c r="E47" s="1">
        <f ca="1">IFERROR(__xludf.DUMMYFUNCTION("""COMPUTED_VALUE"""),20)</f>
        <v>20</v>
      </c>
      <c r="F47" s="1" t="s">
        <v>318</v>
      </c>
      <c r="G47" s="20" t="s">
        <v>2856</v>
      </c>
      <c r="H47" s="19" t="s">
        <v>2819</v>
      </c>
    </row>
    <row r="48" spans="1:8" ht="119.4" thickBot="1">
      <c r="A48" s="1" t="str">
        <f t="shared" si="0"/>
        <v>va_047</v>
      </c>
      <c r="B48" s="1" t="s">
        <v>319</v>
      </c>
      <c r="C48" s="1" t="s">
        <v>77</v>
      </c>
      <c r="D48" s="1" t="str">
        <f t="shared" ca="1" si="1"/>
        <v>非表示</v>
      </c>
      <c r="E48" s="1">
        <f ca="1">IFERROR(__xludf.DUMMYFUNCTION("""COMPUTED_VALUE"""),2)</f>
        <v>2</v>
      </c>
      <c r="F48" s="1" t="s">
        <v>320</v>
      </c>
      <c r="G48" s="20" t="s">
        <v>2857</v>
      </c>
      <c r="H48" s="19" t="s">
        <v>2858</v>
      </c>
    </row>
    <row r="49" spans="1:8" ht="13.8" thickBot="1">
      <c r="A49" s="1" t="str">
        <f t="shared" si="0"/>
        <v>va_048</v>
      </c>
      <c r="B49" s="1" t="s">
        <v>321</v>
      </c>
      <c r="C49" s="1" t="s">
        <v>77</v>
      </c>
      <c r="D49" s="1" t="str">
        <f t="shared" ca="1" si="1"/>
        <v>表示</v>
      </c>
      <c r="E49" s="1">
        <f ca="1">IFERROR(__xludf.DUMMYFUNCTION("""COMPUTED_VALUE"""),23)</f>
        <v>23</v>
      </c>
      <c r="F49" s="1" t="s">
        <v>322</v>
      </c>
      <c r="G49" s="19"/>
      <c r="H49" s="19"/>
    </row>
    <row r="50" spans="1:8" ht="13.8" thickBot="1">
      <c r="A50" s="1" t="str">
        <f t="shared" si="0"/>
        <v>va_049</v>
      </c>
      <c r="B50" s="1" t="s">
        <v>323</v>
      </c>
      <c r="C50" s="1" t="s">
        <v>41</v>
      </c>
      <c r="D50" s="1" t="str">
        <f t="shared" ca="1" si="1"/>
        <v>表示</v>
      </c>
      <c r="E50" s="1">
        <f ca="1">IFERROR(__xludf.DUMMYFUNCTION("""COMPUTED_VALUE"""),6)</f>
        <v>6</v>
      </c>
      <c r="G50" s="19"/>
      <c r="H50" s="19"/>
    </row>
    <row r="51" spans="1:8" ht="79.8" thickBot="1">
      <c r="A51" s="1" t="str">
        <f t="shared" si="0"/>
        <v>va_050</v>
      </c>
      <c r="B51" s="1" t="s">
        <v>324</v>
      </c>
      <c r="C51" s="1" t="s">
        <v>77</v>
      </c>
      <c r="D51" s="1" t="str">
        <f t="shared" ca="1" si="1"/>
        <v>表示</v>
      </c>
      <c r="E51" s="1">
        <f ca="1">IFERROR(__xludf.DUMMYFUNCTION("""COMPUTED_VALUE"""),8)</f>
        <v>8</v>
      </c>
      <c r="F51" s="1" t="s">
        <v>325</v>
      </c>
      <c r="G51" s="20" t="s">
        <v>2859</v>
      </c>
      <c r="H51" s="19" t="s">
        <v>2819</v>
      </c>
    </row>
    <row r="52" spans="1:8" ht="53.4" thickBot="1">
      <c r="A52" s="1" t="str">
        <f t="shared" si="0"/>
        <v>va_051</v>
      </c>
      <c r="B52" s="1" t="s">
        <v>326</v>
      </c>
      <c r="C52" s="1" t="s">
        <v>77</v>
      </c>
      <c r="D52" s="1" t="str">
        <f t="shared" ca="1" si="1"/>
        <v>表示</v>
      </c>
      <c r="E52" s="1">
        <f ca="1">IFERROR(__xludf.DUMMYFUNCTION("""COMPUTED_VALUE"""),17)</f>
        <v>17</v>
      </c>
      <c r="F52" s="1" t="s">
        <v>327</v>
      </c>
      <c r="G52" s="20" t="s">
        <v>2860</v>
      </c>
      <c r="H52" s="41" t="s">
        <v>2825</v>
      </c>
    </row>
    <row r="53" spans="1:8" ht="40.200000000000003" thickBot="1">
      <c r="A53" s="1" t="str">
        <f t="shared" si="0"/>
        <v>va_052</v>
      </c>
      <c r="B53" s="1" t="s">
        <v>328</v>
      </c>
      <c r="C53" s="1" t="s">
        <v>77</v>
      </c>
      <c r="D53" s="1" t="str">
        <f t="shared" ca="1" si="1"/>
        <v>非表示</v>
      </c>
      <c r="E53" s="1">
        <f ca="1">IFERROR(__xludf.DUMMYFUNCTION("""COMPUTED_VALUE"""),1)</f>
        <v>1</v>
      </c>
      <c r="F53" s="1" t="s">
        <v>329</v>
      </c>
      <c r="G53" s="20" t="s">
        <v>2861</v>
      </c>
      <c r="H53" s="42" t="s">
        <v>2819</v>
      </c>
    </row>
    <row r="54" spans="1:8" ht="53.4" thickBot="1">
      <c r="A54" s="1" t="str">
        <f t="shared" si="0"/>
        <v>va_053</v>
      </c>
      <c r="B54" s="1" t="s">
        <v>330</v>
      </c>
      <c r="C54" s="1" t="s">
        <v>77</v>
      </c>
      <c r="D54" s="1" t="str">
        <f t="shared" ca="1" si="1"/>
        <v>表示</v>
      </c>
      <c r="E54" s="1">
        <f ca="1">IFERROR(__xludf.DUMMYFUNCTION("""COMPUTED_VALUE"""),14)</f>
        <v>14</v>
      </c>
      <c r="F54" s="1" t="s">
        <v>331</v>
      </c>
      <c r="G54" s="20" t="s">
        <v>2862</v>
      </c>
      <c r="H54" s="24" t="s">
        <v>2819</v>
      </c>
    </row>
    <row r="55" spans="1:8" ht="53.4" thickBot="1">
      <c r="A55" s="1" t="str">
        <f t="shared" si="0"/>
        <v>va_054</v>
      </c>
      <c r="B55" s="1" t="s">
        <v>332</v>
      </c>
      <c r="C55" s="1" t="s">
        <v>77</v>
      </c>
      <c r="D55" s="1" t="str">
        <f t="shared" ca="1" si="1"/>
        <v>非表示</v>
      </c>
      <c r="E55" s="1">
        <f ca="1">IFERROR(__xludf.DUMMYFUNCTION("""COMPUTED_VALUE"""),1)</f>
        <v>1</v>
      </c>
      <c r="F55" s="1" t="s">
        <v>333</v>
      </c>
      <c r="G55" s="20" t="s">
        <v>2863</v>
      </c>
      <c r="H55" s="21" t="s">
        <v>2813</v>
      </c>
    </row>
    <row r="56" spans="1:8" ht="13.8" thickBot="1">
      <c r="A56" s="1" t="str">
        <f t="shared" si="0"/>
        <v>va_055</v>
      </c>
      <c r="B56" s="1" t="s">
        <v>334</v>
      </c>
      <c r="C56" s="1" t="s">
        <v>77</v>
      </c>
      <c r="D56" s="1" t="str">
        <f t="shared" ca="1" si="1"/>
        <v>表示</v>
      </c>
      <c r="E56" s="1">
        <f ca="1">IFERROR(__xludf.DUMMYFUNCTION("""COMPUTED_VALUE"""),3)</f>
        <v>3</v>
      </c>
      <c r="F56" s="1" t="s">
        <v>335</v>
      </c>
      <c r="G56" s="19"/>
      <c r="H56" s="19"/>
    </row>
    <row r="57" spans="1:8" ht="53.4" thickBot="1">
      <c r="A57" s="1" t="str">
        <f t="shared" si="0"/>
        <v>va_056</v>
      </c>
      <c r="B57" s="1" t="s">
        <v>336</v>
      </c>
      <c r="C57" s="1" t="s">
        <v>77</v>
      </c>
      <c r="D57" s="1" t="str">
        <f t="shared" ca="1" si="1"/>
        <v>表示</v>
      </c>
      <c r="E57" s="1">
        <f ca="1">IFERROR(__xludf.DUMMYFUNCTION("""COMPUTED_VALUE"""),3)</f>
        <v>3</v>
      </c>
      <c r="F57" s="1" t="s">
        <v>337</v>
      </c>
      <c r="G57" s="20" t="s">
        <v>2864</v>
      </c>
      <c r="H57" s="24" t="s">
        <v>2819</v>
      </c>
    </row>
    <row r="58" spans="1:8" ht="53.4" thickBot="1">
      <c r="A58" s="1" t="str">
        <f t="shared" si="0"/>
        <v>va_057</v>
      </c>
      <c r="B58" s="1" t="s">
        <v>338</v>
      </c>
      <c r="C58" s="1" t="s">
        <v>77</v>
      </c>
      <c r="D58" s="1" t="str">
        <f t="shared" ca="1" si="1"/>
        <v>非表示</v>
      </c>
      <c r="E58" s="1">
        <f ca="1">IFERROR(__xludf.DUMMYFUNCTION("""COMPUTED_VALUE"""),2)</f>
        <v>2</v>
      </c>
      <c r="F58" s="1" t="s">
        <v>339</v>
      </c>
      <c r="G58" s="20" t="s">
        <v>2865</v>
      </c>
      <c r="H58" s="21" t="s">
        <v>2813</v>
      </c>
    </row>
    <row r="59" spans="1:8" ht="13.8" thickBot="1">
      <c r="A59" s="1" t="str">
        <f t="shared" si="0"/>
        <v>va_058</v>
      </c>
      <c r="B59" s="1" t="s">
        <v>340</v>
      </c>
      <c r="C59" s="1" t="s">
        <v>77</v>
      </c>
      <c r="D59" s="1" t="str">
        <f t="shared" ca="1" si="1"/>
        <v>表示</v>
      </c>
      <c r="E59" s="1">
        <f ca="1">IFERROR(__xludf.DUMMYFUNCTION("""COMPUTED_VALUE"""),13)</f>
        <v>13</v>
      </c>
      <c r="F59" s="1" t="s">
        <v>341</v>
      </c>
      <c r="G59" s="28" t="s">
        <v>2866</v>
      </c>
      <c r="H59" s="19"/>
    </row>
    <row r="60" spans="1:8" ht="53.4" thickBot="1">
      <c r="A60" s="1" t="str">
        <f t="shared" si="0"/>
        <v>va_059</v>
      </c>
      <c r="B60" s="1" t="s">
        <v>342</v>
      </c>
      <c r="C60" s="1" t="s">
        <v>77</v>
      </c>
      <c r="D60" s="1" t="str">
        <f t="shared" ca="1" si="1"/>
        <v>非表示</v>
      </c>
      <c r="E60" s="1">
        <f ca="1">IFERROR(__xludf.DUMMYFUNCTION("""COMPUTED_VALUE"""),1)</f>
        <v>1</v>
      </c>
      <c r="F60" s="1" t="s">
        <v>343</v>
      </c>
      <c r="G60" s="20" t="s">
        <v>2867</v>
      </c>
      <c r="H60" s="43" t="s">
        <v>2825</v>
      </c>
    </row>
    <row r="61" spans="1:8" ht="211.8" thickBot="1">
      <c r="A61" s="1" t="str">
        <f t="shared" si="0"/>
        <v>va_060</v>
      </c>
      <c r="B61" s="1" t="s">
        <v>344</v>
      </c>
      <c r="C61" s="1" t="s">
        <v>77</v>
      </c>
      <c r="D61" s="1" t="str">
        <f t="shared" ca="1" si="1"/>
        <v>表示</v>
      </c>
      <c r="E61" s="1">
        <f ca="1">IFERROR(__xludf.DUMMYFUNCTION("""COMPUTED_VALUE"""),7)</f>
        <v>7</v>
      </c>
      <c r="F61" s="1" t="s">
        <v>345</v>
      </c>
      <c r="G61" s="20" t="s">
        <v>2868</v>
      </c>
      <c r="H61" s="29" t="s">
        <v>2813</v>
      </c>
    </row>
    <row r="62" spans="1:8" ht="13.8" thickBot="1">
      <c r="A62" s="1" t="str">
        <f t="shared" si="0"/>
        <v>va_061</v>
      </c>
      <c r="B62" s="1" t="s">
        <v>346</v>
      </c>
      <c r="C62" s="1" t="s">
        <v>41</v>
      </c>
      <c r="D62" s="1" t="str">
        <f t="shared" ca="1" si="1"/>
        <v>非表示</v>
      </c>
      <c r="E62" s="1">
        <f ca="1">IFERROR(__xludf.DUMMYFUNCTION("""COMPUTED_VALUE"""),1)</f>
        <v>1</v>
      </c>
      <c r="G62" s="19"/>
      <c r="H62" s="19"/>
    </row>
    <row r="63" spans="1:8" ht="13.8" thickBot="1">
      <c r="A63" s="1" t="str">
        <f t="shared" si="0"/>
        <v>va_062</v>
      </c>
      <c r="B63" s="1" t="s">
        <v>347</v>
      </c>
      <c r="C63" s="1" t="s">
        <v>41</v>
      </c>
      <c r="D63" s="1" t="str">
        <f t="shared" ca="1" si="1"/>
        <v>非表示</v>
      </c>
      <c r="E63" s="1">
        <f ca="1">IFERROR(__xludf.DUMMYFUNCTION("""COMPUTED_VALUE"""),2)</f>
        <v>2</v>
      </c>
      <c r="G63" s="19"/>
      <c r="H63" s="19"/>
    </row>
    <row r="64" spans="1:8" ht="13.8" thickBot="1">
      <c r="A64" s="1" t="str">
        <f t="shared" si="0"/>
        <v>va_063</v>
      </c>
      <c r="B64" s="1" t="s">
        <v>348</v>
      </c>
      <c r="C64" s="1" t="s">
        <v>77</v>
      </c>
      <c r="D64" s="1" t="str">
        <f t="shared" ca="1" si="1"/>
        <v>表示</v>
      </c>
      <c r="E64" s="1">
        <f ca="1">IFERROR(__xludf.DUMMYFUNCTION("""COMPUTED_VALUE"""),5)</f>
        <v>5</v>
      </c>
      <c r="F64" s="1" t="s">
        <v>349</v>
      </c>
      <c r="G64" s="28" t="s">
        <v>2869</v>
      </c>
      <c r="H64" s="19"/>
    </row>
    <row r="65" spans="1:8" ht="13.8" thickBot="1">
      <c r="A65" s="1" t="str">
        <f t="shared" si="0"/>
        <v>va_064</v>
      </c>
      <c r="B65" s="1" t="s">
        <v>350</v>
      </c>
      <c r="C65" s="1" t="s">
        <v>77</v>
      </c>
      <c r="D65" s="1" t="str">
        <f t="shared" ca="1" si="1"/>
        <v>表示</v>
      </c>
      <c r="E65" s="1">
        <f ca="1">IFERROR(__xludf.DUMMYFUNCTION("""COMPUTED_VALUE"""),4)</f>
        <v>4</v>
      </c>
      <c r="F65" s="1" t="s">
        <v>351</v>
      </c>
      <c r="G65" s="19"/>
      <c r="H65" s="19"/>
    </row>
    <row r="66" spans="1:8" ht="42.6" thickBot="1">
      <c r="A66" s="1" t="str">
        <f t="shared" si="0"/>
        <v>va_065</v>
      </c>
      <c r="B66" s="1" t="s">
        <v>352</v>
      </c>
      <c r="C66" s="1" t="s">
        <v>77</v>
      </c>
      <c r="D66" s="1" t="str">
        <f t="shared" ca="1" si="1"/>
        <v>非表示</v>
      </c>
      <c r="E66" s="1">
        <f ca="1">IFERROR(__xludf.DUMMYFUNCTION("""COMPUTED_VALUE"""),2)</f>
        <v>2</v>
      </c>
      <c r="F66" s="1" t="s">
        <v>353</v>
      </c>
      <c r="G66" s="20" t="s">
        <v>2870</v>
      </c>
      <c r="H66" s="22" t="s">
        <v>2816</v>
      </c>
    </row>
    <row r="67" spans="1:8" ht="13.8" thickBot="1">
      <c r="A67" s="1" t="str">
        <f t="shared" si="0"/>
        <v>va_066</v>
      </c>
      <c r="B67" s="1" t="s">
        <v>354</v>
      </c>
      <c r="C67" s="1" t="s">
        <v>77</v>
      </c>
      <c r="D67" s="1" t="str">
        <f t="shared" ca="1" si="1"/>
        <v>表示</v>
      </c>
      <c r="E67" s="1">
        <f ca="1">IFERROR(__xludf.DUMMYFUNCTION("""COMPUTED_VALUE"""),19)</f>
        <v>19</v>
      </c>
      <c r="F67" s="1" t="s">
        <v>355</v>
      </c>
      <c r="G67" s="19"/>
      <c r="H67" s="19"/>
    </row>
    <row r="68" spans="1:8" ht="40.200000000000003" thickBot="1">
      <c r="A68" s="1" t="str">
        <f t="shared" si="0"/>
        <v>va_067</v>
      </c>
      <c r="B68" s="1" t="s">
        <v>356</v>
      </c>
      <c r="C68" s="1" t="s">
        <v>77</v>
      </c>
      <c r="D68" s="1" t="str">
        <f t="shared" ca="1" si="1"/>
        <v>表示</v>
      </c>
      <c r="E68" s="1">
        <f ca="1">IFERROR(__xludf.DUMMYFUNCTION("""COMPUTED_VALUE"""),3)</f>
        <v>3</v>
      </c>
      <c r="F68" s="1" t="s">
        <v>357</v>
      </c>
      <c r="G68" s="20" t="s">
        <v>2871</v>
      </c>
      <c r="H68" s="36" t="s">
        <v>2872</v>
      </c>
    </row>
    <row r="69" spans="1:8" ht="40.200000000000003" thickBot="1">
      <c r="A69" s="1" t="str">
        <f t="shared" si="0"/>
        <v>va_068</v>
      </c>
      <c r="B69" s="1" t="s">
        <v>358</v>
      </c>
      <c r="C69" s="1" t="s">
        <v>77</v>
      </c>
      <c r="D69" s="1" t="str">
        <f t="shared" ca="1" si="1"/>
        <v>非表示</v>
      </c>
      <c r="E69" s="1">
        <f ca="1">IFERROR(__xludf.DUMMYFUNCTION("""COMPUTED_VALUE"""),1)</f>
        <v>1</v>
      </c>
      <c r="F69" s="1" t="s">
        <v>359</v>
      </c>
      <c r="G69" s="20" t="s">
        <v>2873</v>
      </c>
      <c r="H69" s="44" t="s">
        <v>2825</v>
      </c>
    </row>
    <row r="70" spans="1:8" ht="53.4" thickBot="1">
      <c r="A70" s="1" t="str">
        <f t="shared" si="0"/>
        <v>va_069</v>
      </c>
      <c r="B70" s="1" t="s">
        <v>360</v>
      </c>
      <c r="C70" s="1" t="s">
        <v>77</v>
      </c>
      <c r="D70" s="1" t="str">
        <f t="shared" ca="1" si="1"/>
        <v>表示</v>
      </c>
      <c r="E70" s="1">
        <f ca="1">IFERROR(__xludf.DUMMYFUNCTION("""COMPUTED_VALUE"""),10)</f>
        <v>10</v>
      </c>
      <c r="F70" s="1" t="s">
        <v>361</v>
      </c>
      <c r="G70" s="20" t="s">
        <v>2874</v>
      </c>
      <c r="H70" s="24" t="s">
        <v>2819</v>
      </c>
    </row>
    <row r="71" spans="1:8" ht="53.4" thickBot="1">
      <c r="A71" s="1" t="str">
        <f t="shared" si="0"/>
        <v>va_070</v>
      </c>
      <c r="B71" s="1" t="s">
        <v>362</v>
      </c>
      <c r="C71" s="1" t="s">
        <v>77</v>
      </c>
      <c r="D71" s="1" t="str">
        <f t="shared" ca="1" si="1"/>
        <v>非表示</v>
      </c>
      <c r="E71" s="1">
        <f ca="1">IFERROR(__xludf.DUMMYFUNCTION("""COMPUTED_VALUE"""),2)</f>
        <v>2</v>
      </c>
      <c r="F71" s="1" t="s">
        <v>363</v>
      </c>
      <c r="G71" s="20" t="s">
        <v>2875</v>
      </c>
      <c r="H71" s="21" t="s">
        <v>2813</v>
      </c>
    </row>
    <row r="72" spans="1:8" ht="66.599999999999994" thickBot="1">
      <c r="A72" s="1" t="str">
        <f t="shared" si="0"/>
        <v>va_071</v>
      </c>
      <c r="B72" s="1" t="s">
        <v>364</v>
      </c>
      <c r="C72" s="1" t="s">
        <v>77</v>
      </c>
      <c r="D72" s="1" t="str">
        <f t="shared" ca="1" si="1"/>
        <v>表示</v>
      </c>
      <c r="E72" s="1">
        <f ca="1">IFERROR(__xludf.DUMMYFUNCTION("""COMPUTED_VALUE"""),3)</f>
        <v>3</v>
      </c>
      <c r="F72" s="1" t="s">
        <v>365</v>
      </c>
      <c r="G72" s="20" t="s">
        <v>2876</v>
      </c>
      <c r="H72" s="45" t="s">
        <v>2813</v>
      </c>
    </row>
    <row r="73" spans="1:8" ht="53.4" thickBot="1">
      <c r="A73" s="1" t="str">
        <f t="shared" si="0"/>
        <v>va_072</v>
      </c>
      <c r="B73" s="1" t="s">
        <v>366</v>
      </c>
      <c r="C73" s="1" t="s">
        <v>77</v>
      </c>
      <c r="D73" s="1" t="str">
        <f t="shared" ca="1" si="1"/>
        <v>表示</v>
      </c>
      <c r="E73" s="1">
        <f ca="1">IFERROR(__xludf.DUMMYFUNCTION("""COMPUTED_VALUE"""),12)</f>
        <v>12</v>
      </c>
      <c r="F73" s="1" t="s">
        <v>367</v>
      </c>
      <c r="G73" s="20" t="s">
        <v>2877</v>
      </c>
      <c r="H73" s="46" t="s">
        <v>2819</v>
      </c>
    </row>
    <row r="74" spans="1:8" ht="55.8" thickBot="1">
      <c r="A74" s="1" t="str">
        <f t="shared" si="0"/>
        <v>va_073</v>
      </c>
      <c r="B74" s="1" t="s">
        <v>368</v>
      </c>
      <c r="C74" s="1" t="s">
        <v>77</v>
      </c>
      <c r="D74" s="1" t="str">
        <f t="shared" ca="1" si="1"/>
        <v>表示</v>
      </c>
      <c r="E74" s="1">
        <f ca="1">IFERROR(__xludf.DUMMYFUNCTION("""COMPUTED_VALUE"""),4)</f>
        <v>4</v>
      </c>
      <c r="F74" s="1" t="s">
        <v>369</v>
      </c>
      <c r="G74" s="20" t="s">
        <v>2878</v>
      </c>
      <c r="H74" s="32" t="s">
        <v>2832</v>
      </c>
    </row>
    <row r="75" spans="1:8" ht="40.200000000000003" thickBot="1">
      <c r="A75" s="1" t="str">
        <f t="shared" si="0"/>
        <v>va_074</v>
      </c>
      <c r="B75" s="1" t="s">
        <v>370</v>
      </c>
      <c r="C75" s="1" t="s">
        <v>77</v>
      </c>
      <c r="D75" s="1" t="str">
        <f t="shared" ca="1" si="1"/>
        <v>非表示</v>
      </c>
      <c r="E75" s="1">
        <f ca="1">IFERROR(__xludf.DUMMYFUNCTION("""COMPUTED_VALUE"""),2)</f>
        <v>2</v>
      </c>
      <c r="F75" s="1" t="s">
        <v>371</v>
      </c>
      <c r="G75" s="20" t="s">
        <v>2879</v>
      </c>
      <c r="H75" s="47" t="s">
        <v>2825</v>
      </c>
    </row>
    <row r="76" spans="1:8" ht="55.8" thickBot="1">
      <c r="A76" s="1" t="str">
        <f t="shared" si="0"/>
        <v>va_075</v>
      </c>
      <c r="B76" s="1" t="s">
        <v>372</v>
      </c>
      <c r="C76" s="1" t="s">
        <v>77</v>
      </c>
      <c r="D76" s="1" t="str">
        <f t="shared" ca="1" si="1"/>
        <v>表示</v>
      </c>
      <c r="E76" s="1">
        <f ca="1">IFERROR(__xludf.DUMMYFUNCTION("""COMPUTED_VALUE"""),21)</f>
        <v>21</v>
      </c>
      <c r="F76" s="1" t="s">
        <v>373</v>
      </c>
      <c r="G76" s="20" t="s">
        <v>2880</v>
      </c>
      <c r="H76" s="48" t="s">
        <v>2881</v>
      </c>
    </row>
    <row r="77" spans="1:8" ht="42.6" thickBot="1">
      <c r="A77" s="1" t="str">
        <f t="shared" si="0"/>
        <v>va_076</v>
      </c>
      <c r="B77" s="1" t="s">
        <v>375</v>
      </c>
      <c r="C77" s="1" t="s">
        <v>77</v>
      </c>
      <c r="D77" s="1" t="str">
        <f t="shared" ca="1" si="1"/>
        <v>表示</v>
      </c>
      <c r="E77" s="1">
        <f ca="1">IFERROR(__xludf.DUMMYFUNCTION("""COMPUTED_VALUE"""),11)</f>
        <v>11</v>
      </c>
      <c r="F77" s="1" t="s">
        <v>376</v>
      </c>
      <c r="G77" s="20" t="s">
        <v>2882</v>
      </c>
      <c r="H77" s="22" t="s">
        <v>2816</v>
      </c>
    </row>
    <row r="78" spans="1:8" ht="185.4" thickBot="1">
      <c r="A78" s="1" t="str">
        <f t="shared" si="0"/>
        <v>va_077</v>
      </c>
      <c r="B78" s="1" t="s">
        <v>377</v>
      </c>
      <c r="C78" s="1" t="s">
        <v>77</v>
      </c>
      <c r="D78" s="1" t="str">
        <f t="shared" ca="1" si="1"/>
        <v>表示</v>
      </c>
      <c r="E78" s="1">
        <f ca="1">IFERROR(__xludf.DUMMYFUNCTION("""COMPUTED_VALUE"""),6)</f>
        <v>6</v>
      </c>
      <c r="F78" s="1" t="s">
        <v>378</v>
      </c>
      <c r="G78" s="20" t="s">
        <v>2883</v>
      </c>
      <c r="H78" s="45" t="s">
        <v>2813</v>
      </c>
    </row>
    <row r="79" spans="1:8" ht="42.6" thickBot="1">
      <c r="A79" s="1" t="str">
        <f t="shared" si="0"/>
        <v>va_078</v>
      </c>
      <c r="B79" s="1" t="s">
        <v>379</v>
      </c>
      <c r="C79" s="1" t="s">
        <v>77</v>
      </c>
      <c r="D79" s="1" t="str">
        <f t="shared" ca="1" si="1"/>
        <v>表示</v>
      </c>
      <c r="E79" s="1">
        <f ca="1">IFERROR(__xludf.DUMMYFUNCTION("""COMPUTED_VALUE"""),14)</f>
        <v>14</v>
      </c>
      <c r="F79" s="1" t="s">
        <v>380</v>
      </c>
      <c r="G79" s="20" t="s">
        <v>2884</v>
      </c>
      <c r="H79" s="22" t="s">
        <v>2816</v>
      </c>
    </row>
    <row r="80" spans="1:8" ht="13.8" thickBot="1">
      <c r="A80" s="1" t="str">
        <f t="shared" si="0"/>
        <v>va_079</v>
      </c>
      <c r="B80" s="1" t="s">
        <v>381</v>
      </c>
      <c r="C80" s="1" t="s">
        <v>41</v>
      </c>
      <c r="D80" s="1" t="str">
        <f t="shared" ca="1" si="1"/>
        <v>非表示</v>
      </c>
      <c r="E80" s="1">
        <f ca="1">IFERROR(__xludf.DUMMYFUNCTION("""COMPUTED_VALUE"""),1)</f>
        <v>1</v>
      </c>
      <c r="G80" s="19"/>
      <c r="H80" s="19"/>
    </row>
    <row r="81" spans="1:8" ht="53.4" thickBot="1">
      <c r="A81" s="1" t="str">
        <f t="shared" si="0"/>
        <v>va_080</v>
      </c>
      <c r="B81" s="1" t="s">
        <v>382</v>
      </c>
      <c r="C81" s="1" t="s">
        <v>77</v>
      </c>
      <c r="D81" s="1" t="str">
        <f t="shared" ca="1" si="1"/>
        <v>表示</v>
      </c>
      <c r="E81" s="1">
        <f ca="1">IFERROR(__xludf.DUMMYFUNCTION("""COMPUTED_VALUE"""),9)</f>
        <v>9</v>
      </c>
      <c r="F81" s="1" t="s">
        <v>383</v>
      </c>
      <c r="G81" s="20" t="s">
        <v>2885</v>
      </c>
      <c r="H81" s="49" t="s">
        <v>2819</v>
      </c>
    </row>
    <row r="82" spans="1:8" ht="40.200000000000003" thickBot="1">
      <c r="A82" s="1" t="str">
        <f t="shared" si="0"/>
        <v>va_081</v>
      </c>
      <c r="B82" s="1" t="s">
        <v>384</v>
      </c>
      <c r="C82" s="1" t="s">
        <v>77</v>
      </c>
      <c r="D82" s="1" t="str">
        <f t="shared" ca="1" si="1"/>
        <v>表示</v>
      </c>
      <c r="E82" s="1">
        <f ca="1">IFERROR(__xludf.DUMMYFUNCTION("""COMPUTED_VALUE"""),14)</f>
        <v>14</v>
      </c>
      <c r="F82" s="1" t="s">
        <v>385</v>
      </c>
      <c r="G82" s="20" t="s">
        <v>2886</v>
      </c>
      <c r="H82" s="47" t="s">
        <v>2825</v>
      </c>
    </row>
    <row r="83" spans="1:8" ht="66.599999999999994" thickBot="1">
      <c r="A83" s="1" t="str">
        <f t="shared" si="0"/>
        <v>va_082</v>
      </c>
      <c r="B83" s="1" t="s">
        <v>386</v>
      </c>
      <c r="C83" s="1" t="s">
        <v>77</v>
      </c>
      <c r="D83" s="1" t="str">
        <f t="shared" ca="1" si="1"/>
        <v>表示</v>
      </c>
      <c r="E83" s="1">
        <f ca="1">IFERROR(__xludf.DUMMYFUNCTION("""COMPUTED_VALUE"""),3)</f>
        <v>3</v>
      </c>
      <c r="F83" s="1" t="s">
        <v>387</v>
      </c>
      <c r="G83" s="20" t="s">
        <v>2887</v>
      </c>
      <c r="H83" s="50" t="s">
        <v>2813</v>
      </c>
    </row>
    <row r="84" spans="1:8" ht="198.6" thickBot="1">
      <c r="A84" s="1" t="str">
        <f t="shared" si="0"/>
        <v>va_083</v>
      </c>
      <c r="B84" s="1" t="s">
        <v>388</v>
      </c>
      <c r="C84" s="1" t="s">
        <v>77</v>
      </c>
      <c r="D84" s="1" t="str">
        <f t="shared" ca="1" si="1"/>
        <v>表示</v>
      </c>
      <c r="E84" s="1">
        <f ca="1">IFERROR(__xludf.DUMMYFUNCTION("""COMPUTED_VALUE"""),27)</f>
        <v>27</v>
      </c>
      <c r="F84" s="1" t="s">
        <v>390</v>
      </c>
      <c r="G84" s="20" t="s">
        <v>2888</v>
      </c>
      <c r="H84" s="45" t="s">
        <v>2813</v>
      </c>
    </row>
    <row r="85" spans="1:8" ht="53.4" thickBot="1">
      <c r="A85" s="1" t="str">
        <f t="shared" si="0"/>
        <v>va_084</v>
      </c>
      <c r="B85" s="1" t="s">
        <v>391</v>
      </c>
      <c r="C85" s="1" t="s">
        <v>77</v>
      </c>
      <c r="D85" s="1" t="str">
        <f t="shared" ca="1" si="1"/>
        <v>非表示</v>
      </c>
      <c r="E85" s="1">
        <f ca="1">IFERROR(__xludf.DUMMYFUNCTION("""COMPUTED_VALUE"""),1)</f>
        <v>1</v>
      </c>
      <c r="F85" s="1" t="s">
        <v>392</v>
      </c>
      <c r="G85" s="20" t="s">
        <v>2889</v>
      </c>
      <c r="H85" s="40" t="s">
        <v>2825</v>
      </c>
    </row>
    <row r="86" spans="1:8" ht="40.200000000000003" thickBot="1">
      <c r="A86" s="1" t="str">
        <f t="shared" si="0"/>
        <v>va_085</v>
      </c>
      <c r="B86" s="1" t="s">
        <v>393</v>
      </c>
      <c r="C86" s="1" t="s">
        <v>77</v>
      </c>
      <c r="D86" s="1" t="str">
        <f t="shared" ca="1" si="1"/>
        <v>表示</v>
      </c>
      <c r="E86" s="1">
        <f ca="1">IFERROR(__xludf.DUMMYFUNCTION("""COMPUTED_VALUE"""),3)</f>
        <v>3</v>
      </c>
      <c r="F86" s="1" t="s">
        <v>394</v>
      </c>
      <c r="G86" s="20" t="s">
        <v>2890</v>
      </c>
      <c r="H86" s="46" t="s">
        <v>2819</v>
      </c>
    </row>
    <row r="87" spans="1:8" ht="53.4" thickBot="1">
      <c r="A87" s="1" t="str">
        <f t="shared" si="0"/>
        <v>va_086</v>
      </c>
      <c r="B87" s="1" t="s">
        <v>395</v>
      </c>
      <c r="C87" s="1" t="s">
        <v>77</v>
      </c>
      <c r="D87" s="1" t="str">
        <f t="shared" ca="1" si="1"/>
        <v>表示</v>
      </c>
      <c r="E87" s="1">
        <f ca="1">IFERROR(__xludf.DUMMYFUNCTION("""COMPUTED_VALUE"""),6)</f>
        <v>6</v>
      </c>
      <c r="F87" s="1" t="s">
        <v>396</v>
      </c>
      <c r="G87" s="20" t="s">
        <v>2891</v>
      </c>
      <c r="H87" s="38" t="s">
        <v>2813</v>
      </c>
    </row>
    <row r="88" spans="1:8" ht="198.6" thickBot="1">
      <c r="A88" s="1" t="str">
        <f t="shared" si="0"/>
        <v>va_087</v>
      </c>
      <c r="B88" s="1" t="s">
        <v>398</v>
      </c>
      <c r="C88" s="1" t="s">
        <v>77</v>
      </c>
      <c r="D88" s="1" t="str">
        <f t="shared" ca="1" si="1"/>
        <v>表示</v>
      </c>
      <c r="E88" s="1">
        <f ca="1">IFERROR(__xludf.DUMMYFUNCTION("""COMPUTED_VALUE"""),5)</f>
        <v>5</v>
      </c>
      <c r="F88" s="1" t="s">
        <v>399</v>
      </c>
      <c r="G88" s="20" t="s">
        <v>2892</v>
      </c>
      <c r="H88" s="45" t="s">
        <v>2813</v>
      </c>
    </row>
    <row r="89" spans="1:8" ht="53.4" thickBot="1">
      <c r="A89" s="1" t="str">
        <f t="shared" si="0"/>
        <v>va_088</v>
      </c>
      <c r="B89" s="1" t="s">
        <v>400</v>
      </c>
      <c r="C89" s="1" t="s">
        <v>77</v>
      </c>
      <c r="D89" s="1" t="str">
        <f t="shared" ca="1" si="1"/>
        <v>非表示</v>
      </c>
      <c r="E89" s="1">
        <f ca="1">IFERROR(__xludf.DUMMYFUNCTION("""COMPUTED_VALUE"""),1)</f>
        <v>1</v>
      </c>
      <c r="F89" s="1" t="s">
        <v>401</v>
      </c>
      <c r="G89" s="20" t="s">
        <v>2893</v>
      </c>
      <c r="H89" s="38" t="s">
        <v>2813</v>
      </c>
    </row>
    <row r="90" spans="1:8" ht="42.6" thickBot="1">
      <c r="A90" s="1" t="str">
        <f t="shared" si="0"/>
        <v>va_089</v>
      </c>
      <c r="B90" s="1" t="s">
        <v>402</v>
      </c>
      <c r="C90" s="1" t="s">
        <v>77</v>
      </c>
      <c r="D90" s="1" t="str">
        <f t="shared" ca="1" si="1"/>
        <v>非表示</v>
      </c>
      <c r="E90" s="1">
        <f ca="1">IFERROR(__xludf.DUMMYFUNCTION("""COMPUTED_VALUE"""),1)</f>
        <v>1</v>
      </c>
      <c r="F90" s="1" t="s">
        <v>403</v>
      </c>
      <c r="G90" s="20" t="s">
        <v>2894</v>
      </c>
      <c r="H90" s="22" t="s">
        <v>2816</v>
      </c>
    </row>
    <row r="91" spans="1:8" ht="42.6" thickBot="1">
      <c r="A91" s="1" t="str">
        <f t="shared" si="0"/>
        <v>va_090</v>
      </c>
      <c r="B91" s="1" t="s">
        <v>404</v>
      </c>
      <c r="C91" s="1" t="s">
        <v>77</v>
      </c>
      <c r="D91" s="1" t="str">
        <f t="shared" ca="1" si="1"/>
        <v>表示</v>
      </c>
      <c r="E91" s="1">
        <f ca="1">IFERROR(__xludf.DUMMYFUNCTION("""COMPUTED_VALUE"""),20)</f>
        <v>20</v>
      </c>
      <c r="F91" s="1" t="s">
        <v>405</v>
      </c>
      <c r="G91" s="20" t="s">
        <v>2895</v>
      </c>
      <c r="H91" s="22" t="s">
        <v>2816</v>
      </c>
    </row>
    <row r="92" spans="1:8" ht="13.8" thickBot="1">
      <c r="A92" s="1" t="str">
        <f t="shared" si="0"/>
        <v>va_091</v>
      </c>
      <c r="B92" s="1" t="s">
        <v>406</v>
      </c>
      <c r="C92" s="1" t="s">
        <v>77</v>
      </c>
      <c r="D92" s="1" t="str">
        <f t="shared" ca="1" si="1"/>
        <v>非表示</v>
      </c>
      <c r="E92" s="1">
        <f ca="1">IFERROR(__xludf.DUMMYFUNCTION("""COMPUTED_VALUE"""),2)</f>
        <v>2</v>
      </c>
      <c r="F92" s="1" t="s">
        <v>408</v>
      </c>
      <c r="G92" s="19"/>
      <c r="H92" s="51"/>
    </row>
    <row r="93" spans="1:8" ht="53.4" thickBot="1">
      <c r="A93" s="1" t="str">
        <f t="shared" si="0"/>
        <v>va_092</v>
      </c>
      <c r="B93" s="1" t="s">
        <v>409</v>
      </c>
      <c r="C93" s="1" t="s">
        <v>77</v>
      </c>
      <c r="D93" s="1" t="str">
        <f t="shared" ca="1" si="1"/>
        <v>表示</v>
      </c>
      <c r="E93" s="1">
        <f ca="1">IFERROR(__xludf.DUMMYFUNCTION("""COMPUTED_VALUE"""),7)</f>
        <v>7</v>
      </c>
      <c r="F93" s="1" t="s">
        <v>410</v>
      </c>
      <c r="G93" s="20" t="s">
        <v>2896</v>
      </c>
      <c r="H93" s="25" t="s">
        <v>2813</v>
      </c>
    </row>
    <row r="94" spans="1:8" ht="53.4" thickBot="1">
      <c r="A94" s="1" t="str">
        <f t="shared" si="0"/>
        <v>va_093</v>
      </c>
      <c r="B94" s="1" t="s">
        <v>411</v>
      </c>
      <c r="C94" s="1" t="s">
        <v>77</v>
      </c>
      <c r="D94" s="1" t="str">
        <f t="shared" ca="1" si="1"/>
        <v>表示</v>
      </c>
      <c r="E94" s="1">
        <f ca="1">IFERROR(__xludf.DUMMYFUNCTION("""COMPUTED_VALUE"""),4)</f>
        <v>4</v>
      </c>
      <c r="F94" s="1" t="s">
        <v>412</v>
      </c>
      <c r="G94" s="20" t="s">
        <v>2897</v>
      </c>
      <c r="H94" s="24" t="s">
        <v>2819</v>
      </c>
    </row>
    <row r="95" spans="1:8" ht="53.4" thickBot="1">
      <c r="A95" s="1" t="str">
        <f t="shared" si="0"/>
        <v>va_094</v>
      </c>
      <c r="B95" s="1" t="s">
        <v>413</v>
      </c>
      <c r="C95" s="1" t="s">
        <v>77</v>
      </c>
      <c r="D95" s="1" t="str">
        <f t="shared" ca="1" si="1"/>
        <v>表示</v>
      </c>
      <c r="E95" s="1">
        <f ca="1">IFERROR(__xludf.DUMMYFUNCTION("""COMPUTED_VALUE"""),19)</f>
        <v>19</v>
      </c>
      <c r="F95" s="1" t="s">
        <v>414</v>
      </c>
      <c r="G95" s="20" t="s">
        <v>2898</v>
      </c>
      <c r="H95" s="38" t="s">
        <v>2813</v>
      </c>
    </row>
    <row r="96" spans="1:8" ht="53.4" thickBot="1">
      <c r="A96" s="1" t="str">
        <f t="shared" si="0"/>
        <v>va_095</v>
      </c>
      <c r="B96" s="1" t="s">
        <v>415</v>
      </c>
      <c r="C96" s="1" t="s">
        <v>77</v>
      </c>
      <c r="D96" s="1" t="str">
        <f t="shared" ca="1" si="1"/>
        <v>表示</v>
      </c>
      <c r="E96" s="1">
        <f ca="1">IFERROR(__xludf.DUMMYFUNCTION("""COMPUTED_VALUE"""),10)</f>
        <v>10</v>
      </c>
      <c r="F96" s="1" t="s">
        <v>416</v>
      </c>
      <c r="G96" s="20" t="s">
        <v>2899</v>
      </c>
      <c r="H96" s="19" t="s">
        <v>2819</v>
      </c>
    </row>
    <row r="97" spans="1:8" ht="66.599999999999994" thickBot="1">
      <c r="A97" s="1" t="str">
        <f t="shared" si="0"/>
        <v>va_096</v>
      </c>
      <c r="B97" s="1" t="s">
        <v>418</v>
      </c>
      <c r="C97" s="1" t="s">
        <v>77</v>
      </c>
      <c r="D97" s="1" t="str">
        <f t="shared" ca="1" si="1"/>
        <v>表示</v>
      </c>
      <c r="E97" s="1">
        <f ca="1">IFERROR(__xludf.DUMMYFUNCTION("""COMPUTED_VALUE"""),15)</f>
        <v>15</v>
      </c>
      <c r="F97" s="1" t="s">
        <v>419</v>
      </c>
      <c r="G97" s="20" t="s">
        <v>2900</v>
      </c>
      <c r="H97" s="52" t="s">
        <v>2813</v>
      </c>
    </row>
    <row r="98" spans="1:8" ht="27" thickBot="1">
      <c r="A98" s="1" t="str">
        <f t="shared" si="0"/>
        <v>va_097</v>
      </c>
      <c r="B98" s="1" t="s">
        <v>420</v>
      </c>
      <c r="C98" s="1" t="s">
        <v>77</v>
      </c>
      <c r="D98" s="1" t="str">
        <f t="shared" ca="1" si="1"/>
        <v>表示</v>
      </c>
      <c r="E98" s="1">
        <f ca="1">IFERROR(__xludf.DUMMYFUNCTION("""COMPUTED_VALUE"""),10)</f>
        <v>10</v>
      </c>
      <c r="F98" s="1" t="s">
        <v>421</v>
      </c>
      <c r="G98" s="20" t="s">
        <v>2901</v>
      </c>
      <c r="H98" s="53" t="s">
        <v>2858</v>
      </c>
    </row>
    <row r="99" spans="1:8" ht="53.4" thickBot="1">
      <c r="A99" s="1" t="str">
        <f t="shared" si="0"/>
        <v>va_098</v>
      </c>
      <c r="B99" s="1" t="s">
        <v>422</v>
      </c>
      <c r="C99" s="1" t="s">
        <v>77</v>
      </c>
      <c r="D99" s="1" t="str">
        <f t="shared" ca="1" si="1"/>
        <v>表示</v>
      </c>
      <c r="E99" s="1">
        <f ca="1">IFERROR(__xludf.DUMMYFUNCTION("""COMPUTED_VALUE"""),9)</f>
        <v>9</v>
      </c>
      <c r="F99" s="1" t="s">
        <v>423</v>
      </c>
      <c r="G99" s="20" t="s">
        <v>2902</v>
      </c>
      <c r="H99" s="25" t="s">
        <v>2813</v>
      </c>
    </row>
    <row r="100" spans="1:8" ht="13.8" thickBot="1">
      <c r="A100" s="1" t="str">
        <f t="shared" si="0"/>
        <v>va_099</v>
      </c>
      <c r="B100" s="1" t="s">
        <v>424</v>
      </c>
      <c r="C100" s="1" t="s">
        <v>77</v>
      </c>
      <c r="D100" s="1" t="str">
        <f t="shared" ca="1" si="1"/>
        <v>表示</v>
      </c>
      <c r="E100" s="1">
        <f ca="1">IFERROR(__xludf.DUMMYFUNCTION("""COMPUTED_VALUE"""),3)</f>
        <v>3</v>
      </c>
      <c r="F100" s="1" t="s">
        <v>425</v>
      </c>
      <c r="G100" s="19"/>
      <c r="H100" s="19"/>
    </row>
    <row r="101" spans="1:8" ht="40.200000000000003" thickBot="1">
      <c r="A101" s="1" t="str">
        <f t="shared" si="0"/>
        <v>va_100</v>
      </c>
      <c r="B101" s="1" t="s">
        <v>426</v>
      </c>
      <c r="C101" s="1" t="s">
        <v>77</v>
      </c>
      <c r="D101" s="1" t="str">
        <f t="shared" ca="1" si="1"/>
        <v>表示</v>
      </c>
      <c r="E101" s="1">
        <f ca="1">IFERROR(__xludf.DUMMYFUNCTION("""COMPUTED_VALUE"""),5)</f>
        <v>5</v>
      </c>
      <c r="F101" s="1" t="s">
        <v>427</v>
      </c>
      <c r="G101" s="20" t="s">
        <v>2903</v>
      </c>
      <c r="H101" s="54" t="s">
        <v>2904</v>
      </c>
    </row>
    <row r="102" spans="1:8" ht="27" thickBot="1">
      <c r="A102" s="1" t="str">
        <f t="shared" si="0"/>
        <v>va_101</v>
      </c>
      <c r="B102" s="1" t="s">
        <v>428</v>
      </c>
      <c r="C102" s="1" t="s">
        <v>77</v>
      </c>
      <c r="D102" s="1" t="str">
        <f t="shared" ca="1" si="1"/>
        <v>表示</v>
      </c>
      <c r="E102" s="1">
        <f ca="1">IFERROR(__xludf.DUMMYFUNCTION("""COMPUTED_VALUE"""),6)</f>
        <v>6</v>
      </c>
      <c r="F102" s="1" t="s">
        <v>429</v>
      </c>
      <c r="G102" s="20" t="s">
        <v>2905</v>
      </c>
      <c r="H102" s="19" t="s">
        <v>2906</v>
      </c>
    </row>
    <row r="103" spans="1:8" ht="53.4" thickBot="1">
      <c r="A103" s="1" t="str">
        <f t="shared" si="0"/>
        <v>va_102</v>
      </c>
      <c r="B103" s="1" t="s">
        <v>430</v>
      </c>
      <c r="C103" s="1" t="s">
        <v>77</v>
      </c>
      <c r="D103" s="1" t="str">
        <f t="shared" ca="1" si="1"/>
        <v>表示</v>
      </c>
      <c r="E103" s="1">
        <f ca="1">IFERROR(__xludf.DUMMYFUNCTION("""COMPUTED_VALUE"""),18)</f>
        <v>18</v>
      </c>
      <c r="F103" s="1" t="s">
        <v>431</v>
      </c>
      <c r="G103" s="20" t="s">
        <v>2907</v>
      </c>
      <c r="H103" s="24" t="s">
        <v>2819</v>
      </c>
    </row>
    <row r="104" spans="1:8" ht="238.2" thickBot="1">
      <c r="A104" s="1" t="str">
        <f t="shared" si="0"/>
        <v>va_103</v>
      </c>
      <c r="B104" s="1" t="s">
        <v>432</v>
      </c>
      <c r="C104" s="1" t="s">
        <v>77</v>
      </c>
      <c r="D104" s="1" t="str">
        <f t="shared" ca="1" si="1"/>
        <v>表示</v>
      </c>
      <c r="E104" s="1">
        <f ca="1">IFERROR(__xludf.DUMMYFUNCTION("""COMPUTED_VALUE"""),3)</f>
        <v>3</v>
      </c>
      <c r="F104" s="1" t="s">
        <v>433</v>
      </c>
      <c r="G104" s="20" t="s">
        <v>2908</v>
      </c>
      <c r="H104" s="29" t="s">
        <v>2813</v>
      </c>
    </row>
    <row r="105" spans="1:8" ht="40.200000000000003" thickBot="1">
      <c r="A105" s="1" t="str">
        <f t="shared" si="0"/>
        <v>va_104</v>
      </c>
      <c r="B105" s="1" t="s">
        <v>434</v>
      </c>
      <c r="C105" s="1" t="s">
        <v>77</v>
      </c>
      <c r="D105" s="1" t="str">
        <f t="shared" ca="1" si="1"/>
        <v>非表示</v>
      </c>
      <c r="E105" s="1">
        <f ca="1">IFERROR(__xludf.DUMMYFUNCTION("""COMPUTED_VALUE"""),1)</f>
        <v>1</v>
      </c>
      <c r="F105" s="1" t="s">
        <v>435</v>
      </c>
      <c r="G105" s="20" t="s">
        <v>2909</v>
      </c>
      <c r="H105" s="36" t="s">
        <v>2910</v>
      </c>
    </row>
    <row r="106" spans="1:8" ht="53.4" thickBot="1">
      <c r="A106" s="1" t="str">
        <f t="shared" si="0"/>
        <v>va_105</v>
      </c>
      <c r="B106" s="1" t="s">
        <v>437</v>
      </c>
      <c r="C106" s="1" t="s">
        <v>77</v>
      </c>
      <c r="D106" s="1" t="str">
        <f t="shared" ca="1" si="1"/>
        <v>非表示</v>
      </c>
      <c r="E106" s="1">
        <f ca="1">IFERROR(__xludf.DUMMYFUNCTION("""COMPUTED_VALUE"""),1)</f>
        <v>1</v>
      </c>
      <c r="F106" s="1" t="s">
        <v>438</v>
      </c>
      <c r="G106" s="20" t="s">
        <v>2911</v>
      </c>
      <c r="H106" s="19" t="s">
        <v>2819</v>
      </c>
    </row>
    <row r="107" spans="1:8" ht="13.8" thickBot="1">
      <c r="A107" s="1" t="str">
        <f t="shared" si="0"/>
        <v>va_106</v>
      </c>
      <c r="B107" s="1" t="s">
        <v>439</v>
      </c>
      <c r="C107" s="1" t="s">
        <v>41</v>
      </c>
      <c r="D107" s="1" t="str">
        <f t="shared" ca="1" si="1"/>
        <v>非表示</v>
      </c>
      <c r="E107" s="1">
        <f ca="1">IFERROR(__xludf.DUMMYFUNCTION("""COMPUTED_VALUE"""),1)</f>
        <v>1</v>
      </c>
      <c r="G107" s="19"/>
      <c r="H107" s="19"/>
    </row>
    <row r="108" spans="1:8" ht="13.8" thickBot="1">
      <c r="A108" s="1" t="str">
        <f t="shared" si="0"/>
        <v>va_107</v>
      </c>
      <c r="B108" s="1" t="s">
        <v>440</v>
      </c>
      <c r="C108" s="1" t="s">
        <v>77</v>
      </c>
      <c r="D108" s="1" t="str">
        <f t="shared" ca="1" si="1"/>
        <v>表示</v>
      </c>
      <c r="E108" s="1">
        <f ca="1">IFERROR(__xludf.DUMMYFUNCTION("""COMPUTED_VALUE"""),6)</f>
        <v>6</v>
      </c>
      <c r="F108" s="1" t="s">
        <v>441</v>
      </c>
      <c r="G108" s="28" t="s">
        <v>2912</v>
      </c>
      <c r="H108" s="19"/>
    </row>
    <row r="109" spans="1:8" ht="40.200000000000003" thickBot="1">
      <c r="A109" s="1" t="str">
        <f t="shared" si="0"/>
        <v>va_108</v>
      </c>
      <c r="B109" s="1" t="s">
        <v>442</v>
      </c>
      <c r="C109" s="1" t="s">
        <v>77</v>
      </c>
      <c r="D109" s="1" t="str">
        <f t="shared" ca="1" si="1"/>
        <v>非表示</v>
      </c>
      <c r="E109" s="1">
        <f ca="1">IFERROR(__xludf.DUMMYFUNCTION("""COMPUTED_VALUE"""),2)</f>
        <v>2</v>
      </c>
      <c r="F109" s="1" t="s">
        <v>444</v>
      </c>
      <c r="G109" s="20" t="s">
        <v>2913</v>
      </c>
      <c r="H109" s="55" t="s">
        <v>2819</v>
      </c>
    </row>
    <row r="110" spans="1:8" ht="42.6" thickBot="1">
      <c r="A110" s="1" t="str">
        <f t="shared" si="0"/>
        <v>va_109</v>
      </c>
      <c r="B110" s="1" t="s">
        <v>445</v>
      </c>
      <c r="C110" s="1" t="s">
        <v>77</v>
      </c>
      <c r="D110" s="1" t="str">
        <f t="shared" ca="1" si="1"/>
        <v>表示</v>
      </c>
      <c r="E110" s="1">
        <f ca="1">IFERROR(__xludf.DUMMYFUNCTION("""COMPUTED_VALUE"""),3)</f>
        <v>3</v>
      </c>
      <c r="F110" s="1" t="s">
        <v>446</v>
      </c>
      <c r="G110" s="20" t="s">
        <v>2914</v>
      </c>
      <c r="H110" s="22" t="s">
        <v>2816</v>
      </c>
    </row>
    <row r="111" spans="1:8" ht="13.8" thickBot="1">
      <c r="A111" s="1" t="str">
        <f t="shared" si="0"/>
        <v>va_110</v>
      </c>
      <c r="B111" s="1" t="s">
        <v>443</v>
      </c>
      <c r="C111" s="1" t="s">
        <v>77</v>
      </c>
      <c r="D111" s="1" t="str">
        <f t="shared" ca="1" si="1"/>
        <v>表示</v>
      </c>
      <c r="E111" s="1">
        <f ca="1">IFERROR(__xludf.DUMMYFUNCTION("""COMPUTED_VALUE"""),5)</f>
        <v>5</v>
      </c>
      <c r="F111" s="1" t="s">
        <v>447</v>
      </c>
      <c r="G111" s="28" t="s">
        <v>2915</v>
      </c>
      <c r="H111" s="19"/>
    </row>
    <row r="112" spans="1:8" ht="13.8" thickBot="1">
      <c r="A112" s="1" t="str">
        <f t="shared" si="0"/>
        <v>va_111</v>
      </c>
      <c r="B112" s="1" t="s">
        <v>448</v>
      </c>
      <c r="C112" s="1" t="s">
        <v>77</v>
      </c>
      <c r="D112" s="1" t="str">
        <f t="shared" ca="1" si="1"/>
        <v>表示</v>
      </c>
      <c r="E112" s="1">
        <f ca="1">IFERROR(__xludf.DUMMYFUNCTION("""COMPUTED_VALUE"""),9)</f>
        <v>9</v>
      </c>
      <c r="F112" s="1" t="s">
        <v>450</v>
      </c>
      <c r="G112" s="19"/>
      <c r="H112" s="19"/>
    </row>
    <row r="113" spans="1:8" ht="198.6" thickBot="1">
      <c r="A113" s="1" t="str">
        <f t="shared" si="0"/>
        <v>va_112</v>
      </c>
      <c r="B113" s="1" t="s">
        <v>451</v>
      </c>
      <c r="C113" s="1" t="s">
        <v>77</v>
      </c>
      <c r="D113" s="1" t="str">
        <f t="shared" ca="1" si="1"/>
        <v>表示</v>
      </c>
      <c r="E113" s="1">
        <f ca="1">IFERROR(__xludf.DUMMYFUNCTION("""COMPUTED_VALUE"""),19)</f>
        <v>19</v>
      </c>
      <c r="F113" s="1" t="s">
        <v>452</v>
      </c>
      <c r="G113" s="20" t="s">
        <v>2916</v>
      </c>
      <c r="H113" s="45" t="s">
        <v>2813</v>
      </c>
    </row>
    <row r="114" spans="1:8" ht="53.4" thickBot="1">
      <c r="A114" s="1" t="str">
        <f t="shared" si="0"/>
        <v>va_113</v>
      </c>
      <c r="B114" s="1" t="s">
        <v>453</v>
      </c>
      <c r="C114" s="1" t="s">
        <v>77</v>
      </c>
      <c r="D114" s="1" t="str">
        <f t="shared" ca="1" si="1"/>
        <v>非表示</v>
      </c>
      <c r="E114" s="1">
        <f ca="1">IFERROR(__xludf.DUMMYFUNCTION("""COMPUTED_VALUE"""),2)</f>
        <v>2</v>
      </c>
      <c r="F114" s="1" t="s">
        <v>454</v>
      </c>
      <c r="G114" s="20" t="s">
        <v>2917</v>
      </c>
      <c r="H114" s="38" t="s">
        <v>2813</v>
      </c>
    </row>
    <row r="115" spans="1:8" ht="53.4" thickBot="1">
      <c r="A115" s="1" t="str">
        <f t="shared" si="0"/>
        <v>va_114</v>
      </c>
      <c r="B115" s="1" t="s">
        <v>455</v>
      </c>
      <c r="C115" s="1" t="s">
        <v>77</v>
      </c>
      <c r="D115" s="1" t="str">
        <f t="shared" ca="1" si="1"/>
        <v>表示</v>
      </c>
      <c r="E115" s="1">
        <f ca="1">IFERROR(__xludf.DUMMYFUNCTION("""COMPUTED_VALUE"""),18)</f>
        <v>18</v>
      </c>
      <c r="F115" s="1" t="s">
        <v>456</v>
      </c>
      <c r="G115" s="20" t="s">
        <v>2918</v>
      </c>
      <c r="H115" s="56" t="s">
        <v>2819</v>
      </c>
    </row>
    <row r="116" spans="1:8" ht="42.6" thickBot="1">
      <c r="A116" s="1" t="str">
        <f t="shared" si="0"/>
        <v>va_115</v>
      </c>
      <c r="B116" s="1" t="s">
        <v>457</v>
      </c>
      <c r="C116" s="1" t="s">
        <v>77</v>
      </c>
      <c r="D116" s="1" t="str">
        <f t="shared" ca="1" si="1"/>
        <v>表示</v>
      </c>
      <c r="E116" s="1">
        <f ca="1">IFERROR(__xludf.DUMMYFUNCTION("""COMPUTED_VALUE"""),8)</f>
        <v>8</v>
      </c>
      <c r="F116" s="1" t="s">
        <v>458</v>
      </c>
      <c r="G116" s="20" t="s">
        <v>2919</v>
      </c>
      <c r="H116" s="22" t="s">
        <v>2816</v>
      </c>
    </row>
    <row r="117" spans="1:8" ht="251.4" thickBot="1">
      <c r="A117" s="1" t="str">
        <f t="shared" si="0"/>
        <v>va_116</v>
      </c>
      <c r="B117" s="1" t="s">
        <v>460</v>
      </c>
      <c r="C117" s="1" t="s">
        <v>77</v>
      </c>
      <c r="D117" s="1" t="str">
        <f t="shared" ca="1" si="1"/>
        <v>表示</v>
      </c>
      <c r="E117" s="1">
        <f ca="1">IFERROR(__xludf.DUMMYFUNCTION("""COMPUTED_VALUE"""),6)</f>
        <v>6</v>
      </c>
      <c r="F117" s="1" t="s">
        <v>461</v>
      </c>
      <c r="G117" s="20" t="s">
        <v>2920</v>
      </c>
      <c r="H117" s="45" t="s">
        <v>2813</v>
      </c>
    </row>
    <row r="118" spans="1:8" ht="13.8" thickBot="1">
      <c r="A118" s="1" t="str">
        <f t="shared" si="0"/>
        <v>va_117</v>
      </c>
      <c r="B118" s="1" t="s">
        <v>462</v>
      </c>
      <c r="C118" s="1" t="s">
        <v>77</v>
      </c>
      <c r="D118" s="1" t="str">
        <f t="shared" ca="1" si="1"/>
        <v>表示</v>
      </c>
      <c r="E118" s="1">
        <f ca="1">IFERROR(__xludf.DUMMYFUNCTION("""COMPUTED_VALUE"""),20)</f>
        <v>20</v>
      </c>
      <c r="F118" s="1" t="s">
        <v>463</v>
      </c>
      <c r="G118" s="28" t="s">
        <v>2921</v>
      </c>
      <c r="H118" s="19"/>
    </row>
    <row r="119" spans="1:8" ht="13.8" thickBot="1">
      <c r="A119" s="1" t="str">
        <f t="shared" si="0"/>
        <v>va_118</v>
      </c>
      <c r="B119" s="1" t="s">
        <v>464</v>
      </c>
      <c r="C119" s="1" t="s">
        <v>77</v>
      </c>
      <c r="D119" s="1" t="str">
        <f t="shared" ca="1" si="1"/>
        <v>表示</v>
      </c>
      <c r="E119" s="1">
        <f ca="1">IFERROR(__xludf.DUMMYFUNCTION("""COMPUTED_VALUE"""),3)</f>
        <v>3</v>
      </c>
      <c r="F119" s="1" t="s">
        <v>465</v>
      </c>
      <c r="G119" s="28" t="s">
        <v>2922</v>
      </c>
      <c r="H119" s="19"/>
    </row>
    <row r="120" spans="1:8" ht="13.8" thickBot="1">
      <c r="A120" s="1" t="str">
        <f t="shared" si="0"/>
        <v>va_119</v>
      </c>
      <c r="B120" s="1" t="s">
        <v>466</v>
      </c>
      <c r="C120" s="1" t="s">
        <v>77</v>
      </c>
      <c r="D120" s="1" t="str">
        <f t="shared" ca="1" si="1"/>
        <v>表示</v>
      </c>
      <c r="E120" s="1">
        <f ca="1">IFERROR(__xludf.DUMMYFUNCTION("""COMPUTED_VALUE"""),13)</f>
        <v>13</v>
      </c>
      <c r="F120" s="1" t="s">
        <v>468</v>
      </c>
      <c r="G120" s="28" t="s">
        <v>2923</v>
      </c>
      <c r="H120" s="19"/>
    </row>
    <row r="121" spans="1:8" ht="27" thickBot="1">
      <c r="A121" s="1" t="str">
        <f t="shared" si="0"/>
        <v>va_120</v>
      </c>
      <c r="B121" s="1" t="s">
        <v>469</v>
      </c>
      <c r="C121" s="1" t="s">
        <v>77</v>
      </c>
      <c r="D121" s="1" t="str">
        <f t="shared" ca="1" si="1"/>
        <v>表示</v>
      </c>
      <c r="E121" s="1">
        <f ca="1">IFERROR(__xludf.DUMMYFUNCTION("""COMPUTED_VALUE"""),10)</f>
        <v>10</v>
      </c>
      <c r="F121" s="1" t="s">
        <v>470</v>
      </c>
      <c r="G121" s="20" t="s">
        <v>2924</v>
      </c>
      <c r="H121" s="57" t="s">
        <v>2825</v>
      </c>
    </row>
    <row r="122" spans="1:8" ht="53.4" thickBot="1">
      <c r="A122" s="1" t="str">
        <f t="shared" si="0"/>
        <v>va_121</v>
      </c>
      <c r="B122" s="1" t="s">
        <v>471</v>
      </c>
      <c r="C122" s="1" t="s">
        <v>77</v>
      </c>
      <c r="D122" s="1" t="str">
        <f t="shared" ca="1" si="1"/>
        <v>非表示</v>
      </c>
      <c r="E122" s="1">
        <f ca="1">IFERROR(__xludf.DUMMYFUNCTION("""COMPUTED_VALUE"""),1)</f>
        <v>1</v>
      </c>
      <c r="F122" s="1" t="s">
        <v>472</v>
      </c>
      <c r="G122" s="20" t="s">
        <v>2925</v>
      </c>
      <c r="H122" s="38" t="s">
        <v>2813</v>
      </c>
    </row>
    <row r="123" spans="1:8" ht="66.599999999999994" thickBot="1">
      <c r="A123" s="1" t="str">
        <f t="shared" si="0"/>
        <v>va_122</v>
      </c>
      <c r="B123" s="1" t="s">
        <v>473</v>
      </c>
      <c r="C123" s="1" t="s">
        <v>77</v>
      </c>
      <c r="D123" s="1" t="str">
        <f t="shared" ca="1" si="1"/>
        <v>表示</v>
      </c>
      <c r="E123" s="1">
        <f ca="1">IFERROR(__xludf.DUMMYFUNCTION("""COMPUTED_VALUE"""),4)</f>
        <v>4</v>
      </c>
      <c r="F123" s="1" t="s">
        <v>474</v>
      </c>
      <c r="G123" s="20" t="s">
        <v>2926</v>
      </c>
      <c r="H123" s="45" t="s">
        <v>2813</v>
      </c>
    </row>
    <row r="124" spans="1:8" ht="40.200000000000003" thickBot="1">
      <c r="A124" s="1" t="str">
        <f t="shared" si="0"/>
        <v>va_123</v>
      </c>
      <c r="B124" s="1" t="s">
        <v>475</v>
      </c>
      <c r="C124" s="1" t="s">
        <v>77</v>
      </c>
      <c r="D124" s="1" t="str">
        <f t="shared" ca="1" si="1"/>
        <v>表示</v>
      </c>
      <c r="E124" s="1">
        <f ca="1">IFERROR(__xludf.DUMMYFUNCTION("""COMPUTED_VALUE"""),4)</f>
        <v>4</v>
      </c>
      <c r="F124" s="1" t="s">
        <v>477</v>
      </c>
      <c r="G124" s="20" t="s">
        <v>2927</v>
      </c>
      <c r="H124" s="58" t="s">
        <v>2825</v>
      </c>
    </row>
    <row r="125" spans="1:8" ht="40.200000000000003" thickBot="1">
      <c r="A125" s="1" t="str">
        <f t="shared" si="0"/>
        <v>va_124</v>
      </c>
      <c r="B125" s="1" t="s">
        <v>478</v>
      </c>
      <c r="C125" s="1" t="s">
        <v>77</v>
      </c>
      <c r="D125" s="1" t="str">
        <f t="shared" ca="1" si="1"/>
        <v>表示</v>
      </c>
      <c r="E125" s="1">
        <f ca="1">IFERROR(__xludf.DUMMYFUNCTION("""COMPUTED_VALUE"""),16)</f>
        <v>16</v>
      </c>
      <c r="F125" s="1" t="s">
        <v>479</v>
      </c>
      <c r="G125" s="20" t="s">
        <v>2928</v>
      </c>
      <c r="H125" s="54" t="s">
        <v>2904</v>
      </c>
    </row>
    <row r="126" spans="1:8" ht="13.8" thickBot="1">
      <c r="A126" s="1" t="str">
        <f t="shared" si="0"/>
        <v>va_125</v>
      </c>
      <c r="B126" s="1" t="s">
        <v>480</v>
      </c>
      <c r="C126" s="1" t="s">
        <v>77</v>
      </c>
      <c r="D126" s="1" t="str">
        <f t="shared" ca="1" si="1"/>
        <v>表示</v>
      </c>
      <c r="E126" s="1">
        <f ca="1">IFERROR(__xludf.DUMMYFUNCTION("""COMPUTED_VALUE"""),12)</f>
        <v>12</v>
      </c>
      <c r="F126" s="1" t="s">
        <v>481</v>
      </c>
      <c r="G126" s="28" t="s">
        <v>2929</v>
      </c>
      <c r="H126" s="19"/>
    </row>
    <row r="127" spans="1:8" ht="13.8" thickBot="1">
      <c r="A127" s="1" t="str">
        <f t="shared" si="0"/>
        <v>va_126</v>
      </c>
      <c r="B127" s="1" t="s">
        <v>483</v>
      </c>
      <c r="C127" s="1" t="s">
        <v>77</v>
      </c>
      <c r="D127" s="1" t="str">
        <f t="shared" ca="1" si="1"/>
        <v>非表示</v>
      </c>
      <c r="E127" s="1">
        <f ca="1">IFERROR(__xludf.DUMMYFUNCTION("""COMPUTED_VALUE"""),2)</f>
        <v>2</v>
      </c>
      <c r="F127" s="1" t="s">
        <v>484</v>
      </c>
      <c r="G127" s="28" t="s">
        <v>2930</v>
      </c>
      <c r="H127" s="19"/>
    </row>
    <row r="128" spans="1:8" ht="53.4" thickBot="1">
      <c r="A128" s="1" t="str">
        <f t="shared" si="0"/>
        <v>va_127</v>
      </c>
      <c r="B128" s="1" t="s">
        <v>485</v>
      </c>
      <c r="C128" s="1" t="s">
        <v>77</v>
      </c>
      <c r="D128" s="1" t="str">
        <f t="shared" ca="1" si="1"/>
        <v>非表示</v>
      </c>
      <c r="E128" s="1">
        <f ca="1">IFERROR(__xludf.DUMMYFUNCTION("""COMPUTED_VALUE"""),2)</f>
        <v>2</v>
      </c>
      <c r="F128" s="1" t="s">
        <v>486</v>
      </c>
      <c r="G128" s="20" t="s">
        <v>2931</v>
      </c>
      <c r="H128" s="19" t="s">
        <v>2819</v>
      </c>
    </row>
    <row r="129" spans="1:8" ht="53.4" thickBot="1">
      <c r="A129" s="1" t="str">
        <f t="shared" si="0"/>
        <v>va_128</v>
      </c>
      <c r="B129" s="1" t="s">
        <v>487</v>
      </c>
      <c r="C129" s="1" t="s">
        <v>77</v>
      </c>
      <c r="D129" s="1" t="str">
        <f t="shared" ca="1" si="1"/>
        <v>表示</v>
      </c>
      <c r="E129" s="1">
        <f ca="1">IFERROR(__xludf.DUMMYFUNCTION("""COMPUTED_VALUE"""),5)</f>
        <v>5</v>
      </c>
      <c r="F129" s="1" t="s">
        <v>488</v>
      </c>
      <c r="G129" s="20" t="s">
        <v>2932</v>
      </c>
      <c r="H129" s="43" t="s">
        <v>2825</v>
      </c>
    </row>
    <row r="130" spans="1:8" ht="40.200000000000003" thickBot="1">
      <c r="A130" s="1" t="str">
        <f t="shared" si="0"/>
        <v>va_129</v>
      </c>
      <c r="B130" s="1" t="s">
        <v>489</v>
      </c>
      <c r="C130" s="1" t="s">
        <v>77</v>
      </c>
      <c r="D130" s="1" t="str">
        <f t="shared" ca="1" si="1"/>
        <v>表示</v>
      </c>
      <c r="E130" s="1">
        <f ca="1">IFERROR(__xludf.DUMMYFUNCTION("""COMPUTED_VALUE"""),14)</f>
        <v>14</v>
      </c>
      <c r="F130" s="1" t="s">
        <v>491</v>
      </c>
      <c r="G130" s="20" t="s">
        <v>2933</v>
      </c>
      <c r="H130" s="19" t="s">
        <v>2816</v>
      </c>
    </row>
    <row r="131" spans="1:8" ht="13.8" thickBot="1">
      <c r="A131" s="1" t="str">
        <f t="shared" si="0"/>
        <v>va_130</v>
      </c>
      <c r="B131" s="1" t="s">
        <v>492</v>
      </c>
      <c r="C131" s="1" t="s">
        <v>77</v>
      </c>
      <c r="D131" s="1" t="str">
        <f t="shared" ca="1" si="1"/>
        <v>非表示</v>
      </c>
      <c r="E131" s="1">
        <f ca="1">IFERROR(__xludf.DUMMYFUNCTION("""COMPUTED_VALUE"""),1)</f>
        <v>1</v>
      </c>
      <c r="F131" s="1" t="s">
        <v>493</v>
      </c>
      <c r="G131" s="28" t="s">
        <v>2934</v>
      </c>
      <c r="H131" s="19"/>
    </row>
    <row r="132" spans="1:8" ht="13.8" thickBot="1">
      <c r="A132" s="1" t="str">
        <f t="shared" si="0"/>
        <v>va_131</v>
      </c>
      <c r="B132" s="1" t="s">
        <v>494</v>
      </c>
      <c r="C132" s="1" t="s">
        <v>77</v>
      </c>
      <c r="D132" s="1" t="str">
        <f t="shared" ca="1" si="1"/>
        <v>表示</v>
      </c>
      <c r="E132" s="1">
        <f ca="1">IFERROR(__xludf.DUMMYFUNCTION("""COMPUTED_VALUE"""),21)</f>
        <v>21</v>
      </c>
      <c r="F132" s="1" t="s">
        <v>495</v>
      </c>
      <c r="G132" s="19"/>
      <c r="H132" s="19"/>
    </row>
    <row r="133" spans="1:8" ht="40.200000000000003" thickBot="1">
      <c r="A133" s="1" t="str">
        <f t="shared" si="0"/>
        <v>va_132</v>
      </c>
      <c r="B133" s="1" t="s">
        <v>407</v>
      </c>
      <c r="C133" s="1" t="s">
        <v>77</v>
      </c>
      <c r="D133" s="1" t="str">
        <f t="shared" ca="1" si="1"/>
        <v>表示</v>
      </c>
      <c r="E133" s="1">
        <f ca="1">IFERROR(__xludf.DUMMYFUNCTION("""COMPUTED_VALUE"""),18)</f>
        <v>18</v>
      </c>
      <c r="F133" s="1" t="s">
        <v>496</v>
      </c>
      <c r="G133" s="20" t="s">
        <v>2935</v>
      </c>
      <c r="H133" s="55" t="s">
        <v>2819</v>
      </c>
    </row>
    <row r="134" spans="1:8" ht="53.4" thickBot="1">
      <c r="A134" s="1" t="str">
        <f t="shared" si="0"/>
        <v>va_133</v>
      </c>
      <c r="B134" s="1" t="s">
        <v>497</v>
      </c>
      <c r="C134" s="1" t="s">
        <v>77</v>
      </c>
      <c r="D134" s="1" t="str">
        <f t="shared" ca="1" si="1"/>
        <v>表示</v>
      </c>
      <c r="E134" s="1">
        <f ca="1">IFERROR(__xludf.DUMMYFUNCTION("""COMPUTED_VALUE"""),5)</f>
        <v>5</v>
      </c>
      <c r="F134" s="1" t="s">
        <v>499</v>
      </c>
      <c r="G134" s="20" t="s">
        <v>2936</v>
      </c>
      <c r="H134" s="24" t="s">
        <v>2819</v>
      </c>
    </row>
    <row r="135" spans="1:8" ht="211.8" thickBot="1">
      <c r="A135" s="1" t="str">
        <f t="shared" si="0"/>
        <v>va_134</v>
      </c>
      <c r="B135" s="1" t="s">
        <v>500</v>
      </c>
      <c r="C135" s="1" t="s">
        <v>77</v>
      </c>
      <c r="D135" s="1" t="str">
        <f t="shared" ca="1" si="1"/>
        <v>表示</v>
      </c>
      <c r="E135" s="1">
        <f ca="1">IFERROR(__xludf.DUMMYFUNCTION("""COMPUTED_VALUE"""),12)</f>
        <v>12</v>
      </c>
      <c r="F135" s="1" t="s">
        <v>501</v>
      </c>
      <c r="G135" s="20" t="s">
        <v>2937</v>
      </c>
      <c r="H135" s="45" t="s">
        <v>2849</v>
      </c>
    </row>
    <row r="136" spans="1:8" ht="53.4" thickBot="1">
      <c r="A136" s="1" t="str">
        <f t="shared" si="0"/>
        <v>va_135</v>
      </c>
      <c r="B136" s="1" t="s">
        <v>502</v>
      </c>
      <c r="C136" s="1" t="s">
        <v>77</v>
      </c>
      <c r="D136" s="1" t="str">
        <f t="shared" ca="1" si="1"/>
        <v>表示</v>
      </c>
      <c r="E136" s="1">
        <f ca="1">IFERROR(__xludf.DUMMYFUNCTION("""COMPUTED_VALUE"""),7)</f>
        <v>7</v>
      </c>
      <c r="F136" s="1" t="s">
        <v>503</v>
      </c>
      <c r="G136" s="20" t="s">
        <v>2938</v>
      </c>
      <c r="H136" s="43" t="s">
        <v>2825</v>
      </c>
    </row>
    <row r="137" spans="1:8" ht="108.6" thickBot="1">
      <c r="A137" s="1" t="str">
        <f t="shared" si="0"/>
        <v>va_136</v>
      </c>
      <c r="B137" s="1" t="s">
        <v>504</v>
      </c>
      <c r="C137" s="1" t="s">
        <v>77</v>
      </c>
      <c r="D137" s="1" t="str">
        <f t="shared" ca="1" si="1"/>
        <v>非表示</v>
      </c>
      <c r="E137" s="1">
        <f ca="1">IFERROR(__xludf.DUMMYFUNCTION("""COMPUTED_VALUE"""),1)</f>
        <v>1</v>
      </c>
      <c r="F137" s="1" t="s">
        <v>505</v>
      </c>
      <c r="G137" s="20" t="s">
        <v>2939</v>
      </c>
      <c r="H137" s="59" t="s">
        <v>2858</v>
      </c>
    </row>
    <row r="138" spans="1:8" ht="66.599999999999994" thickBot="1">
      <c r="A138" s="1" t="str">
        <f t="shared" si="0"/>
        <v>va_137</v>
      </c>
      <c r="B138" s="1" t="s">
        <v>389</v>
      </c>
      <c r="C138" s="1" t="s">
        <v>77</v>
      </c>
      <c r="D138" s="1" t="str">
        <f t="shared" ca="1" si="1"/>
        <v>表示</v>
      </c>
      <c r="E138" s="1">
        <f ca="1">IFERROR(__xludf.DUMMYFUNCTION("""COMPUTED_VALUE"""),6)</f>
        <v>6</v>
      </c>
      <c r="F138" s="1" t="s">
        <v>506</v>
      </c>
      <c r="G138" s="20" t="s">
        <v>2940</v>
      </c>
      <c r="H138" s="19" t="s">
        <v>2941</v>
      </c>
    </row>
    <row r="139" spans="1:8" ht="13.8" thickBot="1">
      <c r="A139" s="1" t="str">
        <f t="shared" si="0"/>
        <v>va_138</v>
      </c>
      <c r="B139" s="1" t="s">
        <v>490</v>
      </c>
      <c r="C139" s="1" t="s">
        <v>77</v>
      </c>
      <c r="D139" s="1" t="str">
        <f t="shared" ca="1" si="1"/>
        <v>表示</v>
      </c>
      <c r="E139" s="1">
        <f ca="1">IFERROR(__xludf.DUMMYFUNCTION("""COMPUTED_VALUE"""),13)</f>
        <v>13</v>
      </c>
      <c r="F139" s="1" t="s">
        <v>507</v>
      </c>
      <c r="G139" s="19"/>
      <c r="H139" s="19"/>
    </row>
    <row r="140" spans="1:8" ht="251.4" thickBot="1">
      <c r="A140" s="1" t="str">
        <f t="shared" si="0"/>
        <v>va_139</v>
      </c>
      <c r="B140" s="1" t="s">
        <v>508</v>
      </c>
      <c r="C140" s="1" t="s">
        <v>77</v>
      </c>
      <c r="D140" s="1" t="str">
        <f t="shared" ca="1" si="1"/>
        <v>非表示</v>
      </c>
      <c r="E140" s="1">
        <f ca="1">IFERROR(__xludf.DUMMYFUNCTION("""COMPUTED_VALUE"""),1)</f>
        <v>1</v>
      </c>
      <c r="F140" s="1" t="s">
        <v>509</v>
      </c>
      <c r="G140" s="20" t="s">
        <v>2942</v>
      </c>
      <c r="H140" s="45" t="s">
        <v>2813</v>
      </c>
    </row>
    <row r="141" spans="1:8" ht="13.8" thickBot="1">
      <c r="A141" s="1" t="str">
        <f t="shared" si="0"/>
        <v>va_140</v>
      </c>
      <c r="B141" s="1" t="s">
        <v>510</v>
      </c>
      <c r="C141" s="1" t="s">
        <v>41</v>
      </c>
      <c r="D141" s="1" t="str">
        <f t="shared" ca="1" si="1"/>
        <v>非表示</v>
      </c>
      <c r="E141" s="1">
        <f ca="1">IFERROR(__xludf.DUMMYFUNCTION("""COMPUTED_VALUE"""),1)</f>
        <v>1</v>
      </c>
      <c r="G141" s="19"/>
      <c r="H141" s="19"/>
    </row>
    <row r="142" spans="1:8" ht="198.6" thickBot="1">
      <c r="A142" s="1" t="str">
        <f t="shared" si="0"/>
        <v>va_141</v>
      </c>
      <c r="B142" s="1" t="s">
        <v>511</v>
      </c>
      <c r="C142" s="1" t="s">
        <v>77</v>
      </c>
      <c r="D142" s="1" t="str">
        <f t="shared" ca="1" si="1"/>
        <v>表示</v>
      </c>
      <c r="E142" s="1">
        <f ca="1">IFERROR(__xludf.DUMMYFUNCTION("""COMPUTED_VALUE"""),17)</f>
        <v>17</v>
      </c>
      <c r="F142" s="1" t="s">
        <v>513</v>
      </c>
      <c r="G142" s="20" t="s">
        <v>2943</v>
      </c>
      <c r="H142" s="45" t="s">
        <v>2813</v>
      </c>
    </row>
    <row r="143" spans="1:8" ht="49.8" thickBot="1">
      <c r="A143" s="1" t="str">
        <f t="shared" si="0"/>
        <v>va_142</v>
      </c>
      <c r="B143" s="1" t="s">
        <v>514</v>
      </c>
      <c r="C143" s="1" t="s">
        <v>77</v>
      </c>
      <c r="D143" s="1" t="str">
        <f t="shared" ca="1" si="1"/>
        <v>表示</v>
      </c>
      <c r="E143" s="1">
        <f ca="1">IFERROR(__xludf.DUMMYFUNCTION("""COMPUTED_VALUE"""),5)</f>
        <v>5</v>
      </c>
      <c r="F143" s="1" t="s">
        <v>515</v>
      </c>
      <c r="G143" s="20" t="s">
        <v>2944</v>
      </c>
      <c r="H143" s="27" t="s">
        <v>2825</v>
      </c>
    </row>
    <row r="144" spans="1:8" ht="53.4" thickBot="1">
      <c r="A144" s="1" t="str">
        <f t="shared" si="0"/>
        <v>va_143</v>
      </c>
      <c r="B144" s="1" t="s">
        <v>516</v>
      </c>
      <c r="C144" s="1" t="s">
        <v>77</v>
      </c>
      <c r="D144" s="1" t="str">
        <f t="shared" ca="1" si="1"/>
        <v>表示</v>
      </c>
      <c r="E144" s="1">
        <f ca="1">IFERROR(__xludf.DUMMYFUNCTION("""COMPUTED_VALUE"""),12)</f>
        <v>12</v>
      </c>
      <c r="F144" s="1" t="s">
        <v>517</v>
      </c>
      <c r="G144" s="20" t="s">
        <v>2945</v>
      </c>
      <c r="H144" s="38" t="s">
        <v>2813</v>
      </c>
    </row>
    <row r="145" spans="1:8" ht="53.4" thickBot="1">
      <c r="A145" s="1" t="str">
        <f t="shared" si="0"/>
        <v>va_144</v>
      </c>
      <c r="B145" s="1" t="s">
        <v>518</v>
      </c>
      <c r="C145" s="1" t="s">
        <v>77</v>
      </c>
      <c r="D145" s="1" t="str">
        <f t="shared" ca="1" si="1"/>
        <v>非表示</v>
      </c>
      <c r="E145" s="1">
        <f ca="1">IFERROR(__xludf.DUMMYFUNCTION("""COMPUTED_VALUE"""),2)</f>
        <v>2</v>
      </c>
      <c r="F145" s="1" t="s">
        <v>519</v>
      </c>
      <c r="G145" s="20" t="s">
        <v>2946</v>
      </c>
      <c r="H145" s="38" t="s">
        <v>2813</v>
      </c>
    </row>
    <row r="146" spans="1:8" ht="53.4" thickBot="1">
      <c r="A146" s="1" t="str">
        <f t="shared" si="0"/>
        <v>va_145</v>
      </c>
      <c r="B146" s="1" t="s">
        <v>520</v>
      </c>
      <c r="C146" s="1" t="s">
        <v>77</v>
      </c>
      <c r="D146" s="1" t="str">
        <f t="shared" ca="1" si="1"/>
        <v>非表示</v>
      </c>
      <c r="E146" s="1">
        <f ca="1">IFERROR(__xludf.DUMMYFUNCTION("""COMPUTED_VALUE"""),2)</f>
        <v>2</v>
      </c>
      <c r="F146" s="1" t="s">
        <v>521</v>
      </c>
      <c r="G146" s="20" t="s">
        <v>2947</v>
      </c>
      <c r="H146" s="25" t="s">
        <v>2813</v>
      </c>
    </row>
    <row r="147" spans="1:8" ht="264.60000000000002" thickBot="1">
      <c r="A147" s="1" t="str">
        <f t="shared" si="0"/>
        <v>va_146</v>
      </c>
      <c r="B147" s="1" t="s">
        <v>522</v>
      </c>
      <c r="C147" s="1" t="s">
        <v>77</v>
      </c>
      <c r="D147" s="1" t="str">
        <f t="shared" ca="1" si="1"/>
        <v>非表示</v>
      </c>
      <c r="E147" s="1">
        <f ca="1">IFERROR(__xludf.DUMMYFUNCTION("""COMPUTED_VALUE"""),1)</f>
        <v>1</v>
      </c>
      <c r="F147" s="1" t="s">
        <v>523</v>
      </c>
      <c r="G147" s="20" t="s">
        <v>2948</v>
      </c>
      <c r="H147" s="45" t="s">
        <v>2813</v>
      </c>
    </row>
    <row r="148" spans="1:8" ht="42.6" thickBot="1">
      <c r="A148" s="1" t="str">
        <f t="shared" si="0"/>
        <v>va_147</v>
      </c>
      <c r="B148" s="1" t="s">
        <v>524</v>
      </c>
      <c r="C148" s="1" t="s">
        <v>77</v>
      </c>
      <c r="D148" s="1" t="str">
        <f t="shared" ca="1" si="1"/>
        <v>表示</v>
      </c>
      <c r="E148" s="1">
        <f ca="1">IFERROR(__xludf.DUMMYFUNCTION("""COMPUTED_VALUE"""),15)</f>
        <v>15</v>
      </c>
      <c r="F148" s="1" t="s">
        <v>526</v>
      </c>
      <c r="G148" s="20" t="s">
        <v>2949</v>
      </c>
      <c r="H148" s="22" t="s">
        <v>2816</v>
      </c>
    </row>
    <row r="149" spans="1:8" ht="198.6" thickBot="1">
      <c r="A149" s="1" t="str">
        <f t="shared" si="0"/>
        <v>va_148</v>
      </c>
      <c r="B149" s="1" t="s">
        <v>527</v>
      </c>
      <c r="C149" s="1" t="s">
        <v>77</v>
      </c>
      <c r="D149" s="1" t="str">
        <f t="shared" ca="1" si="1"/>
        <v>表示</v>
      </c>
      <c r="E149" s="1">
        <f ca="1">IFERROR(__xludf.DUMMYFUNCTION("""COMPUTED_VALUE"""),14)</f>
        <v>14</v>
      </c>
      <c r="F149" s="1" t="s">
        <v>528</v>
      </c>
      <c r="G149" s="20" t="s">
        <v>2950</v>
      </c>
      <c r="H149" s="45" t="s">
        <v>2813</v>
      </c>
    </row>
    <row r="150" spans="1:8" ht="53.4" thickBot="1">
      <c r="A150" s="1" t="str">
        <f t="shared" si="0"/>
        <v>va_149</v>
      </c>
      <c r="B150" s="1" t="s">
        <v>529</v>
      </c>
      <c r="C150" s="1" t="s">
        <v>77</v>
      </c>
      <c r="D150" s="1" t="str">
        <f t="shared" ca="1" si="1"/>
        <v>非表示</v>
      </c>
      <c r="E150" s="1">
        <f ca="1">IFERROR(__xludf.DUMMYFUNCTION("""COMPUTED_VALUE"""),2)</f>
        <v>2</v>
      </c>
      <c r="F150" s="1" t="s">
        <v>531</v>
      </c>
      <c r="G150" s="20" t="s">
        <v>2951</v>
      </c>
      <c r="H150" s="38" t="s">
        <v>2813</v>
      </c>
    </row>
    <row r="151" spans="1:8" ht="53.4" thickBot="1">
      <c r="A151" s="1" t="str">
        <f t="shared" si="0"/>
        <v>va_150</v>
      </c>
      <c r="B151" s="1" t="s">
        <v>532</v>
      </c>
      <c r="C151" s="1" t="s">
        <v>77</v>
      </c>
      <c r="D151" s="1" t="str">
        <f t="shared" ca="1" si="1"/>
        <v>表示</v>
      </c>
      <c r="E151" s="1">
        <f ca="1">IFERROR(__xludf.DUMMYFUNCTION("""COMPUTED_VALUE"""),20)</f>
        <v>20</v>
      </c>
      <c r="F151" s="1" t="s">
        <v>533</v>
      </c>
      <c r="G151" s="20" t="s">
        <v>2952</v>
      </c>
      <c r="H151" s="43" t="s">
        <v>2825</v>
      </c>
    </row>
    <row r="152" spans="1:8" ht="13.8" thickBot="1">
      <c r="A152" s="1" t="str">
        <f t="shared" si="0"/>
        <v>va_151</v>
      </c>
      <c r="B152" s="1" t="s">
        <v>534</v>
      </c>
      <c r="C152" s="1" t="s">
        <v>77</v>
      </c>
      <c r="D152" s="1" t="str">
        <f t="shared" ca="1" si="1"/>
        <v>表示</v>
      </c>
      <c r="E152" s="1">
        <f ca="1">IFERROR(__xludf.DUMMYFUNCTION("""COMPUTED_VALUE"""),4)</f>
        <v>4</v>
      </c>
      <c r="F152" s="1" t="s">
        <v>535</v>
      </c>
      <c r="G152" s="28" t="s">
        <v>2953</v>
      </c>
      <c r="H152" s="19"/>
    </row>
    <row r="153" spans="1:8" ht="13.8" thickBot="1">
      <c r="A153" s="1" t="str">
        <f t="shared" si="0"/>
        <v>va_152</v>
      </c>
      <c r="B153" s="1" t="s">
        <v>536</v>
      </c>
      <c r="C153" s="1" t="s">
        <v>77</v>
      </c>
      <c r="D153" s="1" t="str">
        <f t="shared" ca="1" si="1"/>
        <v>表示</v>
      </c>
      <c r="E153" s="1">
        <f ca="1">IFERROR(__xludf.DUMMYFUNCTION("""COMPUTED_VALUE"""),3)</f>
        <v>3</v>
      </c>
      <c r="F153" s="1" t="s">
        <v>538</v>
      </c>
      <c r="G153" s="28" t="s">
        <v>2954</v>
      </c>
      <c r="H153" s="19"/>
    </row>
    <row r="154" spans="1:8" ht="264.60000000000002" thickBot="1">
      <c r="A154" s="1" t="str">
        <f t="shared" si="0"/>
        <v>va_153</v>
      </c>
      <c r="B154" s="1" t="s">
        <v>539</v>
      </c>
      <c r="C154" s="1" t="s">
        <v>77</v>
      </c>
      <c r="D154" s="1" t="str">
        <f t="shared" ca="1" si="1"/>
        <v>非表示</v>
      </c>
      <c r="E154" s="1">
        <f ca="1">IFERROR(__xludf.DUMMYFUNCTION("""COMPUTED_VALUE"""),2)</f>
        <v>2</v>
      </c>
      <c r="F154" s="1" t="s">
        <v>540</v>
      </c>
      <c r="G154" s="20" t="s">
        <v>2955</v>
      </c>
      <c r="H154" s="45" t="s">
        <v>2813</v>
      </c>
    </row>
    <row r="155" spans="1:8" ht="53.4" thickBot="1">
      <c r="A155" s="1" t="str">
        <f t="shared" si="0"/>
        <v>va_154</v>
      </c>
      <c r="B155" s="1" t="s">
        <v>541</v>
      </c>
      <c r="C155" s="1" t="s">
        <v>77</v>
      </c>
      <c r="D155" s="1" t="str">
        <f t="shared" ca="1" si="1"/>
        <v>表示</v>
      </c>
      <c r="E155" s="1">
        <f ca="1">IFERROR(__xludf.DUMMYFUNCTION("""COMPUTED_VALUE"""),5)</f>
        <v>5</v>
      </c>
      <c r="F155" s="1" t="s">
        <v>542</v>
      </c>
      <c r="G155" s="20" t="s">
        <v>2956</v>
      </c>
      <c r="H155" s="60" t="s">
        <v>2819</v>
      </c>
    </row>
    <row r="156" spans="1:8" ht="40.200000000000003" thickBot="1">
      <c r="A156" s="1" t="str">
        <f t="shared" si="0"/>
        <v>va_155</v>
      </c>
      <c r="B156" s="1" t="s">
        <v>543</v>
      </c>
      <c r="C156" s="1" t="s">
        <v>77</v>
      </c>
      <c r="D156" s="1" t="str">
        <f t="shared" ca="1" si="1"/>
        <v>表示</v>
      </c>
      <c r="E156" s="1">
        <f ca="1">IFERROR(__xludf.DUMMYFUNCTION("""COMPUTED_VALUE"""),9)</f>
        <v>9</v>
      </c>
      <c r="F156" s="1" t="s">
        <v>544</v>
      </c>
      <c r="G156" s="20" t="s">
        <v>2957</v>
      </c>
      <c r="H156" s="55" t="s">
        <v>2819</v>
      </c>
    </row>
    <row r="157" spans="1:8" ht="13.8" thickBot="1">
      <c r="A157" s="1" t="str">
        <f t="shared" si="0"/>
        <v>va_156</v>
      </c>
      <c r="B157" s="1" t="s">
        <v>546</v>
      </c>
      <c r="C157" s="1" t="s">
        <v>77</v>
      </c>
      <c r="D157" s="1" t="str">
        <f t="shared" ca="1" si="1"/>
        <v>表示</v>
      </c>
      <c r="E157" s="1">
        <f ca="1">IFERROR(__xludf.DUMMYFUNCTION("""COMPUTED_VALUE"""),9)</f>
        <v>9</v>
      </c>
      <c r="F157" s="1" t="s">
        <v>547</v>
      </c>
      <c r="G157" s="28" t="s">
        <v>2958</v>
      </c>
      <c r="H157" s="19"/>
    </row>
    <row r="158" spans="1:8" ht="13.8" thickBot="1">
      <c r="A158" s="1" t="str">
        <f t="shared" si="0"/>
        <v>va_157</v>
      </c>
      <c r="B158" s="1" t="s">
        <v>548</v>
      </c>
      <c r="C158" s="1" t="s">
        <v>77</v>
      </c>
      <c r="D158" s="1" t="str">
        <f t="shared" ca="1" si="1"/>
        <v>表示</v>
      </c>
      <c r="E158" s="1">
        <f ca="1">IFERROR(__xludf.DUMMYFUNCTION("""COMPUTED_VALUE"""),15)</f>
        <v>15</v>
      </c>
      <c r="F158" s="1" t="s">
        <v>549</v>
      </c>
      <c r="G158" s="19"/>
      <c r="H158" s="19"/>
    </row>
    <row r="159" spans="1:8" ht="40.200000000000003" thickBot="1">
      <c r="A159" s="1" t="str">
        <f t="shared" si="0"/>
        <v>va_158</v>
      </c>
      <c r="B159" s="1" t="s">
        <v>550</v>
      </c>
      <c r="C159" s="1" t="s">
        <v>77</v>
      </c>
      <c r="D159" s="1" t="str">
        <f t="shared" ca="1" si="1"/>
        <v>表示</v>
      </c>
      <c r="E159" s="1">
        <f ca="1">IFERROR(__xludf.DUMMYFUNCTION("""COMPUTED_VALUE"""),8)</f>
        <v>8</v>
      </c>
      <c r="F159" s="1" t="s">
        <v>551</v>
      </c>
      <c r="G159" s="20" t="s">
        <v>2959</v>
      </c>
      <c r="H159" s="61" t="s">
        <v>2960</v>
      </c>
    </row>
    <row r="160" spans="1:8" ht="40.200000000000003" thickBot="1">
      <c r="A160" s="1" t="str">
        <f t="shared" si="0"/>
        <v>va_159</v>
      </c>
      <c r="B160" s="1" t="s">
        <v>552</v>
      </c>
      <c r="C160" s="1" t="s">
        <v>77</v>
      </c>
      <c r="D160" s="1" t="str">
        <f t="shared" ca="1" si="1"/>
        <v>非表示</v>
      </c>
      <c r="E160" s="1">
        <f ca="1">IFERROR(__xludf.DUMMYFUNCTION("""COMPUTED_VALUE"""),1)</f>
        <v>1</v>
      </c>
      <c r="F160" s="1" t="s">
        <v>554</v>
      </c>
      <c r="G160" s="20" t="s">
        <v>2961</v>
      </c>
      <c r="H160" s="55" t="s">
        <v>2819</v>
      </c>
    </row>
    <row r="161" spans="1:8" ht="53.4" thickBot="1">
      <c r="A161" s="1" t="str">
        <f t="shared" si="0"/>
        <v>va_160</v>
      </c>
      <c r="B161" s="1" t="s">
        <v>555</v>
      </c>
      <c r="C161" s="1" t="s">
        <v>77</v>
      </c>
      <c r="D161" s="1" t="str">
        <f t="shared" ca="1" si="1"/>
        <v>表示</v>
      </c>
      <c r="E161" s="1">
        <f ca="1">IFERROR(__xludf.DUMMYFUNCTION("""COMPUTED_VALUE"""),13)</f>
        <v>13</v>
      </c>
      <c r="F161" s="1" t="s">
        <v>556</v>
      </c>
      <c r="G161" s="20" t="s">
        <v>2962</v>
      </c>
      <c r="H161" s="56" t="s">
        <v>2819</v>
      </c>
    </row>
    <row r="162" spans="1:8" ht="13.8" thickBot="1">
      <c r="A162" s="1" t="str">
        <f t="shared" si="0"/>
        <v>va_161</v>
      </c>
      <c r="B162" s="1" t="s">
        <v>557</v>
      </c>
      <c r="C162" s="1" t="s">
        <v>77</v>
      </c>
      <c r="D162" s="1" t="str">
        <f t="shared" ca="1" si="1"/>
        <v>表示</v>
      </c>
      <c r="E162" s="1">
        <f ca="1">IFERROR(__xludf.DUMMYFUNCTION("""COMPUTED_VALUE"""),25)</f>
        <v>25</v>
      </c>
      <c r="F162" s="1" t="s">
        <v>558</v>
      </c>
      <c r="G162" s="28" t="s">
        <v>2963</v>
      </c>
      <c r="H162" s="19"/>
    </row>
    <row r="163" spans="1:8" ht="40.200000000000003" thickBot="1">
      <c r="A163" s="1" t="str">
        <f t="shared" si="0"/>
        <v>va_162</v>
      </c>
      <c r="B163" s="1" t="s">
        <v>559</v>
      </c>
      <c r="C163" s="1" t="s">
        <v>77</v>
      </c>
      <c r="D163" s="1" t="str">
        <f t="shared" ca="1" si="1"/>
        <v>表示</v>
      </c>
      <c r="E163" s="1">
        <f ca="1">IFERROR(__xludf.DUMMYFUNCTION("""COMPUTED_VALUE"""),3)</f>
        <v>3</v>
      </c>
      <c r="F163" s="1" t="s">
        <v>561</v>
      </c>
      <c r="G163" s="20" t="s">
        <v>2964</v>
      </c>
      <c r="H163" s="19" t="s">
        <v>2965</v>
      </c>
    </row>
    <row r="164" spans="1:8" ht="13.8" thickBot="1">
      <c r="A164" s="1" t="str">
        <f t="shared" si="0"/>
        <v>va_163</v>
      </c>
      <c r="B164" s="1" t="s">
        <v>562</v>
      </c>
      <c r="C164" s="1" t="s">
        <v>41</v>
      </c>
      <c r="D164" s="1" t="str">
        <f t="shared" ca="1" si="1"/>
        <v>非表示</v>
      </c>
      <c r="E164" s="1">
        <f ca="1">IFERROR(__xludf.DUMMYFUNCTION("""COMPUTED_VALUE"""),1)</f>
        <v>1</v>
      </c>
      <c r="G164" s="19"/>
      <c r="H164" s="19"/>
    </row>
    <row r="165" spans="1:8" ht="40.200000000000003" thickBot="1">
      <c r="A165" s="1" t="str">
        <f t="shared" si="0"/>
        <v>va_164</v>
      </c>
      <c r="B165" s="1" t="s">
        <v>563</v>
      </c>
      <c r="C165" s="1" t="s">
        <v>77</v>
      </c>
      <c r="D165" s="1" t="str">
        <f t="shared" ca="1" si="1"/>
        <v>表示</v>
      </c>
      <c r="E165" s="1">
        <f ca="1">IFERROR(__xludf.DUMMYFUNCTION("""COMPUTED_VALUE"""),9)</f>
        <v>9</v>
      </c>
      <c r="F165" s="1" t="s">
        <v>564</v>
      </c>
      <c r="G165" s="20" t="s">
        <v>2966</v>
      </c>
      <c r="H165" s="19" t="s">
        <v>2813</v>
      </c>
    </row>
    <row r="166" spans="1:8" ht="66.599999999999994" thickBot="1">
      <c r="A166" s="1" t="str">
        <f t="shared" si="0"/>
        <v>va_165</v>
      </c>
      <c r="B166" s="1" t="s">
        <v>565</v>
      </c>
      <c r="C166" s="1" t="s">
        <v>77</v>
      </c>
      <c r="D166" s="1" t="str">
        <f t="shared" ca="1" si="1"/>
        <v>非表示</v>
      </c>
      <c r="E166" s="1">
        <f ca="1">IFERROR(__xludf.DUMMYFUNCTION("""COMPUTED_VALUE"""),1)</f>
        <v>1</v>
      </c>
      <c r="F166" s="1" t="s">
        <v>566</v>
      </c>
      <c r="G166" s="20" t="s">
        <v>2967</v>
      </c>
      <c r="H166" s="37" t="s">
        <v>2819</v>
      </c>
    </row>
    <row r="167" spans="1:8" ht="66.599999999999994" thickBot="1">
      <c r="A167" s="1" t="str">
        <f t="shared" si="0"/>
        <v>va_166</v>
      </c>
      <c r="B167" s="1" t="s">
        <v>567</v>
      </c>
      <c r="C167" s="1" t="s">
        <v>77</v>
      </c>
      <c r="D167" s="1" t="str">
        <f t="shared" ca="1" si="1"/>
        <v>表示</v>
      </c>
      <c r="E167" s="1">
        <f ca="1">IFERROR(__xludf.DUMMYFUNCTION("""COMPUTED_VALUE"""),13)</f>
        <v>13</v>
      </c>
      <c r="F167" s="1" t="s">
        <v>568</v>
      </c>
      <c r="G167" s="20" t="s">
        <v>2968</v>
      </c>
      <c r="H167" s="37" t="s">
        <v>2819</v>
      </c>
    </row>
    <row r="168" spans="1:8" ht="53.4" thickBot="1">
      <c r="A168" s="1" t="str">
        <f t="shared" si="0"/>
        <v>va_167</v>
      </c>
      <c r="B168" s="1" t="s">
        <v>569</v>
      </c>
      <c r="C168" s="1" t="s">
        <v>77</v>
      </c>
      <c r="D168" s="1" t="str">
        <f t="shared" ca="1" si="1"/>
        <v>表示</v>
      </c>
      <c r="E168" s="1">
        <f ca="1">IFERROR(__xludf.DUMMYFUNCTION("""COMPUTED_VALUE"""),3)</f>
        <v>3</v>
      </c>
      <c r="F168" s="1" t="s">
        <v>570</v>
      </c>
      <c r="G168" s="20" t="s">
        <v>2969</v>
      </c>
      <c r="H168" s="43" t="s">
        <v>2825</v>
      </c>
    </row>
    <row r="169" spans="1:8" ht="40.200000000000003" thickBot="1">
      <c r="A169" s="1" t="str">
        <f t="shared" si="0"/>
        <v>va_168</v>
      </c>
      <c r="B169" s="1" t="s">
        <v>571</v>
      </c>
      <c r="C169" s="1" t="s">
        <v>77</v>
      </c>
      <c r="D169" s="1" t="str">
        <f t="shared" ca="1" si="1"/>
        <v>表示</v>
      </c>
      <c r="E169" s="1">
        <f ca="1">IFERROR(__xludf.DUMMYFUNCTION("""COMPUTED_VALUE"""),8)</f>
        <v>8</v>
      </c>
      <c r="F169" s="1" t="s">
        <v>572</v>
      </c>
      <c r="G169" s="20" t="s">
        <v>2970</v>
      </c>
      <c r="H169" s="55" t="s">
        <v>2819</v>
      </c>
    </row>
    <row r="170" spans="1:8" ht="40.200000000000003" thickBot="1">
      <c r="A170" s="1" t="str">
        <f t="shared" si="0"/>
        <v>va_169</v>
      </c>
      <c r="B170" s="1" t="s">
        <v>574</v>
      </c>
      <c r="C170" s="1" t="s">
        <v>77</v>
      </c>
      <c r="D170" s="1" t="str">
        <f t="shared" ca="1" si="1"/>
        <v>表示</v>
      </c>
      <c r="E170" s="1">
        <f ca="1">IFERROR(__xludf.DUMMYFUNCTION("""COMPUTED_VALUE"""),23)</f>
        <v>23</v>
      </c>
      <c r="F170" s="1" t="s">
        <v>575</v>
      </c>
      <c r="G170" s="20" t="s">
        <v>2971</v>
      </c>
      <c r="H170" s="55" t="s">
        <v>2819</v>
      </c>
    </row>
    <row r="171" spans="1:8" ht="42.6" thickBot="1">
      <c r="A171" s="1" t="str">
        <f t="shared" si="0"/>
        <v>va_170</v>
      </c>
      <c r="B171" s="1" t="s">
        <v>576</v>
      </c>
      <c r="C171" s="1" t="s">
        <v>77</v>
      </c>
      <c r="D171" s="1" t="str">
        <f t="shared" ca="1" si="1"/>
        <v>表示</v>
      </c>
      <c r="E171" s="1">
        <f ca="1">IFERROR(__xludf.DUMMYFUNCTION("""COMPUTED_VALUE"""),6)</f>
        <v>6</v>
      </c>
      <c r="F171" s="1" t="s">
        <v>577</v>
      </c>
      <c r="G171" s="20" t="s">
        <v>2972</v>
      </c>
      <c r="H171" s="22" t="s">
        <v>2816</v>
      </c>
    </row>
    <row r="172" spans="1:8" ht="53.4" thickBot="1">
      <c r="A172" s="1" t="str">
        <f t="shared" si="0"/>
        <v>va_171</v>
      </c>
      <c r="B172" s="1" t="s">
        <v>537</v>
      </c>
      <c r="C172" s="1" t="s">
        <v>77</v>
      </c>
      <c r="D172" s="1" t="str">
        <f t="shared" ca="1" si="1"/>
        <v>表示</v>
      </c>
      <c r="E172" s="1">
        <f ca="1">IFERROR(__xludf.DUMMYFUNCTION("""COMPUTED_VALUE"""),3)</f>
        <v>3</v>
      </c>
      <c r="F172" s="1" t="s">
        <v>578</v>
      </c>
      <c r="G172" s="20" t="s">
        <v>2973</v>
      </c>
      <c r="H172" s="19" t="s">
        <v>2819</v>
      </c>
    </row>
    <row r="173" spans="1:8" ht="13.8" thickBot="1">
      <c r="A173" s="1" t="str">
        <f t="shared" si="0"/>
        <v>va_172</v>
      </c>
      <c r="B173" s="1" t="s">
        <v>579</v>
      </c>
      <c r="C173" s="1" t="s">
        <v>77</v>
      </c>
      <c r="D173" s="1" t="str">
        <f t="shared" ca="1" si="1"/>
        <v>表示</v>
      </c>
      <c r="E173" s="1">
        <f ca="1">IFERROR(__xludf.DUMMYFUNCTION("""COMPUTED_VALUE"""),18)</f>
        <v>18</v>
      </c>
      <c r="F173" s="1" t="s">
        <v>580</v>
      </c>
      <c r="G173" s="28" t="s">
        <v>2974</v>
      </c>
      <c r="H173" s="19"/>
    </row>
    <row r="174" spans="1:8" ht="53.4" thickBot="1">
      <c r="A174" s="1" t="str">
        <f t="shared" si="0"/>
        <v>va_173</v>
      </c>
      <c r="B174" s="1" t="s">
        <v>581</v>
      </c>
      <c r="C174" s="1" t="s">
        <v>77</v>
      </c>
      <c r="D174" s="1" t="str">
        <f t="shared" ca="1" si="1"/>
        <v>表示</v>
      </c>
      <c r="E174" s="1">
        <f ca="1">IFERROR(__xludf.DUMMYFUNCTION("""COMPUTED_VALUE"""),14)</f>
        <v>14</v>
      </c>
      <c r="F174" s="1" t="s">
        <v>582</v>
      </c>
      <c r="G174" s="20" t="s">
        <v>2975</v>
      </c>
      <c r="H174" s="19" t="s">
        <v>2819</v>
      </c>
    </row>
    <row r="175" spans="1:8" ht="40.200000000000003" thickBot="1">
      <c r="A175" s="1" t="str">
        <f t="shared" si="0"/>
        <v>va_174</v>
      </c>
      <c r="B175" s="1" t="s">
        <v>583</v>
      </c>
      <c r="C175" s="1" t="s">
        <v>77</v>
      </c>
      <c r="D175" s="1" t="str">
        <f t="shared" ca="1" si="1"/>
        <v>非表示</v>
      </c>
      <c r="E175" s="1">
        <f ca="1">IFERROR(__xludf.DUMMYFUNCTION("""COMPUTED_VALUE"""),1)</f>
        <v>1</v>
      </c>
      <c r="F175" s="1" t="s">
        <v>584</v>
      </c>
      <c r="G175" s="20" t="s">
        <v>2976</v>
      </c>
      <c r="H175" s="33" t="s">
        <v>2819</v>
      </c>
    </row>
    <row r="176" spans="1:8" ht="55.8" thickBot="1">
      <c r="A176" s="1" t="str">
        <f t="shared" si="0"/>
        <v>va_175</v>
      </c>
      <c r="B176" s="1" t="s">
        <v>585</v>
      </c>
      <c r="C176" s="1" t="s">
        <v>77</v>
      </c>
      <c r="D176" s="1" t="str">
        <f t="shared" ca="1" si="1"/>
        <v>表示</v>
      </c>
      <c r="E176" s="1">
        <f ca="1">IFERROR(__xludf.DUMMYFUNCTION("""COMPUTED_VALUE"""),3)</f>
        <v>3</v>
      </c>
      <c r="F176" s="1" t="s">
        <v>586</v>
      </c>
      <c r="G176" s="20" t="s">
        <v>2977</v>
      </c>
      <c r="H176" s="32" t="s">
        <v>2834</v>
      </c>
    </row>
    <row r="177" spans="1:8" ht="198.6" thickBot="1">
      <c r="A177" s="1" t="str">
        <f t="shared" si="0"/>
        <v>va_176</v>
      </c>
      <c r="B177" s="1" t="s">
        <v>588</v>
      </c>
      <c r="C177" s="1" t="s">
        <v>77</v>
      </c>
      <c r="D177" s="1" t="str">
        <f t="shared" ca="1" si="1"/>
        <v>表示</v>
      </c>
      <c r="E177" s="1">
        <f ca="1">IFERROR(__xludf.DUMMYFUNCTION("""COMPUTED_VALUE"""),8)</f>
        <v>8</v>
      </c>
      <c r="F177" s="1" t="s">
        <v>589</v>
      </c>
      <c r="G177" s="20" t="s">
        <v>2978</v>
      </c>
      <c r="H177" s="29" t="s">
        <v>2813</v>
      </c>
    </row>
    <row r="178" spans="1:8" ht="53.4" thickBot="1">
      <c r="A178" s="1" t="str">
        <f t="shared" si="0"/>
        <v>va_177</v>
      </c>
      <c r="B178" s="1" t="s">
        <v>590</v>
      </c>
      <c r="C178" s="1" t="s">
        <v>77</v>
      </c>
      <c r="D178" s="1" t="str">
        <f t="shared" ca="1" si="1"/>
        <v>非表示</v>
      </c>
      <c r="E178" s="1">
        <f ca="1">IFERROR(__xludf.DUMMYFUNCTION("""COMPUTED_VALUE"""),1)</f>
        <v>1</v>
      </c>
      <c r="F178" s="1" t="s">
        <v>591</v>
      </c>
      <c r="G178" s="20" t="s">
        <v>2979</v>
      </c>
      <c r="H178" s="42" t="s">
        <v>2819</v>
      </c>
    </row>
    <row r="179" spans="1:8" ht="13.8" thickBot="1">
      <c r="A179" s="1" t="str">
        <f t="shared" si="0"/>
        <v>va_178</v>
      </c>
      <c r="B179" s="1" t="s">
        <v>592</v>
      </c>
      <c r="C179" s="1" t="s">
        <v>77</v>
      </c>
      <c r="D179" s="1" t="str">
        <f t="shared" ca="1" si="1"/>
        <v>非表示</v>
      </c>
      <c r="E179" s="1">
        <f ca="1">IFERROR(__xludf.DUMMYFUNCTION("""COMPUTED_VALUE"""),2)</f>
        <v>2</v>
      </c>
      <c r="F179" s="1" t="s">
        <v>593</v>
      </c>
      <c r="G179" s="19"/>
      <c r="H179" s="19"/>
    </row>
    <row r="180" spans="1:8" ht="95.4" thickBot="1">
      <c r="A180" s="1" t="str">
        <f t="shared" si="0"/>
        <v>va_179</v>
      </c>
      <c r="B180" s="1" t="s">
        <v>594</v>
      </c>
      <c r="C180" s="1" t="s">
        <v>77</v>
      </c>
      <c r="D180" s="1" t="str">
        <f t="shared" ca="1" si="1"/>
        <v>非表示</v>
      </c>
      <c r="E180" s="1">
        <f ca="1">IFERROR(__xludf.DUMMYFUNCTION("""COMPUTED_VALUE"""),2)</f>
        <v>2</v>
      </c>
      <c r="F180" s="1" t="s">
        <v>595</v>
      </c>
      <c r="G180" s="20" t="s">
        <v>2980</v>
      </c>
      <c r="H180" s="62" t="s">
        <v>2858</v>
      </c>
    </row>
    <row r="181" spans="1:8" ht="13.8" thickBot="1">
      <c r="A181" s="1" t="str">
        <f t="shared" si="0"/>
        <v>va_180</v>
      </c>
      <c r="B181" s="1" t="s">
        <v>525</v>
      </c>
      <c r="C181" s="1" t="s">
        <v>77</v>
      </c>
      <c r="D181" s="1" t="str">
        <f t="shared" ca="1" si="1"/>
        <v>表示</v>
      </c>
      <c r="E181" s="1">
        <f ca="1">IFERROR(__xludf.DUMMYFUNCTION("""COMPUTED_VALUE"""),10)</f>
        <v>10</v>
      </c>
      <c r="F181" s="1" t="s">
        <v>596</v>
      </c>
      <c r="G181" s="28" t="s">
        <v>2981</v>
      </c>
      <c r="H181" s="19"/>
    </row>
    <row r="182" spans="1:8" ht="53.4" thickBot="1">
      <c r="A182" s="1" t="str">
        <f t="shared" si="0"/>
        <v>va_181</v>
      </c>
      <c r="B182" s="1" t="s">
        <v>459</v>
      </c>
      <c r="C182" s="1" t="s">
        <v>77</v>
      </c>
      <c r="D182" s="1" t="str">
        <f t="shared" ca="1" si="1"/>
        <v>表示</v>
      </c>
      <c r="E182" s="1">
        <f ca="1">IFERROR(__xludf.DUMMYFUNCTION("""COMPUTED_VALUE"""),4)</f>
        <v>4</v>
      </c>
      <c r="F182" s="1" t="s">
        <v>597</v>
      </c>
      <c r="G182" s="20" t="s">
        <v>2982</v>
      </c>
      <c r="H182" s="63" t="s">
        <v>2819</v>
      </c>
    </row>
    <row r="183" spans="1:8" ht="211.8" thickBot="1">
      <c r="A183" s="1" t="str">
        <f t="shared" si="0"/>
        <v>va_182</v>
      </c>
      <c r="B183" s="1" t="s">
        <v>598</v>
      </c>
      <c r="C183" s="1" t="s">
        <v>77</v>
      </c>
      <c r="D183" s="1" t="str">
        <f t="shared" ca="1" si="1"/>
        <v>表示</v>
      </c>
      <c r="E183" s="1">
        <f ca="1">IFERROR(__xludf.DUMMYFUNCTION("""COMPUTED_VALUE"""),4)</f>
        <v>4</v>
      </c>
      <c r="F183" s="1" t="s">
        <v>599</v>
      </c>
      <c r="G183" s="20" t="s">
        <v>2983</v>
      </c>
      <c r="H183" s="29" t="s">
        <v>2813</v>
      </c>
    </row>
    <row r="184" spans="1:8" ht="27" thickBot="1">
      <c r="A184" s="1" t="str">
        <f t="shared" si="0"/>
        <v>va_183</v>
      </c>
      <c r="B184" s="1" t="s">
        <v>600</v>
      </c>
      <c r="C184" s="1" t="s">
        <v>77</v>
      </c>
      <c r="D184" s="1" t="str">
        <f t="shared" ca="1" si="1"/>
        <v>表示</v>
      </c>
      <c r="E184" s="1">
        <f ca="1">IFERROR(__xludf.DUMMYFUNCTION("""COMPUTED_VALUE"""),15)</f>
        <v>15</v>
      </c>
      <c r="F184" s="1" t="s">
        <v>602</v>
      </c>
      <c r="G184" s="20" t="s">
        <v>2984</v>
      </c>
      <c r="H184" s="64" t="s">
        <v>2985</v>
      </c>
    </row>
    <row r="185" spans="1:8" ht="53.4" thickBot="1">
      <c r="A185" s="1" t="str">
        <f t="shared" si="0"/>
        <v>va_184</v>
      </c>
      <c r="B185" s="1" t="s">
        <v>603</v>
      </c>
      <c r="C185" s="1" t="s">
        <v>77</v>
      </c>
      <c r="D185" s="1" t="str">
        <f t="shared" ca="1" si="1"/>
        <v>表示</v>
      </c>
      <c r="E185" s="1">
        <f ca="1">IFERROR(__xludf.DUMMYFUNCTION("""COMPUTED_VALUE"""),4)</f>
        <v>4</v>
      </c>
      <c r="F185" s="1" t="s">
        <v>604</v>
      </c>
      <c r="G185" s="20" t="s">
        <v>2986</v>
      </c>
      <c r="H185" s="43" t="s">
        <v>2825</v>
      </c>
    </row>
    <row r="186" spans="1:8" ht="13.8" thickBot="1">
      <c r="A186" s="1" t="str">
        <f t="shared" si="0"/>
        <v>va_185</v>
      </c>
      <c r="B186" s="1" t="s">
        <v>605</v>
      </c>
      <c r="C186" s="1" t="s">
        <v>77</v>
      </c>
      <c r="D186" s="1" t="str">
        <f t="shared" ca="1" si="1"/>
        <v>表示</v>
      </c>
      <c r="E186" s="1">
        <f ca="1">IFERROR(__xludf.DUMMYFUNCTION("""COMPUTED_VALUE"""),13)</f>
        <v>13</v>
      </c>
      <c r="F186" s="1" t="s">
        <v>606</v>
      </c>
      <c r="G186" s="19"/>
      <c r="H186" s="19"/>
    </row>
    <row r="187" spans="1:8" ht="13.8" thickBot="1">
      <c r="A187" s="1" t="str">
        <f t="shared" si="0"/>
        <v>va_186</v>
      </c>
      <c r="B187" s="1" t="s">
        <v>553</v>
      </c>
      <c r="C187" s="1" t="s">
        <v>77</v>
      </c>
      <c r="D187" s="1" t="str">
        <f t="shared" ca="1" si="1"/>
        <v>表示</v>
      </c>
      <c r="E187" s="1">
        <f ca="1">IFERROR(__xludf.DUMMYFUNCTION("""COMPUTED_VALUE"""),10)</f>
        <v>10</v>
      </c>
      <c r="F187" s="1" t="s">
        <v>607</v>
      </c>
      <c r="G187" s="28" t="s">
        <v>2987</v>
      </c>
      <c r="H187" s="19"/>
    </row>
    <row r="188" spans="1:8" ht="13.8" thickBot="1">
      <c r="A188" s="1" t="str">
        <f t="shared" si="0"/>
        <v>va_187</v>
      </c>
      <c r="B188" s="1" t="s">
        <v>608</v>
      </c>
      <c r="C188" s="1" t="s">
        <v>41</v>
      </c>
      <c r="D188" s="1" t="str">
        <f t="shared" ca="1" si="1"/>
        <v>非表示</v>
      </c>
      <c r="E188" s="1">
        <f ca="1">IFERROR(__xludf.DUMMYFUNCTION("""COMPUTED_VALUE"""),1)</f>
        <v>1</v>
      </c>
      <c r="G188" s="19"/>
      <c r="H188" s="19"/>
    </row>
    <row r="189" spans="1:8" ht="49.8" thickBot="1">
      <c r="A189" s="1" t="str">
        <f t="shared" si="0"/>
        <v>va_188</v>
      </c>
      <c r="B189" s="1" t="s">
        <v>609</v>
      </c>
      <c r="C189" s="1" t="s">
        <v>77</v>
      </c>
      <c r="D189" s="1" t="str">
        <f t="shared" ca="1" si="1"/>
        <v>表示</v>
      </c>
      <c r="E189" s="1">
        <f ca="1">IFERROR(__xludf.DUMMYFUNCTION("""COMPUTED_VALUE"""),21)</f>
        <v>21</v>
      </c>
      <c r="F189" s="1" t="s">
        <v>610</v>
      </c>
      <c r="G189" s="20" t="s">
        <v>2988</v>
      </c>
      <c r="H189" s="27" t="s">
        <v>2825</v>
      </c>
    </row>
    <row r="190" spans="1:8" ht="53.4" thickBot="1">
      <c r="A190" s="1" t="str">
        <f t="shared" si="0"/>
        <v>va_189</v>
      </c>
      <c r="B190" s="1" t="s">
        <v>611</v>
      </c>
      <c r="C190" s="1" t="s">
        <v>77</v>
      </c>
      <c r="D190" s="1" t="str">
        <f t="shared" ca="1" si="1"/>
        <v>表示</v>
      </c>
      <c r="E190" s="1">
        <f ca="1">IFERROR(__xludf.DUMMYFUNCTION("""COMPUTED_VALUE"""),7)</f>
        <v>7</v>
      </c>
      <c r="F190" s="1" t="s">
        <v>612</v>
      </c>
      <c r="G190" s="20" t="s">
        <v>2989</v>
      </c>
      <c r="H190" s="65" t="s">
        <v>2813</v>
      </c>
    </row>
    <row r="191" spans="1:8" ht="53.4" thickBot="1">
      <c r="A191" s="1" t="str">
        <f t="shared" si="0"/>
        <v>va_190</v>
      </c>
      <c r="B191" s="1" t="s">
        <v>613</v>
      </c>
      <c r="C191" s="1" t="s">
        <v>77</v>
      </c>
      <c r="D191" s="1" t="str">
        <f t="shared" ca="1" si="1"/>
        <v>表示</v>
      </c>
      <c r="E191" s="1">
        <f ca="1">IFERROR(__xludf.DUMMYFUNCTION("""COMPUTED_VALUE"""),4)</f>
        <v>4</v>
      </c>
      <c r="F191" s="1" t="s">
        <v>614</v>
      </c>
      <c r="G191" s="20" t="s">
        <v>2990</v>
      </c>
      <c r="H191" s="24" t="s">
        <v>2819</v>
      </c>
    </row>
    <row r="192" spans="1:8" ht="27" thickBot="1">
      <c r="A192" s="1" t="str">
        <f t="shared" si="0"/>
        <v>va_191</v>
      </c>
      <c r="B192" s="1" t="s">
        <v>615</v>
      </c>
      <c r="C192" s="1" t="s">
        <v>77</v>
      </c>
      <c r="D192" s="1" t="str">
        <f t="shared" ca="1" si="1"/>
        <v>非表示</v>
      </c>
      <c r="E192" s="1">
        <f ca="1">IFERROR(__xludf.DUMMYFUNCTION("""COMPUTED_VALUE"""),1)</f>
        <v>1</v>
      </c>
      <c r="F192" s="1" t="s">
        <v>616</v>
      </c>
      <c r="G192" s="20" t="s">
        <v>2991</v>
      </c>
      <c r="H192" s="66" t="s">
        <v>2813</v>
      </c>
    </row>
    <row r="193" spans="1:8" ht="53.4" thickBot="1">
      <c r="A193" s="1" t="str">
        <f t="shared" si="0"/>
        <v>va_192</v>
      </c>
      <c r="B193" s="1" t="s">
        <v>617</v>
      </c>
      <c r="C193" s="1" t="s">
        <v>77</v>
      </c>
      <c r="D193" s="1" t="str">
        <f t="shared" ca="1" si="1"/>
        <v>表示</v>
      </c>
      <c r="E193" s="1">
        <f ca="1">IFERROR(__xludf.DUMMYFUNCTION("""COMPUTED_VALUE"""),6)</f>
        <v>6</v>
      </c>
      <c r="F193" s="1" t="s">
        <v>618</v>
      </c>
      <c r="G193" s="20" t="s">
        <v>2992</v>
      </c>
      <c r="H193" s="26" t="s">
        <v>2819</v>
      </c>
    </row>
    <row r="194" spans="1:8" ht="40.200000000000003" thickBot="1">
      <c r="A194" s="1" t="str">
        <f t="shared" si="0"/>
        <v>va_193</v>
      </c>
      <c r="B194" s="1" t="s">
        <v>476</v>
      </c>
      <c r="C194" s="1" t="s">
        <v>77</v>
      </c>
      <c r="D194" s="1" t="str">
        <f t="shared" ca="1" si="1"/>
        <v>表示</v>
      </c>
      <c r="E194" s="1">
        <f ca="1">IFERROR(__xludf.DUMMYFUNCTION("""COMPUTED_VALUE"""),14)</f>
        <v>14</v>
      </c>
      <c r="F194" s="1" t="s">
        <v>619</v>
      </c>
      <c r="G194" s="20" t="s">
        <v>2993</v>
      </c>
      <c r="H194" s="33" t="s">
        <v>2819</v>
      </c>
    </row>
    <row r="195" spans="1:8" ht="53.4" thickBot="1">
      <c r="A195" s="1" t="str">
        <f t="shared" si="0"/>
        <v>va_194</v>
      </c>
      <c r="B195" s="1" t="s">
        <v>620</v>
      </c>
      <c r="C195" s="1" t="s">
        <v>77</v>
      </c>
      <c r="D195" s="1" t="str">
        <f t="shared" ca="1" si="1"/>
        <v>表示</v>
      </c>
      <c r="E195" s="1">
        <f ca="1">IFERROR(__xludf.DUMMYFUNCTION("""COMPUTED_VALUE"""),5)</f>
        <v>5</v>
      </c>
      <c r="F195" s="1" t="s">
        <v>622</v>
      </c>
      <c r="G195" s="20" t="s">
        <v>2994</v>
      </c>
      <c r="H195" s="54" t="s">
        <v>2904</v>
      </c>
    </row>
    <row r="196" spans="1:8" ht="53.4" thickBot="1">
      <c r="A196" s="1" t="str">
        <f t="shared" si="0"/>
        <v>va_195</v>
      </c>
      <c r="B196" s="1" t="s">
        <v>623</v>
      </c>
      <c r="C196" s="1" t="s">
        <v>77</v>
      </c>
      <c r="D196" s="1" t="str">
        <f t="shared" ca="1" si="1"/>
        <v>表示</v>
      </c>
      <c r="E196" s="1">
        <f ca="1">IFERROR(__xludf.DUMMYFUNCTION("""COMPUTED_VALUE"""),7)</f>
        <v>7</v>
      </c>
      <c r="F196" s="1" t="s">
        <v>624</v>
      </c>
      <c r="G196" s="20" t="s">
        <v>2995</v>
      </c>
      <c r="H196" s="36" t="s">
        <v>2996</v>
      </c>
    </row>
    <row r="197" spans="1:8" ht="13.8" thickBot="1">
      <c r="A197" s="1" t="str">
        <f t="shared" si="0"/>
        <v>va_196</v>
      </c>
      <c r="B197" s="1" t="s">
        <v>625</v>
      </c>
      <c r="C197" s="1" t="s">
        <v>77</v>
      </c>
      <c r="D197" s="1" t="str">
        <f t="shared" ca="1" si="1"/>
        <v>表示</v>
      </c>
      <c r="E197" s="1">
        <f ca="1">IFERROR(__xludf.DUMMYFUNCTION("""COMPUTED_VALUE"""),10)</f>
        <v>10</v>
      </c>
      <c r="F197" s="1" t="s">
        <v>626</v>
      </c>
      <c r="G197" s="19"/>
      <c r="H197" s="19"/>
    </row>
    <row r="198" spans="1:8" ht="40.200000000000003" thickBot="1">
      <c r="A198" s="1" t="str">
        <f t="shared" si="0"/>
        <v>va_197</v>
      </c>
      <c r="B198" s="1" t="s">
        <v>627</v>
      </c>
      <c r="C198" s="1" t="s">
        <v>77</v>
      </c>
      <c r="D198" s="1" t="str">
        <f t="shared" ca="1" si="1"/>
        <v>表示</v>
      </c>
      <c r="E198" s="1">
        <f ca="1">IFERROR(__xludf.DUMMYFUNCTION("""COMPUTED_VALUE"""),6)</f>
        <v>6</v>
      </c>
      <c r="F198" s="1" t="s">
        <v>628</v>
      </c>
      <c r="G198" s="20" t="s">
        <v>2997</v>
      </c>
      <c r="H198" s="67" t="s">
        <v>2825</v>
      </c>
    </row>
    <row r="199" spans="1:8" ht="42.6" thickBot="1">
      <c r="A199" s="1" t="str">
        <f t="shared" si="0"/>
        <v>va_198</v>
      </c>
      <c r="B199" s="1" t="s">
        <v>629</v>
      </c>
      <c r="C199" s="1" t="s">
        <v>77</v>
      </c>
      <c r="D199" s="1" t="str">
        <f t="shared" ca="1" si="1"/>
        <v>表示</v>
      </c>
      <c r="E199" s="1">
        <f ca="1">IFERROR(__xludf.DUMMYFUNCTION("""COMPUTED_VALUE"""),7)</f>
        <v>7</v>
      </c>
      <c r="F199" s="1" t="s">
        <v>630</v>
      </c>
      <c r="G199" s="20" t="s">
        <v>2998</v>
      </c>
      <c r="H199" s="22" t="s">
        <v>2816</v>
      </c>
    </row>
    <row r="200" spans="1:8" ht="251.4" thickBot="1">
      <c r="A200" s="1" t="str">
        <f t="shared" si="0"/>
        <v>va_199</v>
      </c>
      <c r="B200" s="1" t="s">
        <v>631</v>
      </c>
      <c r="C200" s="1" t="s">
        <v>77</v>
      </c>
      <c r="D200" s="1" t="str">
        <f t="shared" ca="1" si="1"/>
        <v>非表示</v>
      </c>
      <c r="E200" s="1">
        <f ca="1">IFERROR(__xludf.DUMMYFUNCTION("""COMPUTED_VALUE"""),2)</f>
        <v>2</v>
      </c>
      <c r="F200" s="1" t="s">
        <v>632</v>
      </c>
      <c r="G200" s="20" t="s">
        <v>2999</v>
      </c>
      <c r="H200" s="29" t="s">
        <v>2813</v>
      </c>
    </row>
    <row r="201" spans="1:8" ht="40.200000000000003" thickBot="1">
      <c r="A201" s="1" t="str">
        <f t="shared" si="0"/>
        <v>va_200</v>
      </c>
      <c r="B201" s="1" t="s">
        <v>633</v>
      </c>
      <c r="C201" s="1" t="s">
        <v>77</v>
      </c>
      <c r="D201" s="1" t="str">
        <f t="shared" ca="1" si="1"/>
        <v>表示</v>
      </c>
      <c r="E201" s="1">
        <f ca="1">IFERROR(__xludf.DUMMYFUNCTION("""COMPUTED_VALUE"""),15)</f>
        <v>15</v>
      </c>
      <c r="F201" s="1" t="s">
        <v>634</v>
      </c>
      <c r="G201" s="20" t="s">
        <v>3000</v>
      </c>
      <c r="H201" s="68" t="s">
        <v>2825</v>
      </c>
    </row>
    <row r="202" spans="1:8" ht="13.8" thickBot="1">
      <c r="A202" s="1" t="str">
        <f t="shared" si="0"/>
        <v>va_201</v>
      </c>
      <c r="B202" s="1" t="s">
        <v>635</v>
      </c>
      <c r="C202" s="1" t="s">
        <v>77</v>
      </c>
      <c r="D202" s="1" t="str">
        <f t="shared" ca="1" si="1"/>
        <v>表示</v>
      </c>
      <c r="E202" s="1">
        <f ca="1">IFERROR(__xludf.DUMMYFUNCTION("""COMPUTED_VALUE"""),7)</f>
        <v>7</v>
      </c>
      <c r="F202" s="1" t="s">
        <v>636</v>
      </c>
      <c r="G202" s="28" t="s">
        <v>3001</v>
      </c>
      <c r="H202" s="19"/>
    </row>
    <row r="203" spans="1:8" ht="40.200000000000003" thickBot="1">
      <c r="A203" s="1" t="str">
        <f t="shared" si="0"/>
        <v>va_202</v>
      </c>
      <c r="B203" s="1" t="s">
        <v>637</v>
      </c>
      <c r="C203" s="1" t="s">
        <v>77</v>
      </c>
      <c r="D203" s="1" t="str">
        <f t="shared" ca="1" si="1"/>
        <v>非表示</v>
      </c>
      <c r="E203" s="1">
        <f ca="1">IFERROR(__xludf.DUMMYFUNCTION("""COMPUTED_VALUE"""),1)</f>
        <v>1</v>
      </c>
      <c r="F203" s="1" t="s">
        <v>638</v>
      </c>
      <c r="G203" s="20" t="s">
        <v>3002</v>
      </c>
      <c r="H203" s="33" t="s">
        <v>2819</v>
      </c>
    </row>
    <row r="204" spans="1:8" ht="40.200000000000003" thickBot="1">
      <c r="A204" s="1" t="str">
        <f t="shared" si="0"/>
        <v>va_203</v>
      </c>
      <c r="B204" s="1" t="s">
        <v>639</v>
      </c>
      <c r="C204" s="1" t="s">
        <v>77</v>
      </c>
      <c r="D204" s="1" t="str">
        <f t="shared" ca="1" si="1"/>
        <v>非表示</v>
      </c>
      <c r="E204" s="1">
        <f ca="1">IFERROR(__xludf.DUMMYFUNCTION("""COMPUTED_VALUE"""),2)</f>
        <v>2</v>
      </c>
      <c r="F204" s="1" t="s">
        <v>640</v>
      </c>
      <c r="G204" s="20" t="s">
        <v>3003</v>
      </c>
      <c r="H204" s="33" t="s">
        <v>2819</v>
      </c>
    </row>
    <row r="205" spans="1:8" ht="40.200000000000003" thickBot="1">
      <c r="A205" s="1" t="str">
        <f t="shared" si="0"/>
        <v>va_204</v>
      </c>
      <c r="B205" s="1" t="s">
        <v>641</v>
      </c>
      <c r="C205" s="1" t="s">
        <v>77</v>
      </c>
      <c r="D205" s="1" t="str">
        <f t="shared" ca="1" si="1"/>
        <v>非表示</v>
      </c>
      <c r="E205" s="1">
        <f ca="1">IFERROR(__xludf.DUMMYFUNCTION("""COMPUTED_VALUE"""),2)</f>
        <v>2</v>
      </c>
      <c r="F205" s="1" t="s">
        <v>643</v>
      </c>
      <c r="G205" s="20" t="s">
        <v>3004</v>
      </c>
      <c r="H205" s="33" t="s">
        <v>2819</v>
      </c>
    </row>
    <row r="206" spans="1:8" ht="40.200000000000003" thickBot="1">
      <c r="A206" s="1" t="str">
        <f t="shared" si="0"/>
        <v>va_205</v>
      </c>
      <c r="B206" s="1" t="s">
        <v>644</v>
      </c>
      <c r="C206" s="1" t="s">
        <v>77</v>
      </c>
      <c r="D206" s="1" t="str">
        <f t="shared" ca="1" si="1"/>
        <v>表示</v>
      </c>
      <c r="E206" s="1">
        <f ca="1">IFERROR(__xludf.DUMMYFUNCTION("""COMPUTED_VALUE"""),4)</f>
        <v>4</v>
      </c>
      <c r="F206" s="1" t="s">
        <v>645</v>
      </c>
      <c r="G206" s="20" t="s">
        <v>3005</v>
      </c>
      <c r="H206" s="69" t="s">
        <v>2813</v>
      </c>
    </row>
    <row r="207" spans="1:8" ht="13.8" thickBot="1">
      <c r="A207" s="1" t="str">
        <f t="shared" si="0"/>
        <v>va_206</v>
      </c>
      <c r="B207" s="1" t="s">
        <v>646</v>
      </c>
      <c r="C207" s="1" t="s">
        <v>77</v>
      </c>
      <c r="D207" s="1" t="str">
        <f t="shared" ca="1" si="1"/>
        <v>表示</v>
      </c>
      <c r="E207" s="1">
        <f ca="1">IFERROR(__xludf.DUMMYFUNCTION("""COMPUTED_VALUE"""),5)</f>
        <v>5</v>
      </c>
      <c r="F207" s="1" t="s">
        <v>647</v>
      </c>
      <c r="G207" s="19"/>
      <c r="H207" s="19"/>
    </row>
    <row r="208" spans="1:8" ht="13.8" thickBot="1">
      <c r="A208" s="1" t="str">
        <f t="shared" si="0"/>
        <v>va_207</v>
      </c>
      <c r="B208" s="1" t="s">
        <v>648</v>
      </c>
      <c r="C208" s="1" t="s">
        <v>77</v>
      </c>
      <c r="D208" s="1" t="str">
        <f t="shared" ca="1" si="1"/>
        <v>非表示</v>
      </c>
      <c r="E208" s="1">
        <f ca="1">IFERROR(__xludf.DUMMYFUNCTION("""COMPUTED_VALUE"""),1)</f>
        <v>1</v>
      </c>
      <c r="F208" s="1" t="s">
        <v>649</v>
      </c>
      <c r="G208" s="19"/>
      <c r="H208" s="19"/>
    </row>
    <row r="209" spans="1:8" ht="40.200000000000003" thickBot="1">
      <c r="A209" s="1" t="str">
        <f t="shared" si="0"/>
        <v>va_208</v>
      </c>
      <c r="B209" s="1" t="s">
        <v>650</v>
      </c>
      <c r="C209" s="1" t="s">
        <v>77</v>
      </c>
      <c r="D209" s="1" t="str">
        <f t="shared" ca="1" si="1"/>
        <v>非表示</v>
      </c>
      <c r="E209" s="1">
        <f ca="1">IFERROR(__xludf.DUMMYFUNCTION("""COMPUTED_VALUE"""),1)</f>
        <v>1</v>
      </c>
      <c r="F209" s="1" t="s">
        <v>651</v>
      </c>
      <c r="G209" s="20" t="s">
        <v>3006</v>
      </c>
      <c r="H209" s="33" t="s">
        <v>2819</v>
      </c>
    </row>
    <row r="210" spans="1:8" ht="55.2" thickBot="1">
      <c r="A210" s="1" t="str">
        <f t="shared" si="0"/>
        <v>va_209</v>
      </c>
      <c r="B210" s="4" t="s">
        <v>652</v>
      </c>
      <c r="C210" s="1" t="s">
        <v>77</v>
      </c>
      <c r="D210" s="1" t="str">
        <f t="shared" ca="1" si="1"/>
        <v>表示</v>
      </c>
      <c r="E210" s="1">
        <f ca="1">IFERROR(__xludf.DUMMYFUNCTION("""COMPUTED_VALUE"""),5)</f>
        <v>5</v>
      </c>
      <c r="F210" s="1" t="s">
        <v>653</v>
      </c>
      <c r="G210" s="20" t="s">
        <v>3007</v>
      </c>
      <c r="H210" s="70" t="s">
        <v>3008</v>
      </c>
    </row>
    <row r="211" spans="1:8" ht="40.200000000000003" thickBot="1">
      <c r="A211" s="1" t="str">
        <f t="shared" si="0"/>
        <v>va_210</v>
      </c>
      <c r="B211" s="4" t="s">
        <v>654</v>
      </c>
      <c r="C211" s="1" t="s">
        <v>77</v>
      </c>
      <c r="D211" s="1" t="str">
        <f t="shared" ca="1" si="1"/>
        <v>表示</v>
      </c>
      <c r="E211" s="1">
        <f ca="1">IFERROR(__xludf.DUMMYFUNCTION("""COMPUTED_VALUE"""),7)</f>
        <v>7</v>
      </c>
      <c r="F211" s="1" t="s">
        <v>655</v>
      </c>
      <c r="G211" s="20" t="s">
        <v>3009</v>
      </c>
      <c r="H211" s="33" t="s">
        <v>2819</v>
      </c>
    </row>
    <row r="212" spans="1:8" ht="42.6" thickBot="1">
      <c r="A212" s="1" t="str">
        <f t="shared" si="0"/>
        <v>va_211</v>
      </c>
      <c r="B212" s="4" t="s">
        <v>656</v>
      </c>
      <c r="C212" s="1" t="s">
        <v>77</v>
      </c>
      <c r="D212" s="1" t="str">
        <f t="shared" ca="1" si="1"/>
        <v>表示</v>
      </c>
      <c r="E212" s="1">
        <f ca="1">IFERROR(__xludf.DUMMYFUNCTION("""COMPUTED_VALUE"""),3)</f>
        <v>3</v>
      </c>
      <c r="F212" s="1" t="s">
        <v>658</v>
      </c>
      <c r="G212" s="20" t="s">
        <v>3010</v>
      </c>
      <c r="H212" s="22" t="s">
        <v>2816</v>
      </c>
    </row>
    <row r="213" spans="1:8" ht="13.8" thickBot="1">
      <c r="A213" s="1" t="str">
        <f t="shared" si="0"/>
        <v>va_212</v>
      </c>
      <c r="B213" s="1" t="s">
        <v>659</v>
      </c>
      <c r="C213" s="1" t="s">
        <v>77</v>
      </c>
      <c r="D213" s="1" t="str">
        <f t="shared" ca="1" si="1"/>
        <v>非表示</v>
      </c>
      <c r="E213" s="1">
        <f ca="1">IFERROR(__xludf.DUMMYFUNCTION("""COMPUTED_VALUE"""),2)</f>
        <v>2</v>
      </c>
      <c r="F213" s="1" t="s">
        <v>660</v>
      </c>
      <c r="G213" s="28" t="s">
        <v>3011</v>
      </c>
      <c r="H213" s="19"/>
    </row>
    <row r="214" spans="1:8" ht="55.2" thickBot="1">
      <c r="A214" s="1" t="str">
        <f t="shared" si="0"/>
        <v>va_213</v>
      </c>
      <c r="B214" s="1" t="s">
        <v>661</v>
      </c>
      <c r="C214" s="1" t="s">
        <v>77</v>
      </c>
      <c r="D214" s="1" t="str">
        <f t="shared" ca="1" si="1"/>
        <v>非表示</v>
      </c>
      <c r="E214" s="1">
        <f ca="1">IFERROR(__xludf.DUMMYFUNCTION("""COMPUTED_VALUE"""),1)</f>
        <v>1</v>
      </c>
      <c r="F214" s="1" t="s">
        <v>662</v>
      </c>
      <c r="G214" s="20" t="s">
        <v>3012</v>
      </c>
      <c r="H214" s="70" t="s">
        <v>3008</v>
      </c>
    </row>
    <row r="215" spans="1:8" ht="53.4" thickBot="1">
      <c r="A215" s="1" t="str">
        <f t="shared" si="0"/>
        <v>va_214</v>
      </c>
      <c r="B215" s="1" t="s">
        <v>663</v>
      </c>
      <c r="C215" s="1" t="s">
        <v>77</v>
      </c>
      <c r="D215" s="1" t="str">
        <f t="shared" ca="1" si="1"/>
        <v>非表示</v>
      </c>
      <c r="E215" s="1">
        <f ca="1">IFERROR(__xludf.DUMMYFUNCTION("""COMPUTED_VALUE"""),2)</f>
        <v>2</v>
      </c>
      <c r="F215" s="1" t="s">
        <v>664</v>
      </c>
      <c r="G215" s="20" t="s">
        <v>3013</v>
      </c>
      <c r="H215" s="21" t="s">
        <v>2813</v>
      </c>
    </row>
    <row r="216" spans="1:8" ht="40.200000000000003" thickBot="1">
      <c r="A216" s="1" t="str">
        <f t="shared" si="0"/>
        <v>va_215</v>
      </c>
      <c r="B216" s="1" t="s">
        <v>665</v>
      </c>
      <c r="C216" s="1" t="s">
        <v>77</v>
      </c>
      <c r="D216" s="1" t="str">
        <f t="shared" ca="1" si="1"/>
        <v>表示</v>
      </c>
      <c r="E216" s="1">
        <f ca="1">IFERROR(__xludf.DUMMYFUNCTION("""COMPUTED_VALUE"""),5)</f>
        <v>5</v>
      </c>
      <c r="F216" s="1" t="s">
        <v>666</v>
      </c>
      <c r="G216" s="20" t="s">
        <v>3014</v>
      </c>
      <c r="H216" s="36" t="s">
        <v>3015</v>
      </c>
    </row>
    <row r="217" spans="1:8" ht="53.4" thickBot="1">
      <c r="A217" s="1" t="str">
        <f t="shared" si="0"/>
        <v>va_216</v>
      </c>
      <c r="B217" s="1" t="s">
        <v>667</v>
      </c>
      <c r="C217" s="1" t="s">
        <v>77</v>
      </c>
      <c r="D217" s="1" t="str">
        <f t="shared" ca="1" si="1"/>
        <v>非表示</v>
      </c>
      <c r="E217" s="1">
        <f ca="1">IFERROR(__xludf.DUMMYFUNCTION("""COMPUTED_VALUE"""),1)</f>
        <v>1</v>
      </c>
      <c r="F217" s="1" t="s">
        <v>668</v>
      </c>
      <c r="G217" s="20" t="s">
        <v>3016</v>
      </c>
      <c r="H217" s="21" t="s">
        <v>2813</v>
      </c>
    </row>
    <row r="218" spans="1:8" ht="53.4" thickBot="1">
      <c r="A218" s="1" t="str">
        <f t="shared" si="0"/>
        <v>va_217</v>
      </c>
      <c r="B218" s="1" t="s">
        <v>669</v>
      </c>
      <c r="C218" s="1" t="s">
        <v>77</v>
      </c>
      <c r="D218" s="1" t="str">
        <f t="shared" ca="1" si="1"/>
        <v>表示</v>
      </c>
      <c r="E218" s="1">
        <f ca="1">IFERROR(__xludf.DUMMYFUNCTION("""COMPUTED_VALUE"""),5)</f>
        <v>5</v>
      </c>
      <c r="F218" s="1" t="s">
        <v>670</v>
      </c>
      <c r="G218" s="20" t="s">
        <v>3017</v>
      </c>
      <c r="H218" s="21" t="s">
        <v>2813</v>
      </c>
    </row>
    <row r="219" spans="1:8" ht="42.6" thickBot="1">
      <c r="A219" s="1" t="str">
        <f t="shared" si="0"/>
        <v>va_218</v>
      </c>
      <c r="B219" s="1" t="s">
        <v>671</v>
      </c>
      <c r="C219" s="1" t="s">
        <v>77</v>
      </c>
      <c r="D219" s="1" t="str">
        <f t="shared" ca="1" si="1"/>
        <v>表示</v>
      </c>
      <c r="E219" s="1">
        <f ca="1">IFERROR(__xludf.DUMMYFUNCTION("""COMPUTED_VALUE"""),6)</f>
        <v>6</v>
      </c>
      <c r="F219" s="1" t="s">
        <v>672</v>
      </c>
      <c r="G219" s="20" t="s">
        <v>3018</v>
      </c>
      <c r="H219" s="22" t="s">
        <v>2816</v>
      </c>
    </row>
    <row r="220" spans="1:8" ht="53.4" thickBot="1">
      <c r="A220" s="1" t="str">
        <f t="shared" si="0"/>
        <v>va_219</v>
      </c>
      <c r="B220" s="1" t="s">
        <v>674</v>
      </c>
      <c r="C220" s="1" t="s">
        <v>77</v>
      </c>
      <c r="D220" s="1" t="str">
        <f t="shared" ca="1" si="1"/>
        <v>表示</v>
      </c>
      <c r="E220" s="1">
        <f ca="1">IFERROR(__xludf.DUMMYFUNCTION("""COMPUTED_VALUE"""),3)</f>
        <v>3</v>
      </c>
      <c r="F220" s="1" t="s">
        <v>675</v>
      </c>
      <c r="G220" s="20" t="s">
        <v>3019</v>
      </c>
      <c r="H220" s="21" t="s">
        <v>2813</v>
      </c>
    </row>
    <row r="221" spans="1:8" ht="13.8" thickBot="1">
      <c r="A221" s="1" t="str">
        <f t="shared" si="0"/>
        <v>va_220</v>
      </c>
      <c r="B221" s="1" t="s">
        <v>676</v>
      </c>
      <c r="C221" s="1" t="s">
        <v>41</v>
      </c>
      <c r="D221" s="1" t="str">
        <f t="shared" ca="1" si="1"/>
        <v>非表示</v>
      </c>
      <c r="E221" s="1">
        <f ca="1">IFERROR(__xludf.DUMMYFUNCTION("""COMPUTED_VALUE"""),1)</f>
        <v>1</v>
      </c>
      <c r="G221" s="19"/>
      <c r="H221" s="19"/>
    </row>
    <row r="222" spans="1:8" ht="40.200000000000003" thickBot="1">
      <c r="A222" s="1" t="str">
        <f t="shared" si="0"/>
        <v>va_221</v>
      </c>
      <c r="B222" s="1" t="s">
        <v>677</v>
      </c>
      <c r="C222" s="1" t="s">
        <v>77</v>
      </c>
      <c r="D222" s="1" t="str">
        <f t="shared" ca="1" si="1"/>
        <v>表示</v>
      </c>
      <c r="E222" s="1">
        <f ca="1">IFERROR(__xludf.DUMMYFUNCTION("""COMPUTED_VALUE"""),4)</f>
        <v>4</v>
      </c>
      <c r="F222" s="1" t="s">
        <v>678</v>
      </c>
      <c r="G222" s="20" t="s">
        <v>3020</v>
      </c>
      <c r="H222" s="34" t="s">
        <v>2813</v>
      </c>
    </row>
    <row r="223" spans="1:8" ht="13.8" thickBot="1">
      <c r="A223" s="1" t="str">
        <f t="shared" si="0"/>
        <v>va_222</v>
      </c>
      <c r="B223" s="1" t="s">
        <v>679</v>
      </c>
      <c r="C223" s="1" t="s">
        <v>41</v>
      </c>
      <c r="D223" s="1" t="str">
        <f t="shared" ca="1" si="1"/>
        <v>非表示</v>
      </c>
      <c r="E223" s="1">
        <f ca="1">IFERROR(__xludf.DUMMYFUNCTION("""COMPUTED_VALUE"""),1)</f>
        <v>1</v>
      </c>
      <c r="G223" s="19"/>
      <c r="H223" s="19"/>
    </row>
    <row r="224" spans="1:8" ht="40.200000000000003" thickBot="1">
      <c r="A224" s="1" t="str">
        <f t="shared" si="0"/>
        <v>va_223</v>
      </c>
      <c r="B224" s="1" t="s">
        <v>680</v>
      </c>
      <c r="C224" s="1" t="s">
        <v>77</v>
      </c>
      <c r="D224" s="1" t="str">
        <f t="shared" ca="1" si="1"/>
        <v>非表示</v>
      </c>
      <c r="E224" s="1">
        <f ca="1">IFERROR(__xludf.DUMMYFUNCTION("""COMPUTED_VALUE"""),2)</f>
        <v>2</v>
      </c>
      <c r="F224" s="1" t="s">
        <v>681</v>
      </c>
      <c r="G224" s="20" t="s">
        <v>3021</v>
      </c>
      <c r="H224" s="33" t="s">
        <v>2819</v>
      </c>
    </row>
    <row r="225" spans="1:8" ht="42.6" thickBot="1">
      <c r="A225" s="1" t="str">
        <f t="shared" si="0"/>
        <v>va_224</v>
      </c>
      <c r="B225" s="1" t="s">
        <v>682</v>
      </c>
      <c r="C225" s="1" t="s">
        <v>77</v>
      </c>
      <c r="D225" s="1" t="str">
        <f t="shared" ca="1" si="1"/>
        <v>非表示</v>
      </c>
      <c r="E225" s="1">
        <f ca="1">IFERROR(__xludf.DUMMYFUNCTION("""COMPUTED_VALUE"""),1)</f>
        <v>1</v>
      </c>
      <c r="F225" s="1" t="s">
        <v>683</v>
      </c>
      <c r="G225" s="20" t="s">
        <v>3022</v>
      </c>
      <c r="H225" s="71" t="s">
        <v>2819</v>
      </c>
    </row>
    <row r="226" spans="1:8" ht="40.200000000000003" thickBot="1">
      <c r="A226" s="1" t="str">
        <f t="shared" si="0"/>
        <v>va_225</v>
      </c>
      <c r="B226" s="1" t="s">
        <v>684</v>
      </c>
      <c r="C226" s="1" t="s">
        <v>77</v>
      </c>
      <c r="D226" s="1" t="str">
        <f t="shared" ca="1" si="1"/>
        <v>非表示</v>
      </c>
      <c r="E226" s="1">
        <f ca="1">IFERROR(__xludf.DUMMYFUNCTION("""COMPUTED_VALUE"""),2)</f>
        <v>2</v>
      </c>
      <c r="F226" s="1" t="s">
        <v>685</v>
      </c>
      <c r="G226" s="20" t="s">
        <v>3023</v>
      </c>
      <c r="H226" s="44" t="s">
        <v>2825</v>
      </c>
    </row>
    <row r="227" spans="1:8" ht="291" thickBot="1">
      <c r="A227" s="1" t="str">
        <f t="shared" si="0"/>
        <v>va_226</v>
      </c>
      <c r="B227" s="1" t="str">
        <f ca="1">IFERROR(__xludf.DUMMYFUNCTION("UNIQUE(FILTER('キャラクター名'!B2:B1000, ISNA(XLOOKUP('キャラクター名'!B2:B1000, B2:B226, A2:A226)), 'キャラクター名'!B2:B1000&lt;&gt;""""))
"),"ランズベリー・アーサー")</f>
        <v>ランズベリー・アーサー</v>
      </c>
      <c r="C227" s="1" t="s">
        <v>77</v>
      </c>
      <c r="D227" s="1" t="str">
        <f t="shared" ca="1" si="1"/>
        <v>表示</v>
      </c>
      <c r="E227" s="1">
        <f ca="1">IFERROR(__xludf.DUMMYFUNCTION("""COMPUTED_VALUE"""),5)</f>
        <v>5</v>
      </c>
      <c r="F227" s="1" t="s">
        <v>687</v>
      </c>
      <c r="G227" s="20" t="s">
        <v>3024</v>
      </c>
      <c r="H227" s="29" t="s">
        <v>2813</v>
      </c>
    </row>
    <row r="228" spans="1:8" ht="66.599999999999994" thickBot="1">
      <c r="A228" s="1" t="str">
        <f t="shared" si="0"/>
        <v>va_227</v>
      </c>
      <c r="B228" s="1" t="str">
        <f ca="1">IFERROR(__xludf.DUMMYFUNCTION("""COMPUTED_VALUE"""),"鈴村健一")</f>
        <v>鈴村健一</v>
      </c>
      <c r="C228" s="1" t="s">
        <v>77</v>
      </c>
      <c r="D228" s="1" t="str">
        <f t="shared" ca="1" si="1"/>
        <v>表示</v>
      </c>
      <c r="E228" s="1">
        <f ca="1">IFERROR(__xludf.DUMMYFUNCTION("""COMPUTED_VALUE"""),9)</f>
        <v>9</v>
      </c>
      <c r="F228" s="1" t="s">
        <v>688</v>
      </c>
      <c r="G228" s="20" t="s">
        <v>3025</v>
      </c>
      <c r="H228" s="19" t="s">
        <v>3026</v>
      </c>
    </row>
    <row r="229" spans="1:8" ht="55.8" thickBot="1">
      <c r="A229" s="1" t="str">
        <f t="shared" si="0"/>
        <v>va_228</v>
      </c>
      <c r="B229" s="1" t="str">
        <f ca="1">IFERROR(__xludf.DUMMYFUNCTION("""COMPUTED_VALUE"""),"笹翼")</f>
        <v>笹翼</v>
      </c>
      <c r="C229" s="1" t="s">
        <v>77</v>
      </c>
      <c r="D229" s="1" t="str">
        <f t="shared" ca="1" si="1"/>
        <v>非表示</v>
      </c>
      <c r="E229" s="1">
        <f ca="1">IFERROR(__xludf.DUMMYFUNCTION("""COMPUTED_VALUE"""),1)</f>
        <v>1</v>
      </c>
      <c r="F229" s="1" t="s">
        <v>689</v>
      </c>
      <c r="G229" s="20" t="s">
        <v>3027</v>
      </c>
      <c r="H229" s="32" t="s">
        <v>2834</v>
      </c>
    </row>
    <row r="230" spans="1:8" ht="49.8" thickBot="1">
      <c r="A230" s="1" t="str">
        <f t="shared" si="0"/>
        <v>va_229</v>
      </c>
      <c r="B230" s="1" t="str">
        <f ca="1">IFERROR(__xludf.DUMMYFUNCTION("""COMPUTED_VALUE"""),"菊池幸利")</f>
        <v>菊池幸利</v>
      </c>
      <c r="C230" s="1" t="s">
        <v>77</v>
      </c>
      <c r="D230" s="1" t="str">
        <f t="shared" ca="1" si="1"/>
        <v>表示</v>
      </c>
      <c r="E230" s="1">
        <f ca="1">IFERROR(__xludf.DUMMYFUNCTION("""COMPUTED_VALUE"""),4)</f>
        <v>4</v>
      </c>
      <c r="F230" s="1" t="s">
        <v>691</v>
      </c>
      <c r="G230" s="20" t="s">
        <v>3028</v>
      </c>
      <c r="H230" s="27" t="s">
        <v>2825</v>
      </c>
    </row>
    <row r="231" spans="1:8" ht="53.4" thickBot="1">
      <c r="A231" s="1" t="str">
        <f t="shared" si="0"/>
        <v>va_230</v>
      </c>
      <c r="B231" s="1" t="str">
        <f ca="1">IFERROR(__xludf.DUMMYFUNCTION("""COMPUTED_VALUE"""),"長谷川芳明")</f>
        <v>長谷川芳明</v>
      </c>
      <c r="C231" s="1" t="s">
        <v>77</v>
      </c>
      <c r="D231" s="1" t="str">
        <f t="shared" ca="1" si="1"/>
        <v>非表示</v>
      </c>
      <c r="E231" s="1">
        <f ca="1">IFERROR(__xludf.DUMMYFUNCTION("""COMPUTED_VALUE"""),2)</f>
        <v>2</v>
      </c>
      <c r="F231" s="1" t="s">
        <v>692</v>
      </c>
      <c r="G231" s="20" t="s">
        <v>3029</v>
      </c>
      <c r="H231" s="43" t="s">
        <v>2825</v>
      </c>
    </row>
    <row r="232" spans="1:8" ht="13.8" thickBot="1">
      <c r="A232" s="1" t="str">
        <f t="shared" si="0"/>
        <v>va_231</v>
      </c>
      <c r="B232" s="1" t="str">
        <f ca="1">IFERROR(__xludf.DUMMYFUNCTION("""COMPUTED_VALUE"""),"千葉瑞己")</f>
        <v>千葉瑞己</v>
      </c>
      <c r="C232" s="1" t="s">
        <v>77</v>
      </c>
      <c r="D232" s="1" t="str">
        <f t="shared" ca="1" si="1"/>
        <v>非表示</v>
      </c>
      <c r="E232" s="1">
        <f ca="1">IFERROR(__xludf.DUMMYFUNCTION("""COMPUTED_VALUE"""),1)</f>
        <v>1</v>
      </c>
      <c r="F232" s="1" t="s">
        <v>693</v>
      </c>
      <c r="G232" s="28" t="s">
        <v>3030</v>
      </c>
      <c r="H232" s="19"/>
    </row>
    <row r="233" spans="1:8" ht="55.8" thickBot="1">
      <c r="A233" s="1" t="str">
        <f t="shared" si="0"/>
        <v>va_232</v>
      </c>
      <c r="B233" s="1" t="str">
        <f ca="1">IFERROR(__xludf.DUMMYFUNCTION("""COMPUTED_VALUE"""),"沖野晃司")</f>
        <v>沖野晃司</v>
      </c>
      <c r="C233" s="1" t="s">
        <v>77</v>
      </c>
      <c r="D233" s="1" t="str">
        <f t="shared" ca="1" si="1"/>
        <v>非表示</v>
      </c>
      <c r="E233" s="1">
        <f ca="1">IFERROR(__xludf.DUMMYFUNCTION("""COMPUTED_VALUE"""),1)</f>
        <v>1</v>
      </c>
      <c r="F233" s="1" t="s">
        <v>694</v>
      </c>
      <c r="G233" s="20" t="s">
        <v>3031</v>
      </c>
      <c r="H233" s="32" t="s">
        <v>2834</v>
      </c>
    </row>
    <row r="234" spans="1:8" ht="66.599999999999994" thickBot="1">
      <c r="A234" s="1" t="str">
        <f t="shared" si="0"/>
        <v>va_233</v>
      </c>
      <c r="B234" s="1" t="str">
        <f ca="1">IFERROR(__xludf.DUMMYFUNCTION("""COMPUTED_VALUE"""),"秋谷啓斗")</f>
        <v>秋谷啓斗</v>
      </c>
      <c r="C234" s="1" t="s">
        <v>77</v>
      </c>
      <c r="D234" s="1" t="str">
        <f t="shared" ca="1" si="1"/>
        <v>非表示</v>
      </c>
      <c r="E234" s="1">
        <f ca="1">IFERROR(__xludf.DUMMYFUNCTION("""COMPUTED_VALUE"""),1)</f>
        <v>1</v>
      </c>
      <c r="F234" s="1" t="s">
        <v>695</v>
      </c>
      <c r="G234" s="20" t="s">
        <v>3032</v>
      </c>
      <c r="H234" s="35" t="s">
        <v>2813</v>
      </c>
    </row>
    <row r="235" spans="1:8" ht="13.8" thickBot="1">
      <c r="A235" s="1" t="str">
        <f t="shared" si="0"/>
        <v>va_234</v>
      </c>
      <c r="B235" s="1" t="str">
        <f ca="1">IFERROR(__xludf.DUMMYFUNCTION("""COMPUTED_VALUE"""),"井出卓也")</f>
        <v>井出卓也</v>
      </c>
      <c r="C235" s="1" t="s">
        <v>41</v>
      </c>
      <c r="D235" s="1" t="str">
        <f t="shared" ca="1" si="1"/>
        <v>非表示</v>
      </c>
      <c r="E235" s="1">
        <f ca="1">IFERROR(__xludf.DUMMYFUNCTION("""COMPUTED_VALUE"""),1)</f>
        <v>1</v>
      </c>
      <c r="G235" s="19"/>
      <c r="H235" s="19"/>
    </row>
    <row r="236" spans="1:8" ht="13.8" thickBot="1">
      <c r="A236" s="1" t="str">
        <f t="shared" si="0"/>
        <v>va_235</v>
      </c>
      <c r="B236" s="1" t="str">
        <f ca="1">IFERROR(__xludf.DUMMYFUNCTION("""COMPUTED_VALUE"""),"株元英彰")</f>
        <v>株元英彰</v>
      </c>
      <c r="C236" s="1" t="s">
        <v>41</v>
      </c>
      <c r="D236" s="1" t="str">
        <f t="shared" ca="1" si="1"/>
        <v>非表示</v>
      </c>
      <c r="E236" s="1">
        <f ca="1">IFERROR(__xludf.DUMMYFUNCTION("""COMPUTED_VALUE"""),1)</f>
        <v>1</v>
      </c>
      <c r="G236" s="19"/>
      <c r="H236" s="19"/>
    </row>
    <row r="237" spans="1:8" ht="13.8" thickBot="1">
      <c r="A237" s="1" t="str">
        <f t="shared" si="0"/>
        <v>va_236</v>
      </c>
      <c r="B237" s="1" t="str">
        <f ca="1">IFERROR(__xludf.DUMMYFUNCTION("""COMPUTED_VALUE"""),"宮野真守")</f>
        <v>宮野真守</v>
      </c>
      <c r="C237" s="1" t="s">
        <v>77</v>
      </c>
      <c r="D237" s="1" t="str">
        <f t="shared" ca="1" si="1"/>
        <v>表示</v>
      </c>
      <c r="E237" s="1">
        <f ca="1">IFERROR(__xludf.DUMMYFUNCTION("""COMPUTED_VALUE"""),7)</f>
        <v>7</v>
      </c>
      <c r="F237" s="1" t="s">
        <v>697</v>
      </c>
      <c r="G237" s="19"/>
      <c r="H237" s="19"/>
    </row>
    <row r="238" spans="1:8" ht="53.4" thickBot="1">
      <c r="A238" s="1" t="str">
        <f t="shared" si="0"/>
        <v>va_237</v>
      </c>
      <c r="B238" s="1" t="str">
        <f ca="1">IFERROR(__xludf.DUMMYFUNCTION("""COMPUTED_VALUE"""),"鈴木達央")</f>
        <v>鈴木達央</v>
      </c>
      <c r="C238" s="1" t="s">
        <v>77</v>
      </c>
      <c r="D238" s="1" t="str">
        <f t="shared" ca="1" si="1"/>
        <v>表示</v>
      </c>
      <c r="E238" s="1">
        <f ca="1">IFERROR(__xludf.DUMMYFUNCTION("""COMPUTED_VALUE"""),5)</f>
        <v>5</v>
      </c>
      <c r="F238" s="1" t="s">
        <v>698</v>
      </c>
      <c r="G238" s="20" t="s">
        <v>3033</v>
      </c>
      <c r="H238" s="72" t="s">
        <v>2825</v>
      </c>
    </row>
    <row r="239" spans="1:8" ht="29.4" thickBot="1">
      <c r="A239" s="1" t="str">
        <f t="shared" si="0"/>
        <v>va_238</v>
      </c>
      <c r="B239" s="1" t="str">
        <f ca="1">IFERROR(__xludf.DUMMYFUNCTION("""COMPUTED_VALUE"""),"小野大輔")</f>
        <v>小野大輔</v>
      </c>
      <c r="C239" s="1" t="s">
        <v>77</v>
      </c>
      <c r="D239" s="1" t="str">
        <f t="shared" ca="1" si="1"/>
        <v>表示</v>
      </c>
      <c r="E239" s="1">
        <f ca="1">IFERROR(__xludf.DUMMYFUNCTION("""COMPUTED_VALUE"""),9)</f>
        <v>9</v>
      </c>
      <c r="F239" s="1" t="s">
        <v>699</v>
      </c>
      <c r="G239" s="20" t="s">
        <v>3034</v>
      </c>
      <c r="H239" s="73" t="s">
        <v>3035</v>
      </c>
    </row>
    <row r="240" spans="1:8" ht="53.4" thickBot="1">
      <c r="A240" s="1" t="str">
        <f t="shared" si="0"/>
        <v>va_239</v>
      </c>
      <c r="B240" s="1" t="str">
        <f ca="1">IFERROR(__xludf.DUMMYFUNCTION("""COMPUTED_VALUE"""),"中西尚也")</f>
        <v>中西尚也</v>
      </c>
      <c r="C240" s="1" t="s">
        <v>77</v>
      </c>
      <c r="D240" s="1" t="str">
        <f t="shared" ca="1" si="1"/>
        <v>非表示</v>
      </c>
      <c r="E240" s="1">
        <f ca="1">IFERROR(__xludf.DUMMYFUNCTION("""COMPUTED_VALUE"""),1)</f>
        <v>1</v>
      </c>
      <c r="F240" s="1" t="s">
        <v>700</v>
      </c>
      <c r="G240" s="20" t="s">
        <v>3036</v>
      </c>
      <c r="H240" s="43" t="s">
        <v>2825</v>
      </c>
    </row>
    <row r="241" spans="1:8" ht="13.8" thickBot="1">
      <c r="A241" s="1" t="str">
        <f t="shared" si="0"/>
        <v>va_240</v>
      </c>
      <c r="B241" s="1" t="str">
        <f ca="1">IFERROR(__xludf.DUMMYFUNCTION("""COMPUTED_VALUE"""),"生田鷹司")</f>
        <v>生田鷹司</v>
      </c>
      <c r="C241" s="1" t="s">
        <v>41</v>
      </c>
      <c r="D241" s="1" t="str">
        <f t="shared" ca="1" si="1"/>
        <v>非表示</v>
      </c>
      <c r="E241" s="1">
        <f ca="1">IFERROR(__xludf.DUMMYFUNCTION("""COMPUTED_VALUE"""),1)</f>
        <v>1</v>
      </c>
      <c r="G241" s="19"/>
      <c r="H241" s="19"/>
    </row>
    <row r="242" spans="1:8" ht="13.8" thickBot="1">
      <c r="A242" s="1" t="str">
        <f t="shared" si="0"/>
        <v>va_241</v>
      </c>
      <c r="B242" s="1" t="str">
        <f ca="1">IFERROR(__xludf.DUMMYFUNCTION("""COMPUTED_VALUE"""),"花倉桔道")</f>
        <v>花倉桔道</v>
      </c>
      <c r="C242" s="1" t="s">
        <v>77</v>
      </c>
      <c r="D242" s="1" t="str">
        <f t="shared" ca="1" si="1"/>
        <v>表示</v>
      </c>
      <c r="E242" s="1">
        <f ca="1">IFERROR(__xludf.DUMMYFUNCTION("""COMPUTED_VALUE"""),4)</f>
        <v>4</v>
      </c>
      <c r="F242" s="1" t="s">
        <v>701</v>
      </c>
      <c r="G242" s="19"/>
      <c r="H242" s="19"/>
    </row>
    <row r="243" spans="1:8" ht="40.200000000000003" thickBot="1">
      <c r="A243" s="1" t="str">
        <f t="shared" si="0"/>
        <v>va_242</v>
      </c>
      <c r="B243" s="1" t="str">
        <f ca="1">IFERROR(__xludf.DUMMYFUNCTION("""COMPUTED_VALUE"""),"谷地克文")</f>
        <v>谷地克文</v>
      </c>
      <c r="C243" s="1" t="s">
        <v>77</v>
      </c>
      <c r="D243" s="1" t="str">
        <f t="shared" ca="1" si="1"/>
        <v>非表示</v>
      </c>
      <c r="E243" s="1">
        <f ca="1">IFERROR(__xludf.DUMMYFUNCTION("""COMPUTED_VALUE"""),1)</f>
        <v>1</v>
      </c>
      <c r="F243" s="1" t="s">
        <v>702</v>
      </c>
      <c r="G243" s="20" t="s">
        <v>3037</v>
      </c>
      <c r="H243" s="74" t="s">
        <v>2819</v>
      </c>
    </row>
    <row r="244" spans="1:8" ht="53.4" thickBot="1">
      <c r="A244" s="1" t="str">
        <f t="shared" si="0"/>
        <v>va_243</v>
      </c>
      <c r="B244" s="1" t="str">
        <f ca="1">IFERROR(__xludf.DUMMYFUNCTION("""COMPUTED_VALUE"""),"下妻由幸")</f>
        <v>下妻由幸</v>
      </c>
      <c r="C244" s="1" t="s">
        <v>77</v>
      </c>
      <c r="D244" s="1" t="str">
        <f t="shared" ca="1" si="1"/>
        <v>非表示</v>
      </c>
      <c r="E244" s="1">
        <f ca="1">IFERROR(__xludf.DUMMYFUNCTION("""COMPUTED_VALUE"""),1)</f>
        <v>1</v>
      </c>
      <c r="F244" s="1" t="s">
        <v>704</v>
      </c>
      <c r="G244" s="20" t="s">
        <v>3038</v>
      </c>
      <c r="H244" s="54" t="s">
        <v>2904</v>
      </c>
    </row>
    <row r="245" spans="1:8" ht="13.8" thickBot="1">
      <c r="A245" s="1" t="str">
        <f t="shared" si="0"/>
        <v>va_244</v>
      </c>
      <c r="B245" s="1" t="str">
        <f ca="1">IFERROR(__xludf.DUMMYFUNCTION("""COMPUTED_VALUE"""),"峰岸佳")</f>
        <v>峰岸佳</v>
      </c>
      <c r="C245" s="1" t="s">
        <v>77</v>
      </c>
      <c r="D245" s="1" t="str">
        <f t="shared" ca="1" si="1"/>
        <v>非表示</v>
      </c>
      <c r="E245" s="1">
        <f ca="1">IFERROR(__xludf.DUMMYFUNCTION("""COMPUTED_VALUE"""),1)</f>
        <v>1</v>
      </c>
      <c r="F245" s="1" t="s">
        <v>705</v>
      </c>
      <c r="G245" s="19"/>
      <c r="H245" s="19"/>
    </row>
    <row r="246" spans="1:8" ht="53.4" thickBot="1">
      <c r="A246" s="1" t="str">
        <f t="shared" si="0"/>
        <v>va_245</v>
      </c>
      <c r="B246" s="1" t="str">
        <f ca="1">IFERROR(__xludf.DUMMYFUNCTION("""COMPUTED_VALUE"""),"たくみ靖明")</f>
        <v>たくみ靖明</v>
      </c>
      <c r="C246" s="1" t="s">
        <v>77</v>
      </c>
      <c r="D246" s="1" t="str">
        <f t="shared" ca="1" si="1"/>
        <v>非表示</v>
      </c>
      <c r="E246" s="1">
        <f ca="1">IFERROR(__xludf.DUMMYFUNCTION("""COMPUTED_VALUE"""),2)</f>
        <v>2</v>
      </c>
      <c r="F246" s="1" t="s">
        <v>706</v>
      </c>
      <c r="G246" s="20" t="s">
        <v>3039</v>
      </c>
      <c r="H246" s="24" t="s">
        <v>2819</v>
      </c>
    </row>
    <row r="247" spans="1:8" ht="49.8" thickBot="1">
      <c r="A247" s="1" t="str">
        <f t="shared" si="0"/>
        <v>va_246</v>
      </c>
      <c r="B247" s="1" t="str">
        <f ca="1">IFERROR(__xludf.DUMMYFUNCTION("""COMPUTED_VALUE"""),"三上瑛士")</f>
        <v>三上瑛士</v>
      </c>
      <c r="C247" s="1" t="s">
        <v>77</v>
      </c>
      <c r="D247" s="1" t="str">
        <f t="shared" ca="1" si="1"/>
        <v>非表示</v>
      </c>
      <c r="E247" s="1">
        <f ca="1">IFERROR(__xludf.DUMMYFUNCTION("""COMPUTED_VALUE"""),1)</f>
        <v>1</v>
      </c>
      <c r="F247" s="1" t="s">
        <v>707</v>
      </c>
      <c r="G247" s="20" t="s">
        <v>3040</v>
      </c>
      <c r="H247" s="27" t="s">
        <v>2825</v>
      </c>
    </row>
    <row r="248" spans="1:8" ht="53.4" thickBot="1">
      <c r="A248" s="1" t="str">
        <f t="shared" si="0"/>
        <v>va_247</v>
      </c>
      <c r="B248" s="1" t="str">
        <f ca="1">IFERROR(__xludf.DUMMYFUNCTION("""COMPUTED_VALUE"""),"徳留慎乃佑")</f>
        <v>徳留慎乃佑</v>
      </c>
      <c r="C248" s="1" t="s">
        <v>77</v>
      </c>
      <c r="D248" s="1" t="str">
        <f t="shared" ca="1" si="1"/>
        <v>非表示</v>
      </c>
      <c r="E248" s="1">
        <f ca="1">IFERROR(__xludf.DUMMYFUNCTION("""COMPUTED_VALUE"""),1)</f>
        <v>1</v>
      </c>
      <c r="F248" s="1" t="s">
        <v>708</v>
      </c>
      <c r="G248" s="20" t="s">
        <v>3041</v>
      </c>
      <c r="H248" s="23" t="s">
        <v>2819</v>
      </c>
    </row>
    <row r="249" spans="1:8" ht="66.599999999999994" thickBot="1">
      <c r="A249" s="1" t="str">
        <f t="shared" si="0"/>
        <v>va_248</v>
      </c>
      <c r="B249" s="1" t="str">
        <f ca="1">IFERROR(__xludf.DUMMYFUNCTION("""COMPUTED_VALUE"""),"松岡洋平")</f>
        <v>松岡洋平</v>
      </c>
      <c r="C249" s="1" t="s">
        <v>77</v>
      </c>
      <c r="D249" s="1" t="str">
        <f t="shared" ca="1" si="1"/>
        <v>非表示</v>
      </c>
      <c r="E249" s="1">
        <f ca="1">IFERROR(__xludf.DUMMYFUNCTION("""COMPUTED_VALUE"""),1)</f>
        <v>1</v>
      </c>
      <c r="F249" s="1" t="s">
        <v>709</v>
      </c>
      <c r="G249" s="20" t="s">
        <v>3042</v>
      </c>
      <c r="H249" s="75" t="s">
        <v>2819</v>
      </c>
    </row>
    <row r="250" spans="1:8" ht="53.4" thickBot="1">
      <c r="A250" s="1" t="str">
        <f t="shared" si="0"/>
        <v>va_249</v>
      </c>
      <c r="B250" s="1" t="str">
        <f ca="1">IFERROR(__xludf.DUMMYFUNCTION("""COMPUTED_VALUE"""),"町本成史")</f>
        <v>町本成史</v>
      </c>
      <c r="C250" s="1" t="s">
        <v>77</v>
      </c>
      <c r="D250" s="1" t="str">
        <f t="shared" ca="1" si="1"/>
        <v>非表示</v>
      </c>
      <c r="E250" s="1">
        <f ca="1">IFERROR(__xludf.DUMMYFUNCTION("""COMPUTED_VALUE"""),1)</f>
        <v>1</v>
      </c>
      <c r="F250" s="1" t="s">
        <v>710</v>
      </c>
      <c r="G250" s="20" t="s">
        <v>3043</v>
      </c>
      <c r="H250" s="76" t="s">
        <v>3044</v>
      </c>
    </row>
    <row r="251" spans="1:8" ht="53.4" thickBot="1">
      <c r="A251" s="1" t="str">
        <f t="shared" si="0"/>
        <v>va_250</v>
      </c>
      <c r="B251" s="1" t="str">
        <f ca="1">IFERROR(__xludf.DUMMYFUNCTION("""COMPUTED_VALUE"""),"永塚拓馬")</f>
        <v>永塚拓馬</v>
      </c>
      <c r="C251" s="1" t="s">
        <v>77</v>
      </c>
      <c r="D251" s="1" t="str">
        <f t="shared" ca="1" si="1"/>
        <v>表示</v>
      </c>
      <c r="E251" s="1">
        <f ca="1">IFERROR(__xludf.DUMMYFUNCTION("""COMPUTED_VALUE"""),6)</f>
        <v>6</v>
      </c>
      <c r="F251" s="1" t="s">
        <v>712</v>
      </c>
      <c r="G251" s="20" t="s">
        <v>3045</v>
      </c>
      <c r="H251" s="23" t="s">
        <v>2819</v>
      </c>
    </row>
    <row r="252" spans="1:8" ht="40.200000000000003" thickBot="1">
      <c r="A252" s="1" t="str">
        <f t="shared" si="0"/>
        <v>va_251</v>
      </c>
      <c r="B252" s="1" t="str">
        <f ca="1">IFERROR(__xludf.DUMMYFUNCTION("""COMPUTED_VALUE"""),"渡辺紘")</f>
        <v>渡辺紘</v>
      </c>
      <c r="C252" s="1" t="s">
        <v>77</v>
      </c>
      <c r="D252" s="1" t="str">
        <f t="shared" ca="1" si="1"/>
        <v>非表示</v>
      </c>
      <c r="E252" s="1">
        <f ca="1">IFERROR(__xludf.DUMMYFUNCTION("""COMPUTED_VALUE"""),1)</f>
        <v>1</v>
      </c>
      <c r="F252" s="1" t="s">
        <v>713</v>
      </c>
      <c r="G252" s="20" t="s">
        <v>3046</v>
      </c>
      <c r="H252" s="54" t="s">
        <v>2904</v>
      </c>
    </row>
    <row r="253" spans="1:8" ht="40.200000000000003" thickBot="1">
      <c r="A253" s="1" t="str">
        <f t="shared" si="0"/>
        <v>va_252</v>
      </c>
      <c r="B253" s="1" t="str">
        <f ca="1">IFERROR(__xludf.DUMMYFUNCTION("""COMPUTED_VALUE"""),"菊池勇成")</f>
        <v>菊池勇成</v>
      </c>
      <c r="C253" s="1" t="s">
        <v>77</v>
      </c>
      <c r="D253" s="1" t="str">
        <f t="shared" ca="1" si="1"/>
        <v>非表示</v>
      </c>
      <c r="E253" s="1">
        <f ca="1">IFERROR(__xludf.DUMMYFUNCTION("""COMPUTED_VALUE"""),1)</f>
        <v>1</v>
      </c>
      <c r="F253" s="1" t="s">
        <v>714</v>
      </c>
      <c r="G253" s="20" t="s">
        <v>3047</v>
      </c>
      <c r="H253" s="19" t="s">
        <v>3048</v>
      </c>
    </row>
    <row r="254" spans="1:8" ht="55.8" thickBot="1">
      <c r="A254" s="1" t="str">
        <f t="shared" si="0"/>
        <v>va_253</v>
      </c>
      <c r="B254" s="1" t="str">
        <f ca="1">IFERROR(__xludf.DUMMYFUNCTION("""COMPUTED_VALUE"""),"バレッタ裕")</f>
        <v>バレッタ裕</v>
      </c>
      <c r="C254" s="1" t="s">
        <v>77</v>
      </c>
      <c r="D254" s="1" t="str">
        <f t="shared" ca="1" si="1"/>
        <v>非表示</v>
      </c>
      <c r="E254" s="1">
        <f ca="1">IFERROR(__xludf.DUMMYFUNCTION("""COMPUTED_VALUE"""),2)</f>
        <v>2</v>
      </c>
      <c r="F254" s="1" t="s">
        <v>715</v>
      </c>
      <c r="G254" s="20" t="s">
        <v>3049</v>
      </c>
      <c r="H254" s="32" t="s">
        <v>2832</v>
      </c>
    </row>
    <row r="255" spans="1:8" ht="13.8" thickBot="1">
      <c r="A255" s="1" t="str">
        <f t="shared" si="0"/>
        <v>va_254</v>
      </c>
      <c r="B255" s="1" t="str">
        <f ca="1">IFERROR(__xludf.DUMMYFUNCTION("""COMPUTED_VALUE"""),"中田祐矢")</f>
        <v>中田祐矢</v>
      </c>
      <c r="C255" s="1" t="s">
        <v>77</v>
      </c>
      <c r="D255" s="1" t="str">
        <f t="shared" ca="1" si="1"/>
        <v>非表示</v>
      </c>
      <c r="E255" s="1">
        <f ca="1">IFERROR(__xludf.DUMMYFUNCTION("""COMPUTED_VALUE"""),1)</f>
        <v>1</v>
      </c>
      <c r="F255" s="1" t="s">
        <v>716</v>
      </c>
      <c r="G255" s="28" t="s">
        <v>3050</v>
      </c>
      <c r="H255" s="19"/>
    </row>
    <row r="256" spans="1:8" ht="13.8" thickBot="1">
      <c r="A256" s="1" t="str">
        <f t="shared" si="0"/>
        <v>va_255</v>
      </c>
      <c r="B256" s="1" t="str">
        <f ca="1">IFERROR(__xludf.DUMMYFUNCTION("""COMPUTED_VALUE"""),"児玉卓也")</f>
        <v>児玉卓也</v>
      </c>
      <c r="C256" s="1" t="s">
        <v>77</v>
      </c>
      <c r="D256" s="1" t="str">
        <f t="shared" ca="1" si="1"/>
        <v>非表示</v>
      </c>
      <c r="E256" s="1">
        <f ca="1">IFERROR(__xludf.DUMMYFUNCTION("""COMPUTED_VALUE"""),2)</f>
        <v>2</v>
      </c>
      <c r="F256" s="1" t="s">
        <v>717</v>
      </c>
      <c r="G256" s="28" t="s">
        <v>3051</v>
      </c>
      <c r="H256" s="19"/>
    </row>
    <row r="257" spans="1:8" ht="13.8" thickBot="1">
      <c r="A257" s="1" t="str">
        <f t="shared" ref="A257:A405" si="2">"va_" &amp; TEXT(ROW(A256), "000")</f>
        <v>va_256</v>
      </c>
      <c r="B257" s="1" t="str">
        <f ca="1">IFERROR(__xludf.DUMMYFUNCTION("""COMPUTED_VALUE"""),"古畑恵介")</f>
        <v>古畑恵介</v>
      </c>
      <c r="C257" s="1" t="s">
        <v>77</v>
      </c>
      <c r="D257" s="1" t="str">
        <f t="shared" ref="D257:D405" ca="1" si="3">IF(E257="", "", IF(E257&gt;=3, "表示", "非表示"))</f>
        <v>非表示</v>
      </c>
      <c r="E257" s="1">
        <f ca="1">IFERROR(__xludf.DUMMYFUNCTION("""COMPUTED_VALUE"""),1)</f>
        <v>1</v>
      </c>
      <c r="F257" s="1" t="s">
        <v>719</v>
      </c>
      <c r="G257" s="19"/>
      <c r="H257" s="19"/>
    </row>
    <row r="258" spans="1:8" ht="40.200000000000003" thickBot="1">
      <c r="A258" s="1" t="str">
        <f t="shared" si="2"/>
        <v>va_257</v>
      </c>
      <c r="B258" s="1" t="str">
        <f ca="1">IFERROR(__xludf.DUMMYFUNCTION("""COMPUTED_VALUE"""),"伊能幸輝")</f>
        <v>伊能幸輝</v>
      </c>
      <c r="C258" s="1" t="s">
        <v>77</v>
      </c>
      <c r="D258" s="1" t="str">
        <f t="shared" ca="1" si="3"/>
        <v>非表示</v>
      </c>
      <c r="E258" s="1">
        <f ca="1">IFERROR(__xludf.DUMMYFUNCTION("""COMPUTED_VALUE"""),1)</f>
        <v>1</v>
      </c>
      <c r="F258" s="1" t="s">
        <v>720</v>
      </c>
      <c r="G258" s="20" t="s">
        <v>3052</v>
      </c>
      <c r="H258" s="42" t="s">
        <v>2819</v>
      </c>
    </row>
    <row r="259" spans="1:8" ht="53.4" thickBot="1">
      <c r="A259" s="1" t="str">
        <f t="shared" si="2"/>
        <v>va_258</v>
      </c>
      <c r="B259" s="1" t="str">
        <f ca="1">IFERROR(__xludf.DUMMYFUNCTION("""COMPUTED_VALUE"""),"浦尾岳大")</f>
        <v>浦尾岳大</v>
      </c>
      <c r="C259" s="1" t="s">
        <v>77</v>
      </c>
      <c r="D259" s="1" t="str">
        <f t="shared" ca="1" si="3"/>
        <v>非表示</v>
      </c>
      <c r="E259" s="1">
        <f ca="1">IFERROR(__xludf.DUMMYFUNCTION("""COMPUTED_VALUE"""),2)</f>
        <v>2</v>
      </c>
      <c r="F259" s="1" t="s">
        <v>721</v>
      </c>
      <c r="G259" s="20" t="s">
        <v>3053</v>
      </c>
      <c r="H259" s="43" t="s">
        <v>2825</v>
      </c>
    </row>
    <row r="260" spans="1:8" ht="53.4" thickBot="1">
      <c r="A260" s="1" t="str">
        <f t="shared" si="2"/>
        <v>va_259</v>
      </c>
      <c r="B260" s="1" t="str">
        <f ca="1">IFERROR(__xludf.DUMMYFUNCTION("""COMPUTED_VALUE"""),"汐谷文康")</f>
        <v>汐谷文康</v>
      </c>
      <c r="C260" s="1" t="s">
        <v>77</v>
      </c>
      <c r="D260" s="1" t="str">
        <f t="shared" ca="1" si="3"/>
        <v>非表示</v>
      </c>
      <c r="E260" s="1">
        <f ca="1">IFERROR(__xludf.DUMMYFUNCTION("""COMPUTED_VALUE"""),1)</f>
        <v>1</v>
      </c>
      <c r="F260" s="1" t="s">
        <v>722</v>
      </c>
      <c r="G260" s="20" t="s">
        <v>3054</v>
      </c>
      <c r="H260" s="24" t="s">
        <v>2819</v>
      </c>
    </row>
    <row r="261" spans="1:8" ht="49.8" thickBot="1">
      <c r="A261" s="1" t="str">
        <f t="shared" si="2"/>
        <v>va_260</v>
      </c>
      <c r="B261" s="1" t="str">
        <f ca="1">IFERROR(__xludf.DUMMYFUNCTION("""COMPUTED_VALUE"""),"伊瀬結陸")</f>
        <v>伊瀬結陸</v>
      </c>
      <c r="C261" s="1" t="s">
        <v>77</v>
      </c>
      <c r="D261" s="1" t="str">
        <f t="shared" ca="1" si="3"/>
        <v>非表示</v>
      </c>
      <c r="E261" s="1">
        <f ca="1">IFERROR(__xludf.DUMMYFUNCTION("""COMPUTED_VALUE"""),1)</f>
        <v>1</v>
      </c>
      <c r="F261" s="1" t="s">
        <v>724</v>
      </c>
      <c r="G261" s="20" t="s">
        <v>3055</v>
      </c>
      <c r="H261" s="27" t="s">
        <v>2825</v>
      </c>
    </row>
    <row r="262" spans="1:8" ht="66.599999999999994" thickBot="1">
      <c r="A262" s="1" t="str">
        <f t="shared" si="2"/>
        <v>va_261</v>
      </c>
      <c r="B262" s="1" t="str">
        <f ca="1">IFERROR(__xludf.DUMMYFUNCTION("""COMPUTED_VALUE"""),"宮﨑雅也")</f>
        <v>宮﨑雅也</v>
      </c>
      <c r="C262" s="1" t="s">
        <v>77</v>
      </c>
      <c r="D262" s="1" t="str">
        <f t="shared" ca="1" si="3"/>
        <v>非表示</v>
      </c>
      <c r="E262" s="1">
        <f ca="1">IFERROR(__xludf.DUMMYFUNCTION("""COMPUTED_VALUE"""),2)</f>
        <v>2</v>
      </c>
      <c r="F262" s="1" t="s">
        <v>725</v>
      </c>
      <c r="G262" s="20" t="s">
        <v>3056</v>
      </c>
      <c r="H262" s="77" t="s">
        <v>2825</v>
      </c>
    </row>
    <row r="263" spans="1:8" ht="40.200000000000003" thickBot="1">
      <c r="A263" s="1" t="str">
        <f t="shared" si="2"/>
        <v>va_262</v>
      </c>
      <c r="B263" s="1" t="str">
        <f ca="1">IFERROR(__xludf.DUMMYFUNCTION("""COMPUTED_VALUE"""),"河合健太郎")</f>
        <v>河合健太郎</v>
      </c>
      <c r="C263" s="1" t="s">
        <v>77</v>
      </c>
      <c r="D263" s="1" t="str">
        <f t="shared" ca="1" si="3"/>
        <v>非表示</v>
      </c>
      <c r="E263" s="1">
        <f ca="1">IFERROR(__xludf.DUMMYFUNCTION("""COMPUTED_VALUE"""),1)</f>
        <v>1</v>
      </c>
      <c r="F263" s="1" t="s">
        <v>726</v>
      </c>
      <c r="G263" s="20" t="s">
        <v>3057</v>
      </c>
      <c r="H263" s="47" t="s">
        <v>2825</v>
      </c>
    </row>
    <row r="264" spans="1:8" ht="211.8" thickBot="1">
      <c r="A264" s="1" t="str">
        <f t="shared" si="2"/>
        <v>va_263</v>
      </c>
      <c r="B264" s="1" t="str">
        <f ca="1">IFERROR(__xludf.DUMMYFUNCTION("""COMPUTED_VALUE"""),"鵜澤正太郎")</f>
        <v>鵜澤正太郎</v>
      </c>
      <c r="C264" s="1" t="s">
        <v>77</v>
      </c>
      <c r="D264" s="1" t="str">
        <f t="shared" ca="1" si="3"/>
        <v>非表示</v>
      </c>
      <c r="E264" s="1">
        <f ca="1">IFERROR(__xludf.DUMMYFUNCTION("""COMPUTED_VALUE"""),1)</f>
        <v>1</v>
      </c>
      <c r="F264" s="1" t="s">
        <v>727</v>
      </c>
      <c r="G264" s="20" t="s">
        <v>3058</v>
      </c>
      <c r="H264" s="29" t="s">
        <v>2813</v>
      </c>
    </row>
    <row r="265" spans="1:8" ht="53.4" thickBot="1">
      <c r="A265" s="1" t="str">
        <f t="shared" si="2"/>
        <v>va_264</v>
      </c>
      <c r="B265" s="1" t="str">
        <f ca="1">IFERROR(__xludf.DUMMYFUNCTION("""COMPUTED_VALUE"""),"橘龍丸")</f>
        <v>橘龍丸</v>
      </c>
      <c r="C265" s="1" t="s">
        <v>77</v>
      </c>
      <c r="D265" s="1" t="str">
        <f t="shared" ca="1" si="3"/>
        <v>表示</v>
      </c>
      <c r="E265" s="1">
        <f ca="1">IFERROR(__xludf.DUMMYFUNCTION("""COMPUTED_VALUE"""),3)</f>
        <v>3</v>
      </c>
      <c r="F265" s="1" t="s">
        <v>730</v>
      </c>
      <c r="G265" s="20" t="s">
        <v>3059</v>
      </c>
      <c r="H265" s="25" t="s">
        <v>2813</v>
      </c>
    </row>
    <row r="266" spans="1:8" ht="13.8" thickBot="1">
      <c r="A266" s="1" t="str">
        <f t="shared" si="2"/>
        <v>va_265</v>
      </c>
      <c r="B266" s="1" t="str">
        <f ca="1">IFERROR(__xludf.DUMMYFUNCTION("""COMPUTED_VALUE"""),"石田彰")</f>
        <v>石田彰</v>
      </c>
      <c r="C266" s="1" t="s">
        <v>77</v>
      </c>
      <c r="D266" s="1" t="str">
        <f t="shared" ca="1" si="3"/>
        <v>表示</v>
      </c>
      <c r="E266" s="1">
        <f ca="1">IFERROR(__xludf.DUMMYFUNCTION("""COMPUTED_VALUE"""),8)</f>
        <v>8</v>
      </c>
      <c r="F266" s="1" t="s">
        <v>731</v>
      </c>
      <c r="G266" s="28" t="s">
        <v>3060</v>
      </c>
      <c r="H266" s="19"/>
    </row>
    <row r="267" spans="1:8" ht="40.200000000000003" thickBot="1">
      <c r="A267" s="1" t="str">
        <f t="shared" si="2"/>
        <v>va_266</v>
      </c>
      <c r="B267" s="1" t="str">
        <f ca="1">IFERROR(__xludf.DUMMYFUNCTION("""COMPUTED_VALUE"""),"檜山修之")</f>
        <v>檜山修之</v>
      </c>
      <c r="C267" s="1" t="s">
        <v>77</v>
      </c>
      <c r="D267" s="1" t="str">
        <f t="shared" ca="1" si="3"/>
        <v>非表示</v>
      </c>
      <c r="E267" s="1">
        <f ca="1">IFERROR(__xludf.DUMMYFUNCTION("""COMPUTED_VALUE"""),1)</f>
        <v>1</v>
      </c>
      <c r="F267" s="1" t="s">
        <v>732</v>
      </c>
      <c r="G267" s="20" t="s">
        <v>3061</v>
      </c>
      <c r="H267" s="33" t="s">
        <v>2819</v>
      </c>
    </row>
    <row r="268" spans="1:8" ht="13.8" thickBot="1">
      <c r="A268" s="1" t="str">
        <f t="shared" si="2"/>
        <v>va_267</v>
      </c>
      <c r="B268" s="1" t="str">
        <f ca="1">IFERROR(__xludf.DUMMYFUNCTION("""COMPUTED_VALUE"""),"山口勝平")</f>
        <v>山口勝平</v>
      </c>
      <c r="C268" s="1" t="s">
        <v>77</v>
      </c>
      <c r="D268" s="1" t="str">
        <f t="shared" ca="1" si="3"/>
        <v>非表示</v>
      </c>
      <c r="E268" s="1">
        <f ca="1">IFERROR(__xludf.DUMMYFUNCTION("""COMPUTED_VALUE"""),2)</f>
        <v>2</v>
      </c>
      <c r="F268" s="1" t="s">
        <v>734</v>
      </c>
      <c r="G268" s="19"/>
      <c r="H268" s="19"/>
    </row>
    <row r="269" spans="1:8" ht="40.200000000000003" thickBot="1">
      <c r="A269" s="1" t="str">
        <f t="shared" si="2"/>
        <v>va_268</v>
      </c>
      <c r="B269" s="1" t="str">
        <f ca="1">IFERROR(__xludf.DUMMYFUNCTION("""COMPUTED_VALUE"""),"小杉十郎太")</f>
        <v>小杉十郎太</v>
      </c>
      <c r="C269" s="1" t="s">
        <v>77</v>
      </c>
      <c r="D269" s="1" t="str">
        <f t="shared" ca="1" si="3"/>
        <v>非表示</v>
      </c>
      <c r="E269" s="1">
        <f ca="1">IFERROR(__xludf.DUMMYFUNCTION("""COMPUTED_VALUE"""),1)</f>
        <v>1</v>
      </c>
      <c r="F269" s="1" t="s">
        <v>735</v>
      </c>
      <c r="G269" s="20" t="s">
        <v>3062</v>
      </c>
      <c r="H269" s="26" t="s">
        <v>2819</v>
      </c>
    </row>
    <row r="270" spans="1:8" ht="13.8" thickBot="1">
      <c r="A270" s="1" t="str">
        <f t="shared" si="2"/>
        <v>va_269</v>
      </c>
      <c r="B270" s="1" t="str">
        <f ca="1">IFERROR(__xludf.DUMMYFUNCTION("""COMPUTED_VALUE"""),"森田成一")</f>
        <v>森田成一</v>
      </c>
      <c r="C270" s="1" t="s">
        <v>77</v>
      </c>
      <c r="D270" s="1" t="str">
        <f t="shared" ca="1" si="3"/>
        <v>表示</v>
      </c>
      <c r="E270" s="1">
        <f ca="1">IFERROR(__xludf.DUMMYFUNCTION("""COMPUTED_VALUE"""),7)</f>
        <v>7</v>
      </c>
      <c r="F270" s="1" t="s">
        <v>736</v>
      </c>
      <c r="G270" s="19"/>
      <c r="H270" s="19"/>
    </row>
    <row r="271" spans="1:8" ht="53.4" thickBot="1">
      <c r="A271" s="1" t="str">
        <f t="shared" si="2"/>
        <v>va_270</v>
      </c>
      <c r="B271" s="1" t="str">
        <f ca="1">IFERROR(__xludf.DUMMYFUNCTION("""COMPUTED_VALUE"""),"中井和哉")</f>
        <v>中井和哉</v>
      </c>
      <c r="C271" s="1" t="s">
        <v>77</v>
      </c>
      <c r="D271" s="1" t="str">
        <f t="shared" ca="1" si="3"/>
        <v>表示</v>
      </c>
      <c r="E271" s="1">
        <f ca="1">IFERROR(__xludf.DUMMYFUNCTION("""COMPUTED_VALUE"""),3)</f>
        <v>3</v>
      </c>
      <c r="F271" s="1" t="s">
        <v>737</v>
      </c>
      <c r="G271" s="20" t="s">
        <v>3063</v>
      </c>
      <c r="H271" s="21" t="s">
        <v>2813</v>
      </c>
    </row>
    <row r="272" spans="1:8" ht="40.200000000000003" thickBot="1">
      <c r="A272" s="1" t="str">
        <f t="shared" si="2"/>
        <v>va_271</v>
      </c>
      <c r="B272" s="1" t="str">
        <f ca="1">IFERROR(__xludf.DUMMYFUNCTION("""COMPUTED_VALUE"""),"成瀬誠")</f>
        <v>成瀬誠</v>
      </c>
      <c r="C272" s="1" t="s">
        <v>77</v>
      </c>
      <c r="D272" s="1" t="str">
        <f t="shared" ca="1" si="3"/>
        <v>非表示</v>
      </c>
      <c r="E272" s="1">
        <f ca="1">IFERROR(__xludf.DUMMYFUNCTION("""COMPUTED_VALUE"""),1)</f>
        <v>1</v>
      </c>
      <c r="F272" s="1" t="s">
        <v>738</v>
      </c>
      <c r="G272" s="20" t="s">
        <v>3064</v>
      </c>
      <c r="H272" s="54" t="s">
        <v>2904</v>
      </c>
    </row>
    <row r="273" spans="1:8" ht="13.8" thickBot="1">
      <c r="A273" s="1" t="str">
        <f t="shared" si="2"/>
        <v>va_272</v>
      </c>
      <c r="B273" s="1" t="str">
        <f ca="1">IFERROR(__xludf.DUMMYFUNCTION("""COMPUTED_VALUE"""),"うえだゆうじ")</f>
        <v>うえだゆうじ</v>
      </c>
      <c r="C273" s="1" t="s">
        <v>77</v>
      </c>
      <c r="D273" s="1" t="str">
        <f t="shared" ca="1" si="3"/>
        <v>非表示</v>
      </c>
      <c r="E273" s="1">
        <f ca="1">IFERROR(__xludf.DUMMYFUNCTION("""COMPUTED_VALUE"""),1)</f>
        <v>1</v>
      </c>
      <c r="F273" s="1" t="s">
        <v>740</v>
      </c>
      <c r="G273" s="19"/>
      <c r="H273" s="19"/>
    </row>
    <row r="274" spans="1:8" ht="53.4" thickBot="1">
      <c r="A274" s="1" t="str">
        <f t="shared" si="2"/>
        <v>va_273</v>
      </c>
      <c r="B274" s="1" t="str">
        <f ca="1">IFERROR(__xludf.DUMMYFUNCTION("""COMPUTED_VALUE"""),"私市淳")</f>
        <v>私市淳</v>
      </c>
      <c r="C274" s="1" t="s">
        <v>77</v>
      </c>
      <c r="D274" s="1" t="str">
        <f t="shared" ca="1" si="3"/>
        <v>非表示</v>
      </c>
      <c r="E274" s="1">
        <f ca="1">IFERROR(__xludf.DUMMYFUNCTION("""COMPUTED_VALUE"""),1)</f>
        <v>1</v>
      </c>
      <c r="F274" s="1" t="s">
        <v>741</v>
      </c>
      <c r="G274" s="20" t="s">
        <v>3065</v>
      </c>
      <c r="H274" s="21" t="s">
        <v>2813</v>
      </c>
    </row>
    <row r="275" spans="1:8" ht="40.200000000000003" thickBot="1">
      <c r="A275" s="1" t="str">
        <f t="shared" si="2"/>
        <v>va_274</v>
      </c>
      <c r="B275" s="1" t="str">
        <f ca="1">IFERROR(__xludf.DUMMYFUNCTION("""COMPUTED_VALUE"""),"千葉進歩")</f>
        <v>千葉進歩</v>
      </c>
      <c r="C275" s="1" t="s">
        <v>77</v>
      </c>
      <c r="D275" s="1" t="str">
        <f t="shared" ca="1" si="3"/>
        <v>非表示</v>
      </c>
      <c r="E275" s="1">
        <f ca="1">IFERROR(__xludf.DUMMYFUNCTION("""COMPUTED_VALUE"""),2)</f>
        <v>2</v>
      </c>
      <c r="F275" s="1" t="s">
        <v>742</v>
      </c>
      <c r="G275" s="20" t="s">
        <v>3066</v>
      </c>
      <c r="H275" s="26" t="s">
        <v>2819</v>
      </c>
    </row>
    <row r="276" spans="1:8" ht="53.4" thickBot="1">
      <c r="A276" s="1" t="str">
        <f t="shared" si="2"/>
        <v>va_275</v>
      </c>
      <c r="B276" s="1" t="str">
        <f ca="1">IFERROR(__xludf.DUMMYFUNCTION("""COMPUTED_VALUE"""),"菅沼久義")</f>
        <v>菅沼久義</v>
      </c>
      <c r="C276" s="1" t="s">
        <v>77</v>
      </c>
      <c r="D276" s="1" t="str">
        <f t="shared" ca="1" si="3"/>
        <v>表示</v>
      </c>
      <c r="E276" s="1">
        <f ca="1">IFERROR(__xludf.DUMMYFUNCTION("""COMPUTED_VALUE"""),3)</f>
        <v>3</v>
      </c>
      <c r="F276" s="1" t="s">
        <v>743</v>
      </c>
      <c r="G276" s="20" t="s">
        <v>3067</v>
      </c>
      <c r="H276" s="21" t="s">
        <v>2813</v>
      </c>
    </row>
    <row r="277" spans="1:8" ht="53.4" thickBot="1">
      <c r="A277" s="1" t="str">
        <f t="shared" si="2"/>
        <v>va_276</v>
      </c>
      <c r="B277" s="1" t="str">
        <f ca="1">IFERROR(__xludf.DUMMYFUNCTION("""COMPUTED_VALUE"""),"田邊幸輔")</f>
        <v>田邊幸輔</v>
      </c>
      <c r="C277" s="1" t="s">
        <v>77</v>
      </c>
      <c r="D277" s="1" t="str">
        <f t="shared" ca="1" si="3"/>
        <v>表示</v>
      </c>
      <c r="E277" s="1">
        <f ca="1">IFERROR(__xludf.DUMMYFUNCTION("""COMPUTED_VALUE"""),3)</f>
        <v>3</v>
      </c>
      <c r="F277" s="1" t="s">
        <v>744</v>
      </c>
      <c r="G277" s="20" t="s">
        <v>3068</v>
      </c>
      <c r="H277" s="21" t="s">
        <v>2813</v>
      </c>
    </row>
    <row r="278" spans="1:8" ht="13.8" thickBot="1">
      <c r="A278" s="1" t="str">
        <f t="shared" si="2"/>
        <v>va_277</v>
      </c>
      <c r="B278" s="1" t="str">
        <f ca="1">IFERROR(__xludf.DUMMYFUNCTION("""COMPUTED_VALUE"""),"植木慎英")</f>
        <v>植木慎英</v>
      </c>
      <c r="C278" s="1" t="s">
        <v>77</v>
      </c>
      <c r="D278" s="1" t="str">
        <f t="shared" ca="1" si="3"/>
        <v>非表示</v>
      </c>
      <c r="E278" s="1">
        <f ca="1">IFERROR(__xludf.DUMMYFUNCTION("""COMPUTED_VALUE"""),1)</f>
        <v>1</v>
      </c>
      <c r="F278" s="1" t="s">
        <v>746</v>
      </c>
      <c r="G278" s="19"/>
      <c r="H278" s="19"/>
    </row>
    <row r="279" spans="1:8" ht="251.4" thickBot="1">
      <c r="A279" s="1" t="str">
        <f t="shared" si="2"/>
        <v>va_278</v>
      </c>
      <c r="B279" s="1" t="str">
        <f ca="1">IFERROR(__xludf.DUMMYFUNCTION("""COMPUTED_VALUE"""),"三宅貴大")</f>
        <v>三宅貴大</v>
      </c>
      <c r="C279" s="1" t="s">
        <v>77</v>
      </c>
      <c r="D279" s="1" t="str">
        <f t="shared" ca="1" si="3"/>
        <v>非表示</v>
      </c>
      <c r="E279" s="1">
        <f ca="1">IFERROR(__xludf.DUMMYFUNCTION("""COMPUTED_VALUE"""),1)</f>
        <v>1</v>
      </c>
      <c r="F279" s="1" t="s">
        <v>747</v>
      </c>
      <c r="G279" s="20" t="s">
        <v>3069</v>
      </c>
      <c r="H279" s="29" t="s">
        <v>2813</v>
      </c>
    </row>
    <row r="280" spans="1:8" ht="53.4" thickBot="1">
      <c r="A280" s="1" t="str">
        <f t="shared" si="2"/>
        <v>va_279</v>
      </c>
      <c r="B280" s="1" t="str">
        <f ca="1">IFERROR(__xludf.DUMMYFUNCTION("""COMPUTED_VALUE"""),"保住有哉")</f>
        <v>保住有哉</v>
      </c>
      <c r="C280" s="1" t="s">
        <v>77</v>
      </c>
      <c r="D280" s="1" t="str">
        <f t="shared" ca="1" si="3"/>
        <v>非表示</v>
      </c>
      <c r="E280" s="1">
        <f ca="1">IFERROR(__xludf.DUMMYFUNCTION("""COMPUTED_VALUE"""),2)</f>
        <v>2</v>
      </c>
      <c r="F280" s="1" t="s">
        <v>748</v>
      </c>
      <c r="G280" s="20" t="s">
        <v>3070</v>
      </c>
      <c r="H280" s="78" t="s">
        <v>2813</v>
      </c>
    </row>
    <row r="281" spans="1:8" ht="53.4" thickBot="1">
      <c r="A281" s="1" t="str">
        <f t="shared" si="2"/>
        <v>va_280</v>
      </c>
      <c r="B281" s="1" t="str">
        <f ca="1">IFERROR(__xludf.DUMMYFUNCTION("""COMPUTED_VALUE"""),"小野将夢")</f>
        <v>小野将夢</v>
      </c>
      <c r="C281" s="1" t="s">
        <v>77</v>
      </c>
      <c r="D281" s="1" t="str">
        <f t="shared" ca="1" si="3"/>
        <v>非表示</v>
      </c>
      <c r="E281" s="1">
        <f ca="1">IFERROR(__xludf.DUMMYFUNCTION("""COMPUTED_VALUE"""),2)</f>
        <v>2</v>
      </c>
      <c r="F281" s="1" t="s">
        <v>749</v>
      </c>
      <c r="G281" s="20" t="s">
        <v>3071</v>
      </c>
      <c r="H281" s="21" t="s">
        <v>2813</v>
      </c>
    </row>
    <row r="282" spans="1:8" ht="13.8" thickBot="1">
      <c r="A282" s="1" t="str">
        <f t="shared" si="2"/>
        <v>va_281</v>
      </c>
      <c r="B282" s="1" t="str">
        <f ca="1">IFERROR(__xludf.DUMMYFUNCTION("""COMPUTED_VALUE"""),"加藤渉")</f>
        <v>加藤渉</v>
      </c>
      <c r="C282" s="1" t="s">
        <v>77</v>
      </c>
      <c r="D282" s="1" t="str">
        <f t="shared" ca="1" si="3"/>
        <v>非表示</v>
      </c>
      <c r="E282" s="1">
        <f ca="1">IFERROR(__xludf.DUMMYFUNCTION("""COMPUTED_VALUE"""),1)</f>
        <v>1</v>
      </c>
      <c r="F282" s="1" t="s">
        <v>750</v>
      </c>
      <c r="G282" s="28" t="s">
        <v>3072</v>
      </c>
      <c r="H282" s="19"/>
    </row>
    <row r="283" spans="1:8" ht="40.200000000000003" thickBot="1">
      <c r="A283" s="1" t="str">
        <f t="shared" si="2"/>
        <v>va_282</v>
      </c>
      <c r="B283" s="1" t="str">
        <f ca="1">IFERROR(__xludf.DUMMYFUNCTION("""COMPUTED_VALUE"""),"宮瀬尚也")</f>
        <v>宮瀬尚也</v>
      </c>
      <c r="C283" s="1" t="s">
        <v>77</v>
      </c>
      <c r="D283" s="1" t="str">
        <f t="shared" ca="1" si="3"/>
        <v>非表示</v>
      </c>
      <c r="E283" s="1">
        <f ca="1">IFERROR(__xludf.DUMMYFUNCTION("""COMPUTED_VALUE"""),1)</f>
        <v>1</v>
      </c>
      <c r="F283" s="1" t="s">
        <v>752</v>
      </c>
      <c r="G283" s="20" t="s">
        <v>3073</v>
      </c>
      <c r="H283" s="54" t="s">
        <v>2904</v>
      </c>
    </row>
    <row r="284" spans="1:8" ht="40.200000000000003" thickBot="1">
      <c r="A284" s="1" t="str">
        <f t="shared" si="2"/>
        <v>va_283</v>
      </c>
      <c r="B284" s="1" t="str">
        <f ca="1">IFERROR(__xludf.DUMMYFUNCTION("""COMPUTED_VALUE"""),"高野憲太朗")</f>
        <v>高野憲太朗</v>
      </c>
      <c r="C284" s="1" t="s">
        <v>77</v>
      </c>
      <c r="D284" s="1" t="str">
        <f t="shared" ca="1" si="3"/>
        <v>非表示</v>
      </c>
      <c r="E284" s="1">
        <f ca="1">IFERROR(__xludf.DUMMYFUNCTION("""COMPUTED_VALUE"""),1)</f>
        <v>1</v>
      </c>
      <c r="F284" s="1" t="s">
        <v>753</v>
      </c>
      <c r="G284" s="20" t="s">
        <v>3074</v>
      </c>
      <c r="H284" s="54" t="s">
        <v>2904</v>
      </c>
    </row>
    <row r="285" spans="1:8" ht="13.8" thickBot="1">
      <c r="A285" s="1" t="str">
        <f t="shared" si="2"/>
        <v>va_284</v>
      </c>
      <c r="B285" s="1" t="str">
        <f ca="1">IFERROR(__xludf.DUMMYFUNCTION("""COMPUTED_VALUE"""),"吉高志音")</f>
        <v>吉高志音</v>
      </c>
      <c r="C285" s="1" t="s">
        <v>41</v>
      </c>
      <c r="D285" s="1" t="str">
        <f t="shared" ca="1" si="3"/>
        <v>非表示</v>
      </c>
      <c r="E285" s="1">
        <f ca="1">IFERROR(__xludf.DUMMYFUNCTION("""COMPUTED_VALUE"""),2)</f>
        <v>2</v>
      </c>
      <c r="G285" s="19"/>
      <c r="H285" s="19"/>
    </row>
    <row r="286" spans="1:8" ht="251.4" thickBot="1">
      <c r="A286" s="1" t="str">
        <f t="shared" si="2"/>
        <v>va_285</v>
      </c>
      <c r="B286" s="1" t="str">
        <f ca="1">IFERROR(__xludf.DUMMYFUNCTION("""COMPUTED_VALUE"""),"木暮晃石")</f>
        <v>木暮晃石</v>
      </c>
      <c r="C286" s="1" t="s">
        <v>77</v>
      </c>
      <c r="D286" s="1" t="str">
        <f t="shared" ca="1" si="3"/>
        <v>非表示</v>
      </c>
      <c r="E286" s="1">
        <f ca="1">IFERROR(__xludf.DUMMYFUNCTION("""COMPUTED_VALUE"""),2)</f>
        <v>2</v>
      </c>
      <c r="F286" s="1" t="s">
        <v>754</v>
      </c>
      <c r="G286" s="20" t="s">
        <v>3075</v>
      </c>
      <c r="H286" s="29" t="s">
        <v>2813</v>
      </c>
    </row>
    <row r="287" spans="1:8" ht="53.4" thickBot="1">
      <c r="A287" s="1" t="str">
        <f t="shared" si="2"/>
        <v>va_286</v>
      </c>
      <c r="B287" s="1" t="str">
        <f ca="1">IFERROR(__xludf.DUMMYFUNCTION("""COMPUTED_VALUE"""),"小林秀行")</f>
        <v>小林秀行</v>
      </c>
      <c r="C287" s="1" t="s">
        <v>77</v>
      </c>
      <c r="D287" s="1" t="str">
        <f t="shared" ca="1" si="3"/>
        <v>非表示</v>
      </c>
      <c r="E287" s="1">
        <f ca="1">IFERROR(__xludf.DUMMYFUNCTION("""COMPUTED_VALUE"""),1)</f>
        <v>1</v>
      </c>
      <c r="F287" s="1" t="s">
        <v>755</v>
      </c>
      <c r="G287" s="20" t="s">
        <v>3076</v>
      </c>
      <c r="H287" s="79" t="s">
        <v>3077</v>
      </c>
    </row>
    <row r="288" spans="1:8" ht="66.599999999999994" thickBot="1">
      <c r="A288" s="1" t="str">
        <f t="shared" si="2"/>
        <v>va_287</v>
      </c>
      <c r="B288" s="1" t="str">
        <f ca="1">IFERROR(__xludf.DUMMYFUNCTION("""COMPUTED_VALUE"""),"柳晃平")</f>
        <v>柳晃平</v>
      </c>
      <c r="C288" s="1" t="s">
        <v>77</v>
      </c>
      <c r="D288" s="1" t="str">
        <f t="shared" ca="1" si="3"/>
        <v>非表示</v>
      </c>
      <c r="E288" s="1">
        <f ca="1">IFERROR(__xludf.DUMMYFUNCTION("""COMPUTED_VALUE"""),1)</f>
        <v>1</v>
      </c>
      <c r="F288" s="1" t="s">
        <v>757</v>
      </c>
      <c r="G288" s="20" t="s">
        <v>3078</v>
      </c>
      <c r="H288" s="75" t="s">
        <v>2819</v>
      </c>
    </row>
    <row r="289" spans="1:8" ht="53.4" thickBot="1">
      <c r="A289" s="1" t="str">
        <f t="shared" si="2"/>
        <v>va_288</v>
      </c>
      <c r="B289" s="1" t="str">
        <f ca="1">IFERROR(__xludf.DUMMYFUNCTION("""COMPUTED_VALUE"""),"竹田海渡")</f>
        <v>竹田海渡</v>
      </c>
      <c r="C289" s="1" t="s">
        <v>77</v>
      </c>
      <c r="D289" s="1" t="str">
        <f t="shared" ca="1" si="3"/>
        <v>非表示</v>
      </c>
      <c r="E289" s="1">
        <f ca="1">IFERROR(__xludf.DUMMYFUNCTION("""COMPUTED_VALUE"""),2)</f>
        <v>2</v>
      </c>
      <c r="F289" s="1" t="s">
        <v>758</v>
      </c>
      <c r="G289" s="20" t="s">
        <v>3079</v>
      </c>
      <c r="H289" s="21" t="s">
        <v>2813</v>
      </c>
    </row>
    <row r="290" spans="1:8" ht="264.60000000000002" thickBot="1">
      <c r="A290" s="1" t="str">
        <f t="shared" si="2"/>
        <v>va_289</v>
      </c>
      <c r="B290" s="1" t="str">
        <f ca="1">IFERROR(__xludf.DUMMYFUNCTION("""COMPUTED_VALUE"""),"佐々木啓夫")</f>
        <v>佐々木啓夫</v>
      </c>
      <c r="C290" s="1" t="s">
        <v>77</v>
      </c>
      <c r="D290" s="1" t="str">
        <f t="shared" ca="1" si="3"/>
        <v>非表示</v>
      </c>
      <c r="E290" s="1">
        <f ca="1">IFERROR(__xludf.DUMMYFUNCTION("""COMPUTED_VALUE"""),1)</f>
        <v>1</v>
      </c>
      <c r="F290" s="1" t="s">
        <v>759</v>
      </c>
      <c r="G290" s="20" t="s">
        <v>3080</v>
      </c>
      <c r="H290" s="29" t="s">
        <v>2813</v>
      </c>
    </row>
    <row r="291" spans="1:8" ht="40.200000000000003" thickBot="1">
      <c r="A291" s="1" t="str">
        <f t="shared" si="2"/>
        <v>va_290</v>
      </c>
      <c r="B291" s="1" t="str">
        <f ca="1">IFERROR(__xludf.DUMMYFUNCTION("""COMPUTED_VALUE"""),"石黒史剛")</f>
        <v>石黒史剛</v>
      </c>
      <c r="C291" s="1" t="s">
        <v>77</v>
      </c>
      <c r="D291" s="1" t="str">
        <f t="shared" ca="1" si="3"/>
        <v>非表示</v>
      </c>
      <c r="E291" s="1">
        <f ca="1">IFERROR(__xludf.DUMMYFUNCTION("""COMPUTED_VALUE"""),1)</f>
        <v>1</v>
      </c>
      <c r="F291" s="1" t="s">
        <v>760</v>
      </c>
      <c r="G291" s="20" t="s">
        <v>3081</v>
      </c>
      <c r="H291" s="54" t="s">
        <v>2904</v>
      </c>
    </row>
    <row r="292" spans="1:8" ht="13.8" thickBot="1">
      <c r="A292" s="1" t="str">
        <f t="shared" si="2"/>
        <v>va_291</v>
      </c>
      <c r="B292" s="1" t="str">
        <f ca="1">IFERROR(__xludf.DUMMYFUNCTION("""COMPUTED_VALUE"""),"関智一")</f>
        <v>関智一</v>
      </c>
      <c r="C292" s="1" t="s">
        <v>77</v>
      </c>
      <c r="D292" s="1" t="str">
        <f t="shared" ca="1" si="3"/>
        <v>表示</v>
      </c>
      <c r="E292" s="1">
        <f ca="1">IFERROR(__xludf.DUMMYFUNCTION("""COMPUTED_VALUE"""),5)</f>
        <v>5</v>
      </c>
      <c r="F292" s="1" t="s">
        <v>762</v>
      </c>
      <c r="G292" s="19"/>
      <c r="H292" s="19"/>
    </row>
    <row r="293" spans="1:8" ht="13.8" thickBot="1">
      <c r="A293" s="1" t="str">
        <f t="shared" si="2"/>
        <v>va_292</v>
      </c>
      <c r="B293" s="1" t="str">
        <f ca="1">IFERROR(__xludf.DUMMYFUNCTION("""COMPUTED_VALUE"""),"高橋直純")</f>
        <v>高橋直純</v>
      </c>
      <c r="C293" s="1" t="s">
        <v>41</v>
      </c>
      <c r="D293" s="1" t="str">
        <f t="shared" ca="1" si="3"/>
        <v>非表示</v>
      </c>
      <c r="E293" s="1">
        <f ca="1">IFERROR(__xludf.DUMMYFUNCTION("""COMPUTED_VALUE"""),2)</f>
        <v>2</v>
      </c>
      <c r="G293" s="19"/>
      <c r="H293" s="19"/>
    </row>
    <row r="294" spans="1:8" ht="40.200000000000003" thickBot="1">
      <c r="A294" s="1" t="str">
        <f t="shared" si="2"/>
        <v>va_293</v>
      </c>
      <c r="B294" s="1" t="str">
        <f ca="1">IFERROR(__xludf.DUMMYFUNCTION("""COMPUTED_VALUE"""),"中原茂")</f>
        <v>中原茂</v>
      </c>
      <c r="C294" s="1" t="s">
        <v>77</v>
      </c>
      <c r="D294" s="1" t="str">
        <f t="shared" ca="1" si="3"/>
        <v>非表示</v>
      </c>
      <c r="E294" s="1">
        <f ca="1">IFERROR(__xludf.DUMMYFUNCTION("""COMPUTED_VALUE"""),1)</f>
        <v>1</v>
      </c>
      <c r="F294" s="1" t="s">
        <v>763</v>
      </c>
      <c r="G294" s="20" t="s">
        <v>3082</v>
      </c>
      <c r="H294" s="80" t="s">
        <v>2819</v>
      </c>
    </row>
    <row r="295" spans="1:8" ht="13.8" thickBot="1">
      <c r="A295" s="1" t="str">
        <f t="shared" si="2"/>
        <v>va_294</v>
      </c>
      <c r="B295" s="1" t="str">
        <f ca="1">IFERROR(__xludf.DUMMYFUNCTION("""COMPUTED_VALUE"""),"四反田マイケル")</f>
        <v>四反田マイケル</v>
      </c>
      <c r="C295" s="1" t="s">
        <v>77</v>
      </c>
      <c r="D295" s="1" t="str">
        <f t="shared" ca="1" si="3"/>
        <v>非表示</v>
      </c>
      <c r="E295" s="1">
        <f ca="1">IFERROR(__xludf.DUMMYFUNCTION("""COMPUTED_VALUE"""),1)</f>
        <v>1</v>
      </c>
      <c r="F295" s="1" t="s">
        <v>764</v>
      </c>
      <c r="G295" s="19"/>
      <c r="H295" s="19"/>
    </row>
    <row r="296" spans="1:8" ht="66.599999999999994" thickBot="1">
      <c r="A296" s="1" t="str">
        <f t="shared" si="2"/>
        <v>va_295</v>
      </c>
      <c r="B296" s="1" t="str">
        <f ca="1">IFERROR(__xludf.DUMMYFUNCTION("""COMPUTED_VALUE"""),"戸谷菊之介")</f>
        <v>戸谷菊之介</v>
      </c>
      <c r="C296" s="1" t="s">
        <v>77</v>
      </c>
      <c r="D296" s="1" t="str">
        <f t="shared" ca="1" si="3"/>
        <v>表示</v>
      </c>
      <c r="E296" s="1">
        <f ca="1">IFERROR(__xludf.DUMMYFUNCTION("""COMPUTED_VALUE"""),3)</f>
        <v>3</v>
      </c>
      <c r="F296" s="1" t="s">
        <v>765</v>
      </c>
      <c r="G296" s="20" t="s">
        <v>3083</v>
      </c>
      <c r="H296" s="19" t="s">
        <v>3084</v>
      </c>
    </row>
    <row r="297" spans="1:8" ht="13.8" thickBot="1">
      <c r="A297" s="1" t="str">
        <f t="shared" si="2"/>
        <v>va_296</v>
      </c>
      <c r="B297" s="1" t="str">
        <f ca="1">IFERROR(__xludf.DUMMYFUNCTION("""COMPUTED_VALUE"""),"綿貫竜之介")</f>
        <v>綿貫竜之介</v>
      </c>
      <c r="C297" s="1" t="s">
        <v>77</v>
      </c>
      <c r="D297" s="1" t="str">
        <f t="shared" ca="1" si="3"/>
        <v>非表示</v>
      </c>
      <c r="E297" s="1">
        <f ca="1">IFERROR(__xludf.DUMMYFUNCTION("""COMPUTED_VALUE"""),1)</f>
        <v>1</v>
      </c>
      <c r="F297" s="1" t="s">
        <v>767</v>
      </c>
      <c r="G297" s="28" t="s">
        <v>3085</v>
      </c>
      <c r="H297" s="19"/>
    </row>
    <row r="298" spans="1:8" ht="53.4" thickBot="1">
      <c r="A298" s="1" t="str">
        <f t="shared" si="2"/>
        <v>va_297</v>
      </c>
      <c r="B298" s="1" t="str">
        <f ca="1">IFERROR(__xludf.DUMMYFUNCTION("""COMPUTED_VALUE"""),"下鶴直幸")</f>
        <v>下鶴直幸</v>
      </c>
      <c r="C298" s="1" t="s">
        <v>77</v>
      </c>
      <c r="D298" s="1" t="str">
        <f t="shared" ca="1" si="3"/>
        <v>非表示</v>
      </c>
      <c r="E298" s="1">
        <f ca="1">IFERROR(__xludf.DUMMYFUNCTION("""COMPUTED_VALUE"""),1)</f>
        <v>1</v>
      </c>
      <c r="F298" s="1" t="s">
        <v>768</v>
      </c>
      <c r="G298" s="20" t="s">
        <v>3086</v>
      </c>
      <c r="H298" s="69" t="s">
        <v>2813</v>
      </c>
    </row>
    <row r="299" spans="1:8" ht="53.4" thickBot="1">
      <c r="A299" s="1" t="str">
        <f t="shared" si="2"/>
        <v>va_298</v>
      </c>
      <c r="B299" s="1" t="str">
        <f ca="1">IFERROR(__xludf.DUMMYFUNCTION("""COMPUTED_VALUE"""),"神谷浩史")</f>
        <v>神谷浩史</v>
      </c>
      <c r="C299" s="1" t="s">
        <v>77</v>
      </c>
      <c r="D299" s="1" t="str">
        <f t="shared" ca="1" si="3"/>
        <v>表示</v>
      </c>
      <c r="E299" s="1">
        <f ca="1">IFERROR(__xludf.DUMMYFUNCTION("""COMPUTED_VALUE"""),6)</f>
        <v>6</v>
      </c>
      <c r="F299" s="1" t="s">
        <v>769</v>
      </c>
      <c r="G299" s="20" t="s">
        <v>3087</v>
      </c>
      <c r="H299" s="21" t="s">
        <v>2813</v>
      </c>
    </row>
    <row r="300" spans="1:8" ht="13.8" thickBot="1">
      <c r="A300" s="1" t="str">
        <f t="shared" si="2"/>
        <v>va_299</v>
      </c>
      <c r="B300" s="1" t="str">
        <f ca="1">IFERROR(__xludf.DUMMYFUNCTION("""COMPUTED_VALUE"""),"大川透")</f>
        <v>大川透</v>
      </c>
      <c r="C300" s="1" t="s">
        <v>77</v>
      </c>
      <c r="D300" s="1" t="str">
        <f t="shared" ca="1" si="3"/>
        <v>非表示</v>
      </c>
      <c r="E300" s="1">
        <f ca="1">IFERROR(__xludf.DUMMYFUNCTION("""COMPUTED_VALUE"""),2)</f>
        <v>2</v>
      </c>
      <c r="F300" s="1" t="s">
        <v>770</v>
      </c>
      <c r="G300" s="28" t="s">
        <v>3088</v>
      </c>
      <c r="H300" s="19"/>
    </row>
    <row r="301" spans="1:8" ht="53.4" thickBot="1">
      <c r="A301" s="1" t="str">
        <f t="shared" si="2"/>
        <v>va_300</v>
      </c>
      <c r="B301" s="1" t="str">
        <f ca="1">IFERROR(__xludf.DUMMYFUNCTION("""COMPUTED_VALUE"""),"小野坂昌也")</f>
        <v>小野坂昌也</v>
      </c>
      <c r="C301" s="1" t="s">
        <v>77</v>
      </c>
      <c r="D301" s="1" t="str">
        <f t="shared" ca="1" si="3"/>
        <v>非表示</v>
      </c>
      <c r="E301" s="1">
        <f ca="1">IFERROR(__xludf.DUMMYFUNCTION("""COMPUTED_VALUE"""),2)</f>
        <v>2</v>
      </c>
      <c r="F301" s="1" t="s">
        <v>772</v>
      </c>
      <c r="G301" s="20" t="s">
        <v>3089</v>
      </c>
      <c r="H301" s="21" t="s">
        <v>2813</v>
      </c>
    </row>
    <row r="302" spans="1:8" ht="55.8" thickBot="1">
      <c r="A302" s="1" t="str">
        <f t="shared" si="2"/>
        <v>va_301</v>
      </c>
      <c r="B302" s="1" t="str">
        <f ca="1">IFERROR(__xludf.DUMMYFUNCTION("""COMPUTED_VALUE"""),"白石稔")</f>
        <v>白石稔</v>
      </c>
      <c r="C302" s="1" t="s">
        <v>77</v>
      </c>
      <c r="D302" s="1" t="str">
        <f t="shared" ca="1" si="3"/>
        <v>非表示</v>
      </c>
      <c r="E302" s="1">
        <f ca="1">IFERROR(__xludf.DUMMYFUNCTION("""COMPUTED_VALUE"""),1)</f>
        <v>1</v>
      </c>
      <c r="F302" s="1" t="s">
        <v>773</v>
      </c>
      <c r="G302" s="20" t="s">
        <v>3090</v>
      </c>
      <c r="H302" s="71" t="s">
        <v>2819</v>
      </c>
    </row>
    <row r="303" spans="1:8" ht="53.4" thickBot="1">
      <c r="A303" s="1" t="str">
        <f t="shared" si="2"/>
        <v>va_302</v>
      </c>
      <c r="B303" s="1" t="str">
        <f ca="1">IFERROR(__xludf.DUMMYFUNCTION("""COMPUTED_VALUE"""),"岸尾だいすけ")</f>
        <v>岸尾だいすけ</v>
      </c>
      <c r="C303" s="1" t="s">
        <v>77</v>
      </c>
      <c r="D303" s="1" t="str">
        <f t="shared" ca="1" si="3"/>
        <v>表示</v>
      </c>
      <c r="E303" s="1">
        <f ca="1">IFERROR(__xludf.DUMMYFUNCTION("""COMPUTED_VALUE"""),8)</f>
        <v>8</v>
      </c>
      <c r="F303" s="1" t="s">
        <v>774</v>
      </c>
      <c r="G303" s="20" t="s">
        <v>3091</v>
      </c>
      <c r="H303" s="21" t="s">
        <v>2813</v>
      </c>
    </row>
    <row r="304" spans="1:8" ht="53.4" thickBot="1">
      <c r="A304" s="1" t="str">
        <f t="shared" si="2"/>
        <v>va_303</v>
      </c>
      <c r="B304" s="1" t="str">
        <f ca="1">IFERROR(__xludf.DUMMYFUNCTION("""COMPUTED_VALUE"""),"松本保典")</f>
        <v>松本保典</v>
      </c>
      <c r="C304" s="1" t="s">
        <v>77</v>
      </c>
      <c r="D304" s="1" t="str">
        <f t="shared" ca="1" si="3"/>
        <v>非表示</v>
      </c>
      <c r="E304" s="1">
        <f ca="1">IFERROR(__xludf.DUMMYFUNCTION("""COMPUTED_VALUE"""),1)</f>
        <v>1</v>
      </c>
      <c r="F304" s="1" t="s">
        <v>775</v>
      </c>
      <c r="G304" s="20" t="s">
        <v>3092</v>
      </c>
      <c r="H304" s="65" t="s">
        <v>2813</v>
      </c>
    </row>
    <row r="305" spans="1:8" ht="13.8" thickBot="1">
      <c r="A305" s="1" t="str">
        <f t="shared" si="2"/>
        <v>va_304</v>
      </c>
      <c r="B305" s="1" t="str">
        <f ca="1">IFERROR(__xludf.DUMMYFUNCTION("""COMPUTED_VALUE"""),"櫻井孝宏")</f>
        <v>櫻井孝宏</v>
      </c>
      <c r="C305" s="1" t="s">
        <v>77</v>
      </c>
      <c r="D305" s="1" t="str">
        <f t="shared" ca="1" si="3"/>
        <v>表示</v>
      </c>
      <c r="E305" s="1">
        <f ca="1">IFERROR(__xludf.DUMMYFUNCTION("""COMPUTED_VALUE"""),7)</f>
        <v>7</v>
      </c>
      <c r="F305" s="1" t="s">
        <v>776</v>
      </c>
      <c r="G305" s="19"/>
      <c r="H305" s="19"/>
    </row>
    <row r="306" spans="1:8" ht="13.8" thickBot="1">
      <c r="A306" s="1" t="str">
        <f t="shared" si="2"/>
        <v>va_305</v>
      </c>
      <c r="B306" s="1" t="str">
        <f ca="1">IFERROR(__xludf.DUMMYFUNCTION("""COMPUTED_VALUE"""),"伊藤健太郎")</f>
        <v>伊藤健太郎</v>
      </c>
      <c r="C306" s="1" t="s">
        <v>77</v>
      </c>
      <c r="D306" s="1" t="str">
        <f t="shared" ca="1" si="3"/>
        <v>表示</v>
      </c>
      <c r="E306" s="1">
        <f ca="1">IFERROR(__xludf.DUMMYFUNCTION("""COMPUTED_VALUE"""),3)</f>
        <v>3</v>
      </c>
      <c r="F306" s="1" t="s">
        <v>777</v>
      </c>
      <c r="G306" s="28" t="s">
        <v>3093</v>
      </c>
      <c r="H306" s="19"/>
    </row>
    <row r="307" spans="1:8" ht="13.8" thickBot="1">
      <c r="A307" s="1" t="str">
        <f t="shared" si="2"/>
        <v>va_306</v>
      </c>
      <c r="B307" s="1" t="str">
        <f ca="1">IFERROR(__xludf.DUMMYFUNCTION("""COMPUTED_VALUE"""),"村上聡")</f>
        <v>村上聡</v>
      </c>
      <c r="C307" s="1" t="s">
        <v>77</v>
      </c>
      <c r="D307" s="1" t="str">
        <f t="shared" ca="1" si="3"/>
        <v>非表示</v>
      </c>
      <c r="E307" s="1">
        <f ca="1">IFERROR(__xludf.DUMMYFUNCTION("""COMPUTED_VALUE"""),1)</f>
        <v>1</v>
      </c>
      <c r="F307" s="1" t="s">
        <v>778</v>
      </c>
      <c r="G307" s="19"/>
      <c r="H307" s="19"/>
    </row>
    <row r="308" spans="1:8" ht="79.8" thickBot="1">
      <c r="A308" s="1" t="str">
        <f t="shared" si="2"/>
        <v>va_307</v>
      </c>
      <c r="B308" s="1" t="str">
        <f ca="1">IFERROR(__xludf.DUMMYFUNCTION("""COMPUTED_VALUE"""),"三上哲")</f>
        <v>三上哲</v>
      </c>
      <c r="C308" s="1" t="s">
        <v>77</v>
      </c>
      <c r="D308" s="1" t="str">
        <f t="shared" ca="1" si="3"/>
        <v>非表示</v>
      </c>
      <c r="E308" s="1">
        <f ca="1">IFERROR(__xludf.DUMMYFUNCTION("""COMPUTED_VALUE"""),1)</f>
        <v>1</v>
      </c>
      <c r="F308" s="1" t="s">
        <v>779</v>
      </c>
      <c r="G308" s="20" t="s">
        <v>3094</v>
      </c>
      <c r="H308" s="81" t="s">
        <v>2819</v>
      </c>
    </row>
    <row r="309" spans="1:8" ht="53.4" thickBot="1">
      <c r="A309" s="1" t="str">
        <f t="shared" si="2"/>
        <v>va_308</v>
      </c>
      <c r="B309" s="1" t="str">
        <f ca="1">IFERROR(__xludf.DUMMYFUNCTION("""COMPUTED_VALUE"""),"三浦祥朗")</f>
        <v>三浦祥朗</v>
      </c>
      <c r="C309" s="1" t="s">
        <v>77</v>
      </c>
      <c r="D309" s="1" t="str">
        <f t="shared" ca="1" si="3"/>
        <v>表示</v>
      </c>
      <c r="E309" s="1">
        <f ca="1">IFERROR(__xludf.DUMMYFUNCTION("""COMPUTED_VALUE"""),5)</f>
        <v>5</v>
      </c>
      <c r="F309" s="1" t="s">
        <v>781</v>
      </c>
      <c r="G309" s="20" t="s">
        <v>3095</v>
      </c>
      <c r="H309" s="21" t="s">
        <v>2813</v>
      </c>
    </row>
    <row r="310" spans="1:8" ht="13.8" thickBot="1">
      <c r="A310" s="1" t="str">
        <f t="shared" si="2"/>
        <v>va_309</v>
      </c>
      <c r="B310" s="1" t="str">
        <f ca="1">IFERROR(__xludf.DUMMYFUNCTION("""COMPUTED_VALUE"""),"中川晃教")</f>
        <v>中川晃教</v>
      </c>
      <c r="C310" s="1" t="s">
        <v>41</v>
      </c>
      <c r="D310" s="1" t="str">
        <f t="shared" ca="1" si="3"/>
        <v>非表示</v>
      </c>
      <c r="E310" s="1">
        <f ca="1">IFERROR(__xludf.DUMMYFUNCTION("""COMPUTED_VALUE"""),1)</f>
        <v>1</v>
      </c>
      <c r="G310" s="19"/>
      <c r="H310" s="19"/>
    </row>
    <row r="311" spans="1:8" ht="53.4" thickBot="1">
      <c r="A311" s="1" t="str">
        <f t="shared" si="2"/>
        <v>va_310</v>
      </c>
      <c r="B311" s="1" t="str">
        <f ca="1">IFERROR(__xludf.DUMMYFUNCTION("""COMPUTED_VALUE"""),"佐藤元")</f>
        <v>佐藤元</v>
      </c>
      <c r="C311" s="1" t="s">
        <v>77</v>
      </c>
      <c r="D311" s="1" t="str">
        <f t="shared" ca="1" si="3"/>
        <v>表示</v>
      </c>
      <c r="E311" s="1">
        <f ca="1">IFERROR(__xludf.DUMMYFUNCTION("""COMPUTED_VALUE"""),4)</f>
        <v>4</v>
      </c>
      <c r="F311" s="1" t="s">
        <v>782</v>
      </c>
      <c r="G311" s="20" t="s">
        <v>3096</v>
      </c>
      <c r="H311" s="23" t="s">
        <v>2819</v>
      </c>
    </row>
    <row r="312" spans="1:8" ht="13.8" thickBot="1">
      <c r="A312" s="1" t="str">
        <f t="shared" si="2"/>
        <v>va_311</v>
      </c>
      <c r="B312" s="1" t="str">
        <f ca="1">IFERROR(__xludf.DUMMYFUNCTION("""COMPUTED_VALUE"""),"大海将一郎")</f>
        <v>大海将一郎</v>
      </c>
      <c r="C312" s="1" t="s">
        <v>41</v>
      </c>
      <c r="D312" s="1" t="str">
        <f t="shared" ca="1" si="3"/>
        <v>非表示</v>
      </c>
      <c r="E312" s="1">
        <f ca="1">IFERROR(__xludf.DUMMYFUNCTION("""COMPUTED_VALUE"""),1)</f>
        <v>1</v>
      </c>
      <c r="G312" s="19"/>
      <c r="H312" s="19"/>
    </row>
    <row r="313" spans="1:8" ht="53.4" thickBot="1">
      <c r="A313" s="1" t="str">
        <f t="shared" si="2"/>
        <v>va_312</v>
      </c>
      <c r="B313" s="1" t="str">
        <f ca="1">IFERROR(__xludf.DUMMYFUNCTION("""COMPUTED_VALUE"""),"峯田大夢")</f>
        <v>峯田大夢</v>
      </c>
      <c r="C313" s="1" t="s">
        <v>77</v>
      </c>
      <c r="D313" s="1" t="str">
        <f t="shared" ca="1" si="3"/>
        <v>表示</v>
      </c>
      <c r="E313" s="1">
        <f ca="1">IFERROR(__xludf.DUMMYFUNCTION("""COMPUTED_VALUE"""),3)</f>
        <v>3</v>
      </c>
      <c r="F313" s="1" t="s">
        <v>783</v>
      </c>
      <c r="G313" s="20" t="s">
        <v>3097</v>
      </c>
      <c r="H313" s="82" t="s">
        <v>2819</v>
      </c>
    </row>
    <row r="314" spans="1:8" ht="13.8" thickBot="1">
      <c r="A314" s="1" t="str">
        <f t="shared" si="2"/>
        <v>va_313</v>
      </c>
      <c r="B314" s="1" t="str">
        <f ca="1">IFERROR(__xludf.DUMMYFUNCTION("""COMPUTED_VALUE"""),"岩永徹也")</f>
        <v>岩永徹也</v>
      </c>
      <c r="C314" s="1" t="s">
        <v>41</v>
      </c>
      <c r="D314" s="1" t="str">
        <f t="shared" ca="1" si="3"/>
        <v>非表示</v>
      </c>
      <c r="E314" s="1">
        <f ca="1">IFERROR(__xludf.DUMMYFUNCTION("""COMPUTED_VALUE"""),1)</f>
        <v>1</v>
      </c>
      <c r="G314" s="19"/>
      <c r="H314" s="19"/>
    </row>
    <row r="315" spans="1:8" ht="13.8" thickBot="1">
      <c r="A315" s="1" t="str">
        <f t="shared" si="2"/>
        <v>va_314</v>
      </c>
      <c r="B315" s="1" t="str">
        <f ca="1">IFERROR(__xludf.DUMMYFUNCTION("""COMPUTED_VALUE"""),"植田圭輔")</f>
        <v>植田圭輔</v>
      </c>
      <c r="C315" s="1" t="s">
        <v>41</v>
      </c>
      <c r="D315" s="1" t="str">
        <f t="shared" ca="1" si="3"/>
        <v>非表示</v>
      </c>
      <c r="E315" s="1">
        <f ca="1">IFERROR(__xludf.DUMMYFUNCTION("""COMPUTED_VALUE"""),2)</f>
        <v>2</v>
      </c>
      <c r="G315" s="19"/>
      <c r="H315" s="19"/>
    </row>
    <row r="316" spans="1:8" ht="13.8" thickBot="1">
      <c r="A316" s="1" t="str">
        <f t="shared" si="2"/>
        <v>va_315</v>
      </c>
      <c r="B316" s="1" t="str">
        <f ca="1">IFERROR(__xludf.DUMMYFUNCTION("""COMPUTED_VALUE"""),"荒牧慶彦")</f>
        <v>荒牧慶彦</v>
      </c>
      <c r="C316" s="1" t="s">
        <v>41</v>
      </c>
      <c r="D316" s="1" t="str">
        <f t="shared" ca="1" si="3"/>
        <v>非表示</v>
      </c>
      <c r="E316" s="1">
        <f ca="1">IFERROR(__xludf.DUMMYFUNCTION("""COMPUTED_VALUE"""),1)</f>
        <v>1</v>
      </c>
      <c r="G316" s="19"/>
      <c r="H316" s="19"/>
    </row>
    <row r="317" spans="1:8" ht="13.8" thickBot="1">
      <c r="A317" s="1" t="str">
        <f t="shared" si="2"/>
        <v>va_316</v>
      </c>
      <c r="B317" s="1" t="str">
        <f ca="1">IFERROR(__xludf.DUMMYFUNCTION("""COMPUTED_VALUE"""),"佐藤永典")</f>
        <v>佐藤永典</v>
      </c>
      <c r="C317" s="1" t="s">
        <v>41</v>
      </c>
      <c r="D317" s="1" t="str">
        <f t="shared" ca="1" si="3"/>
        <v>非表示</v>
      </c>
      <c r="E317" s="1">
        <f ca="1">IFERROR(__xludf.DUMMYFUNCTION("""COMPUTED_VALUE"""),1)</f>
        <v>1</v>
      </c>
      <c r="G317" s="19"/>
      <c r="H317" s="19"/>
    </row>
    <row r="318" spans="1:8" ht="13.8" thickBot="1">
      <c r="A318" s="1" t="str">
        <f t="shared" si="2"/>
        <v>va_317</v>
      </c>
      <c r="B318" s="1" t="str">
        <f ca="1">IFERROR(__xludf.DUMMYFUNCTION("""COMPUTED_VALUE"""),"染谷俊之")</f>
        <v>染谷俊之</v>
      </c>
      <c r="C318" s="1" t="s">
        <v>41</v>
      </c>
      <c r="D318" s="1" t="str">
        <f t="shared" ca="1" si="3"/>
        <v>非表示</v>
      </c>
      <c r="E318" s="1">
        <f ca="1">IFERROR(__xludf.DUMMYFUNCTION("""COMPUTED_VALUE"""),1)</f>
        <v>1</v>
      </c>
      <c r="G318" s="19"/>
      <c r="H318" s="19"/>
    </row>
    <row r="319" spans="1:8" ht="42.6" thickBot="1">
      <c r="A319" s="1" t="str">
        <f t="shared" si="2"/>
        <v>va_318</v>
      </c>
      <c r="B319" s="1" t="str">
        <f ca="1">IFERROR(__xludf.DUMMYFUNCTION("""COMPUTED_VALUE"""),"堀江一眞")</f>
        <v>堀江一眞</v>
      </c>
      <c r="C319" s="1" t="s">
        <v>77</v>
      </c>
      <c r="D319" s="1" t="str">
        <f t="shared" ca="1" si="3"/>
        <v>非表示</v>
      </c>
      <c r="E319" s="1">
        <f ca="1">IFERROR(__xludf.DUMMYFUNCTION("""COMPUTED_VALUE"""),2)</f>
        <v>2</v>
      </c>
      <c r="F319" s="1" t="s">
        <v>785</v>
      </c>
      <c r="G319" s="20" t="s">
        <v>3098</v>
      </c>
      <c r="H319" s="71" t="s">
        <v>2819</v>
      </c>
    </row>
    <row r="320" spans="1:8" ht="13.8" thickBot="1">
      <c r="A320" s="1" t="str">
        <f t="shared" si="2"/>
        <v>va_319</v>
      </c>
      <c r="B320" s="1" t="str">
        <f ca="1">IFERROR(__xludf.DUMMYFUNCTION("""COMPUTED_VALUE"""),"森嶋秀太")</f>
        <v>森嶋秀太</v>
      </c>
      <c r="C320" s="1" t="s">
        <v>77</v>
      </c>
      <c r="D320" s="1" t="str">
        <f t="shared" ca="1" si="3"/>
        <v>表示</v>
      </c>
      <c r="E320" s="1">
        <f ca="1">IFERROR(__xludf.DUMMYFUNCTION("""COMPUTED_VALUE"""),3)</f>
        <v>3</v>
      </c>
      <c r="F320" s="1" t="s">
        <v>786</v>
      </c>
      <c r="G320" s="28" t="s">
        <v>3099</v>
      </c>
      <c r="H320" s="19"/>
    </row>
    <row r="321" spans="1:8" ht="13.8" thickBot="1">
      <c r="A321" s="1" t="str">
        <f t="shared" si="2"/>
        <v>va_320</v>
      </c>
      <c r="B321" s="1" t="str">
        <f ca="1">IFERROR(__xludf.DUMMYFUNCTION("""COMPUTED_VALUE"""),"和田雅成")</f>
        <v>和田雅成</v>
      </c>
      <c r="C321" s="1" t="s">
        <v>41</v>
      </c>
      <c r="D321" s="1" t="str">
        <f t="shared" ca="1" si="3"/>
        <v>非表示</v>
      </c>
      <c r="E321" s="1">
        <f ca="1">IFERROR(__xludf.DUMMYFUNCTION("""COMPUTED_VALUE"""),1)</f>
        <v>1</v>
      </c>
      <c r="G321" s="19"/>
      <c r="H321" s="19"/>
    </row>
    <row r="322" spans="1:8" ht="13.8" thickBot="1">
      <c r="A322" s="1" t="str">
        <f t="shared" si="2"/>
        <v>va_321</v>
      </c>
      <c r="B322" s="1" t="str">
        <f ca="1">IFERROR(__xludf.DUMMYFUNCTION("""COMPUTED_VALUE"""),"安里勇哉")</f>
        <v>安里勇哉</v>
      </c>
      <c r="C322" s="1" t="s">
        <v>41</v>
      </c>
      <c r="D322" s="1" t="str">
        <f t="shared" ca="1" si="3"/>
        <v>非表示</v>
      </c>
      <c r="E322" s="1">
        <f ca="1">IFERROR(__xludf.DUMMYFUNCTION("""COMPUTED_VALUE"""),1)</f>
        <v>1</v>
      </c>
      <c r="G322" s="19"/>
      <c r="H322" s="19"/>
    </row>
    <row r="323" spans="1:8" ht="55.8" thickBot="1">
      <c r="A323" s="1" t="str">
        <f t="shared" si="2"/>
        <v>va_322</v>
      </c>
      <c r="B323" s="1" t="str">
        <f ca="1">IFERROR(__xludf.DUMMYFUNCTION("""COMPUTED_VALUE"""),"朝霧友陽")</f>
        <v>朝霧友陽</v>
      </c>
      <c r="C323" s="1" t="s">
        <v>77</v>
      </c>
      <c r="D323" s="1" t="str">
        <f t="shared" ca="1" si="3"/>
        <v>非表示</v>
      </c>
      <c r="E323" s="1">
        <f ca="1">IFERROR(__xludf.DUMMYFUNCTION("""COMPUTED_VALUE"""),1)</f>
        <v>1</v>
      </c>
      <c r="F323" s="1" t="s">
        <v>787</v>
      </c>
      <c r="G323" s="20" t="s">
        <v>3100</v>
      </c>
      <c r="H323" s="83" t="s">
        <v>2960</v>
      </c>
    </row>
    <row r="324" spans="1:8" ht="13.8" thickBot="1">
      <c r="A324" s="1" t="str">
        <f t="shared" si="2"/>
        <v>va_323</v>
      </c>
      <c r="B324" s="1" t="str">
        <f ca="1">IFERROR(__xludf.DUMMYFUNCTION("""COMPUTED_VALUE"""),"峯暢也")</f>
        <v>峯暢也</v>
      </c>
      <c r="C324" s="1" t="s">
        <v>77</v>
      </c>
      <c r="D324" s="1" t="str">
        <f t="shared" ca="1" si="3"/>
        <v>非表示</v>
      </c>
      <c r="E324" s="1">
        <f ca="1">IFERROR(__xludf.DUMMYFUNCTION("""COMPUTED_VALUE"""),2)</f>
        <v>2</v>
      </c>
      <c r="F324" s="1" t="s">
        <v>788</v>
      </c>
      <c r="G324" s="28" t="s">
        <v>3101</v>
      </c>
      <c r="H324" s="19"/>
    </row>
    <row r="325" spans="1:8" ht="40.200000000000003" thickBot="1">
      <c r="A325" s="1" t="str">
        <f t="shared" si="2"/>
        <v>va_324</v>
      </c>
      <c r="B325" s="1" t="str">
        <f ca="1">IFERROR(__xludf.DUMMYFUNCTION("""COMPUTED_VALUE"""),"横田紘一")</f>
        <v>横田紘一</v>
      </c>
      <c r="C325" s="1" t="s">
        <v>77</v>
      </c>
      <c r="D325" s="1" t="str">
        <f t="shared" ca="1" si="3"/>
        <v>非表示</v>
      </c>
      <c r="E325" s="1">
        <f ca="1">IFERROR(__xludf.DUMMYFUNCTION("""COMPUTED_VALUE"""),1)</f>
        <v>1</v>
      </c>
      <c r="F325" s="1" t="s">
        <v>789</v>
      </c>
      <c r="G325" s="20" t="s">
        <v>3102</v>
      </c>
      <c r="H325" s="36" t="s">
        <v>2872</v>
      </c>
    </row>
    <row r="326" spans="1:8" ht="13.8" thickBot="1">
      <c r="A326" s="1" t="str">
        <f t="shared" si="2"/>
        <v>va_325</v>
      </c>
      <c r="B326" s="1" t="str">
        <f ca="1">IFERROR(__xludf.DUMMYFUNCTION("""COMPUTED_VALUE"""),"片山享")</f>
        <v>片山享</v>
      </c>
      <c r="C326" s="1" t="s">
        <v>41</v>
      </c>
      <c r="D326" s="1" t="str">
        <f t="shared" ca="1" si="3"/>
        <v>非表示</v>
      </c>
      <c r="E326" s="1">
        <f ca="1">IFERROR(__xludf.DUMMYFUNCTION("""COMPUTED_VALUE"""),1)</f>
        <v>1</v>
      </c>
      <c r="G326" s="19"/>
      <c r="H326" s="19"/>
    </row>
    <row r="327" spans="1:8" ht="13.8" thickBot="1">
      <c r="A327" s="1" t="str">
        <f t="shared" si="2"/>
        <v>va_326</v>
      </c>
      <c r="B327" s="1" t="str">
        <f ca="1">IFERROR(__xludf.DUMMYFUNCTION("""COMPUTED_VALUE"""),"黒沢季希")</f>
        <v>黒沢季希</v>
      </c>
      <c r="C327" s="1" t="s">
        <v>77</v>
      </c>
      <c r="D327" s="1" t="str">
        <f t="shared" ca="1" si="3"/>
        <v>非表示</v>
      </c>
      <c r="E327" s="1">
        <f ca="1">IFERROR(__xludf.DUMMYFUNCTION("""COMPUTED_VALUE"""),1)</f>
        <v>1</v>
      </c>
      <c r="F327" s="1" t="s">
        <v>791</v>
      </c>
      <c r="G327" s="19"/>
      <c r="H327" s="19"/>
    </row>
    <row r="328" spans="1:8" ht="13.8" thickBot="1">
      <c r="A328" s="1" t="str">
        <f t="shared" si="2"/>
        <v>va_327</v>
      </c>
      <c r="B328" s="1" t="str">
        <f ca="1">IFERROR(__xludf.DUMMYFUNCTION("""COMPUTED_VALUE"""),"平田広明")</f>
        <v>平田広明</v>
      </c>
      <c r="C328" s="1" t="s">
        <v>77</v>
      </c>
      <c r="D328" s="1" t="str">
        <f t="shared" ca="1" si="3"/>
        <v>非表示</v>
      </c>
      <c r="E328" s="1">
        <f ca="1">IFERROR(__xludf.DUMMYFUNCTION("""COMPUTED_VALUE"""),1)</f>
        <v>1</v>
      </c>
      <c r="F328" s="1" t="s">
        <v>792</v>
      </c>
      <c r="G328" s="19"/>
      <c r="H328" s="19"/>
    </row>
    <row r="329" spans="1:8" ht="13.8" thickBot="1">
      <c r="A329" s="1" t="str">
        <f t="shared" si="2"/>
        <v>va_328</v>
      </c>
      <c r="B329" s="1" t="str">
        <f ca="1">IFERROR(__xludf.DUMMYFUNCTION("""COMPUTED_VALUE"""),"藤原祐規")</f>
        <v>藤原祐規</v>
      </c>
      <c r="C329" s="1" t="s">
        <v>41</v>
      </c>
      <c r="D329" s="1" t="str">
        <f t="shared" ca="1" si="3"/>
        <v>非表示</v>
      </c>
      <c r="E329" s="1">
        <f ca="1">IFERROR(__xludf.DUMMYFUNCTION("""COMPUTED_VALUE"""),1)</f>
        <v>1</v>
      </c>
      <c r="G329" s="19"/>
      <c r="H329" s="19"/>
    </row>
    <row r="330" spans="1:8" ht="42.6" thickBot="1">
      <c r="A330" s="1" t="str">
        <f t="shared" si="2"/>
        <v>va_329</v>
      </c>
      <c r="B330" s="1" t="str">
        <f ca="1">IFERROR(__xludf.DUMMYFUNCTION("""COMPUTED_VALUE"""),"矢野智也")</f>
        <v>矢野智也</v>
      </c>
      <c r="C330" s="1" t="s">
        <v>77</v>
      </c>
      <c r="D330" s="1" t="str">
        <f t="shared" ca="1" si="3"/>
        <v>非表示</v>
      </c>
      <c r="E330" s="1">
        <f ca="1">IFERROR(__xludf.DUMMYFUNCTION("""COMPUTED_VALUE"""),1)</f>
        <v>1</v>
      </c>
      <c r="F330" s="1" t="s">
        <v>793</v>
      </c>
      <c r="G330" s="20" t="s">
        <v>3103</v>
      </c>
      <c r="H330" s="22" t="s">
        <v>2816</v>
      </c>
    </row>
    <row r="331" spans="1:8" ht="53.4" thickBot="1">
      <c r="A331" s="1" t="str">
        <f t="shared" si="2"/>
        <v>va_330</v>
      </c>
      <c r="B331" s="1" t="str">
        <f ca="1">IFERROR(__xludf.DUMMYFUNCTION("""COMPUTED_VALUE"""),"宮崎遊")</f>
        <v>宮崎遊</v>
      </c>
      <c r="C331" s="1" t="s">
        <v>77</v>
      </c>
      <c r="D331" s="1" t="str">
        <f t="shared" ca="1" si="3"/>
        <v>非表示</v>
      </c>
      <c r="E331" s="1">
        <f ca="1">IFERROR(__xludf.DUMMYFUNCTION("""COMPUTED_VALUE"""),2)</f>
        <v>2</v>
      </c>
      <c r="F331" s="1" t="s">
        <v>794</v>
      </c>
      <c r="G331" s="20" t="s">
        <v>3104</v>
      </c>
      <c r="H331" s="24" t="s">
        <v>2819</v>
      </c>
    </row>
    <row r="332" spans="1:8" ht="13.8" thickBot="1">
      <c r="A332" s="1" t="str">
        <f t="shared" si="2"/>
        <v>va_331</v>
      </c>
      <c r="B332" s="1" t="str">
        <f ca="1">IFERROR(__xludf.DUMMYFUNCTION("""COMPUTED_VALUE"""),"武藤正史")</f>
        <v>武藤正史</v>
      </c>
      <c r="C332" s="1" t="s">
        <v>77</v>
      </c>
      <c r="D332" s="1" t="str">
        <f t="shared" ca="1" si="3"/>
        <v>非表示</v>
      </c>
      <c r="E332" s="1">
        <f ca="1">IFERROR(__xludf.DUMMYFUNCTION("""COMPUTED_VALUE"""),1)</f>
        <v>1</v>
      </c>
      <c r="F332" s="1" t="s">
        <v>795</v>
      </c>
      <c r="G332" s="28" t="s">
        <v>3105</v>
      </c>
      <c r="H332" s="19"/>
    </row>
    <row r="333" spans="1:8" ht="42.6" thickBot="1">
      <c r="A333" s="1" t="str">
        <f t="shared" si="2"/>
        <v>va_332</v>
      </c>
      <c r="B333" s="1" t="str">
        <f ca="1">IFERROR(__xludf.DUMMYFUNCTION("""COMPUTED_VALUE"""),"大隈健太")</f>
        <v>大隈健太</v>
      </c>
      <c r="C333" s="1" t="s">
        <v>77</v>
      </c>
      <c r="D333" s="1" t="str">
        <f t="shared" ca="1" si="3"/>
        <v>非表示</v>
      </c>
      <c r="E333" s="1">
        <f ca="1">IFERROR(__xludf.DUMMYFUNCTION("""COMPUTED_VALUE"""),1)</f>
        <v>1</v>
      </c>
      <c r="F333" s="1" t="s">
        <v>797</v>
      </c>
      <c r="G333" s="20" t="s">
        <v>3106</v>
      </c>
      <c r="H333" s="22" t="s">
        <v>2816</v>
      </c>
    </row>
    <row r="334" spans="1:8" ht="53.4" thickBot="1">
      <c r="A334" s="1" t="str">
        <f t="shared" si="2"/>
        <v>va_333</v>
      </c>
      <c r="B334" s="1" t="str">
        <f ca="1">IFERROR(__xludf.DUMMYFUNCTION("""COMPUTED_VALUE"""),"織田優成")</f>
        <v>織田優成</v>
      </c>
      <c r="C334" s="1" t="s">
        <v>77</v>
      </c>
      <c r="D334" s="1" t="str">
        <f t="shared" ca="1" si="3"/>
        <v>非表示</v>
      </c>
      <c r="E334" s="1">
        <f ca="1">IFERROR(__xludf.DUMMYFUNCTION("""COMPUTED_VALUE"""),1)</f>
        <v>1</v>
      </c>
      <c r="F334" s="1" t="s">
        <v>798</v>
      </c>
      <c r="G334" s="20" t="s">
        <v>3107</v>
      </c>
      <c r="H334" s="21" t="s">
        <v>2813</v>
      </c>
    </row>
    <row r="335" spans="1:8" ht="40.200000000000003" thickBot="1">
      <c r="A335" s="1" t="str">
        <f t="shared" si="2"/>
        <v>va_334</v>
      </c>
      <c r="B335" s="1" t="str">
        <f ca="1">IFERROR(__xludf.DUMMYFUNCTION("""COMPUTED_VALUE"""),"小宮逸人")</f>
        <v>小宮逸人</v>
      </c>
      <c r="C335" s="1" t="s">
        <v>77</v>
      </c>
      <c r="D335" s="1" t="str">
        <f t="shared" ca="1" si="3"/>
        <v>非表示</v>
      </c>
      <c r="E335" s="1">
        <f ca="1">IFERROR(__xludf.DUMMYFUNCTION("""COMPUTED_VALUE"""),1)</f>
        <v>1</v>
      </c>
      <c r="F335" s="1" t="s">
        <v>799</v>
      </c>
      <c r="G335" s="20" t="s">
        <v>3108</v>
      </c>
      <c r="H335" s="33" t="s">
        <v>2819</v>
      </c>
    </row>
    <row r="336" spans="1:8" ht="42.6" thickBot="1">
      <c r="A336" s="1" t="str">
        <f t="shared" si="2"/>
        <v>va_335</v>
      </c>
      <c r="B336" s="1" t="str">
        <f ca="1">IFERROR(__xludf.DUMMYFUNCTION("""COMPUTED_VALUE"""),"布施川一寛")</f>
        <v>布施川一寛</v>
      </c>
      <c r="C336" s="1" t="s">
        <v>77</v>
      </c>
      <c r="D336" s="1" t="str">
        <f t="shared" ca="1" si="3"/>
        <v>非表示</v>
      </c>
      <c r="E336" s="1">
        <f ca="1">IFERROR(__xludf.DUMMYFUNCTION("""COMPUTED_VALUE"""),1)</f>
        <v>1</v>
      </c>
      <c r="F336" s="1" t="s">
        <v>800</v>
      </c>
      <c r="G336" s="20" t="s">
        <v>3109</v>
      </c>
      <c r="H336" s="22" t="s">
        <v>2816</v>
      </c>
    </row>
    <row r="337" spans="1:8" ht="13.8" thickBot="1">
      <c r="A337" s="1" t="str">
        <f t="shared" si="2"/>
        <v>va_336</v>
      </c>
      <c r="B337" s="1" t="str">
        <f ca="1">IFERROR(__xludf.DUMMYFUNCTION("""COMPUTED_VALUE"""),"小山力也")</f>
        <v>小山力也</v>
      </c>
      <c r="C337" s="1" t="s">
        <v>77</v>
      </c>
      <c r="D337" s="1" t="str">
        <f t="shared" ca="1" si="3"/>
        <v>非表示</v>
      </c>
      <c r="E337" s="1">
        <f ca="1">IFERROR(__xludf.DUMMYFUNCTION("""COMPUTED_VALUE"""),2)</f>
        <v>2</v>
      </c>
      <c r="F337" s="1" t="s">
        <v>801</v>
      </c>
      <c r="G337" s="19"/>
      <c r="H337" s="19"/>
    </row>
    <row r="338" spans="1:8" ht="40.200000000000003" thickBot="1">
      <c r="A338" s="1" t="str">
        <f t="shared" si="2"/>
        <v>va_337</v>
      </c>
      <c r="B338" s="1" t="str">
        <f ca="1">IFERROR(__xludf.DUMMYFUNCTION("""COMPUTED_VALUE"""),"小島英樹")</f>
        <v>小島英樹</v>
      </c>
      <c r="C338" s="1" t="s">
        <v>77</v>
      </c>
      <c r="D338" s="1" t="str">
        <f t="shared" ca="1" si="3"/>
        <v>非表示</v>
      </c>
      <c r="E338" s="1">
        <f ca="1">IFERROR(__xludf.DUMMYFUNCTION("""COMPUTED_VALUE"""),1)</f>
        <v>1</v>
      </c>
      <c r="F338" s="1" t="s">
        <v>803</v>
      </c>
      <c r="G338" s="20" t="s">
        <v>3110</v>
      </c>
      <c r="H338" s="36" t="s">
        <v>2847</v>
      </c>
    </row>
    <row r="339" spans="1:8" ht="49.8" thickBot="1">
      <c r="A339" s="1" t="str">
        <f t="shared" si="2"/>
        <v>va_338</v>
      </c>
      <c r="B339" s="1" t="str">
        <f ca="1">IFERROR(__xludf.DUMMYFUNCTION("""COMPUTED_VALUE"""),"本橋大輔")</f>
        <v>本橋大輔</v>
      </c>
      <c r="C339" s="1" t="s">
        <v>77</v>
      </c>
      <c r="D339" s="1" t="str">
        <f t="shared" ca="1" si="3"/>
        <v>非表示</v>
      </c>
      <c r="E339" s="1">
        <f ca="1">IFERROR(__xludf.DUMMYFUNCTION("""COMPUTED_VALUE"""),1)</f>
        <v>1</v>
      </c>
      <c r="F339" s="1" t="s">
        <v>804</v>
      </c>
      <c r="G339" s="20" t="s">
        <v>3111</v>
      </c>
      <c r="H339" s="27" t="s">
        <v>2825</v>
      </c>
    </row>
    <row r="340" spans="1:8" ht="13.8" thickBot="1">
      <c r="A340" s="1" t="str">
        <f t="shared" si="2"/>
        <v>va_339</v>
      </c>
      <c r="B340" s="1" t="str">
        <f ca="1">IFERROR(__xludf.DUMMYFUNCTION("""COMPUTED_VALUE"""),"川辺俊介")</f>
        <v>川辺俊介</v>
      </c>
      <c r="C340" s="1" t="s">
        <v>77</v>
      </c>
      <c r="D340" s="1" t="str">
        <f t="shared" ca="1" si="3"/>
        <v>非表示</v>
      </c>
      <c r="E340" s="1">
        <f ca="1">IFERROR(__xludf.DUMMYFUNCTION("""COMPUTED_VALUE"""),1)</f>
        <v>1</v>
      </c>
      <c r="F340" s="1" t="s">
        <v>805</v>
      </c>
      <c r="G340" s="19"/>
      <c r="H340" s="19"/>
    </row>
    <row r="341" spans="1:8" ht="53.4" thickBot="1">
      <c r="A341" s="1" t="str">
        <f t="shared" si="2"/>
        <v>va_340</v>
      </c>
      <c r="B341" s="1" t="str">
        <f ca="1">IFERROR(__xludf.DUMMYFUNCTION("""COMPUTED_VALUE"""),"西田雅一")</f>
        <v>西田雅一</v>
      </c>
      <c r="C341" s="1" t="s">
        <v>77</v>
      </c>
      <c r="D341" s="1" t="str">
        <f t="shared" ca="1" si="3"/>
        <v>非表示</v>
      </c>
      <c r="E341" s="1">
        <f ca="1">IFERROR(__xludf.DUMMYFUNCTION("""COMPUTED_VALUE"""),1)</f>
        <v>1</v>
      </c>
      <c r="F341" s="1" t="s">
        <v>806</v>
      </c>
      <c r="G341" s="20" t="s">
        <v>3112</v>
      </c>
      <c r="H341" s="24" t="s">
        <v>2819</v>
      </c>
    </row>
    <row r="342" spans="1:8" ht="53.4" thickBot="1">
      <c r="A342" s="1" t="str">
        <f t="shared" si="2"/>
        <v>va_341</v>
      </c>
      <c r="B342" s="1" t="str">
        <f ca="1">IFERROR(__xludf.DUMMYFUNCTION("""COMPUTED_VALUE"""),"松風雅也")</f>
        <v>松風雅也</v>
      </c>
      <c r="C342" s="1" t="s">
        <v>77</v>
      </c>
      <c r="D342" s="1" t="str">
        <f t="shared" ca="1" si="3"/>
        <v>非表示</v>
      </c>
      <c r="E342" s="1">
        <f ca="1">IFERROR(__xludf.DUMMYFUNCTION("""COMPUTED_VALUE"""),2)</f>
        <v>2</v>
      </c>
      <c r="F342" s="1" t="s">
        <v>807</v>
      </c>
      <c r="G342" s="20" t="s">
        <v>3113</v>
      </c>
      <c r="H342" s="21" t="s">
        <v>2813</v>
      </c>
    </row>
    <row r="343" spans="1:8" ht="13.8" thickBot="1">
      <c r="A343" s="1" t="str">
        <f t="shared" si="2"/>
        <v>va_342</v>
      </c>
      <c r="B343" s="1" t="str">
        <f ca="1">IFERROR(__xludf.DUMMYFUNCTION("""COMPUTED_VALUE"""),"山寺宏一")</f>
        <v>山寺宏一</v>
      </c>
      <c r="C343" s="1" t="s">
        <v>77</v>
      </c>
      <c r="D343" s="1" t="str">
        <f t="shared" ca="1" si="3"/>
        <v>非表示</v>
      </c>
      <c r="E343" s="1">
        <f ca="1">IFERROR(__xludf.DUMMYFUNCTION("""COMPUTED_VALUE"""),1)</f>
        <v>1</v>
      </c>
      <c r="F343" s="1" t="s">
        <v>809</v>
      </c>
      <c r="G343" s="19"/>
      <c r="H343" s="19"/>
    </row>
    <row r="344" spans="1:8" ht="40.200000000000003" thickBot="1">
      <c r="A344" s="1" t="str">
        <f t="shared" si="2"/>
        <v>va_343</v>
      </c>
      <c r="B344" s="1" t="str">
        <f ca="1">IFERROR(__xludf.DUMMYFUNCTION("""COMPUTED_VALUE"""),"井上剛")</f>
        <v>井上剛</v>
      </c>
      <c r="C344" s="1" t="s">
        <v>77</v>
      </c>
      <c r="D344" s="1" t="str">
        <f t="shared" ca="1" si="3"/>
        <v>非表示</v>
      </c>
      <c r="E344" s="1">
        <f ca="1">IFERROR(__xludf.DUMMYFUNCTION("""COMPUTED_VALUE"""),2)</f>
        <v>2</v>
      </c>
      <c r="F344" s="1" t="s">
        <v>810</v>
      </c>
      <c r="G344" s="20" t="s">
        <v>3114</v>
      </c>
      <c r="H344" s="65" t="s">
        <v>2813</v>
      </c>
    </row>
    <row r="345" spans="1:8" ht="13.8" thickBot="1">
      <c r="A345" s="1" t="str">
        <f t="shared" si="2"/>
        <v>va_344</v>
      </c>
      <c r="B345" s="1" t="str">
        <f ca="1">IFERROR(__xludf.DUMMYFUNCTION("""COMPUTED_VALUE"""),"遊佐浩二")</f>
        <v>遊佐浩二</v>
      </c>
      <c r="C345" s="1" t="s">
        <v>77</v>
      </c>
      <c r="D345" s="1" t="str">
        <f t="shared" ca="1" si="3"/>
        <v>表示</v>
      </c>
      <c r="E345" s="1">
        <f ca="1">IFERROR(__xludf.DUMMYFUNCTION("""COMPUTED_VALUE"""),4)</f>
        <v>4</v>
      </c>
      <c r="F345" s="1" t="s">
        <v>811</v>
      </c>
      <c r="G345" s="19"/>
      <c r="H345" s="19"/>
    </row>
    <row r="346" spans="1:8" ht="66.599999999999994" thickBot="1">
      <c r="A346" s="1" t="str">
        <f t="shared" si="2"/>
        <v>va_345</v>
      </c>
      <c r="B346" s="1" t="str">
        <f ca="1">IFERROR(__xludf.DUMMYFUNCTION("""COMPUTED_VALUE"""),"藤原啓治")</f>
        <v>藤原啓治</v>
      </c>
      <c r="C346" s="1" t="s">
        <v>77</v>
      </c>
      <c r="D346" s="1" t="str">
        <f t="shared" ca="1" si="3"/>
        <v>非表示</v>
      </c>
      <c r="E346" s="1">
        <f ca="1">IFERROR(__xludf.DUMMYFUNCTION("""COMPUTED_VALUE"""),1)</f>
        <v>1</v>
      </c>
      <c r="F346" s="1" t="s">
        <v>812</v>
      </c>
      <c r="G346" s="20" t="s">
        <v>3115</v>
      </c>
      <c r="H346" s="84" t="s">
        <v>3116</v>
      </c>
    </row>
    <row r="347" spans="1:8" ht="53.4" thickBot="1">
      <c r="A347" s="1" t="str">
        <f t="shared" si="2"/>
        <v>va_346</v>
      </c>
      <c r="B347" s="1" t="str">
        <f ca="1">IFERROR(__xludf.DUMMYFUNCTION("""COMPUTED_VALUE"""),"松浦義之")</f>
        <v>松浦義之</v>
      </c>
      <c r="C347" s="1" t="s">
        <v>77</v>
      </c>
      <c r="D347" s="1" t="str">
        <f t="shared" ca="1" si="3"/>
        <v>非表示</v>
      </c>
      <c r="E347" s="1">
        <f ca="1">IFERROR(__xludf.DUMMYFUNCTION("""COMPUTED_VALUE"""),1)</f>
        <v>1</v>
      </c>
      <c r="F347" s="1" t="s">
        <v>813</v>
      </c>
      <c r="G347" s="20" t="s">
        <v>3117</v>
      </c>
      <c r="H347" s="60" t="s">
        <v>2819</v>
      </c>
    </row>
    <row r="348" spans="1:8" ht="42.6" thickBot="1">
      <c r="A348" s="1" t="str">
        <f t="shared" si="2"/>
        <v>va_347</v>
      </c>
      <c r="B348" s="1" t="str">
        <f ca="1">IFERROR(__xludf.DUMMYFUNCTION("""COMPUTED_VALUE"""),"相楽信頼")</f>
        <v>相楽信頼</v>
      </c>
      <c r="C348" s="1" t="s">
        <v>77</v>
      </c>
      <c r="D348" s="1" t="str">
        <f t="shared" ca="1" si="3"/>
        <v>非表示</v>
      </c>
      <c r="E348" s="1">
        <f ca="1">IFERROR(__xludf.DUMMYFUNCTION("""COMPUTED_VALUE"""),1)</f>
        <v>1</v>
      </c>
      <c r="F348" s="1" t="s">
        <v>814</v>
      </c>
      <c r="G348" s="20" t="s">
        <v>3118</v>
      </c>
      <c r="H348" s="22" t="s">
        <v>2816</v>
      </c>
    </row>
    <row r="349" spans="1:8" ht="53.4" thickBot="1">
      <c r="A349" s="1" t="str">
        <f t="shared" si="2"/>
        <v>va_348</v>
      </c>
      <c r="B349" s="1" t="str">
        <f ca="1">IFERROR(__xludf.DUMMYFUNCTION("""COMPUTED_VALUE"""),"山口正秀")</f>
        <v>山口正秀</v>
      </c>
      <c r="C349" s="1" t="s">
        <v>77</v>
      </c>
      <c r="D349" s="1" t="str">
        <f t="shared" ca="1" si="3"/>
        <v>非表示</v>
      </c>
      <c r="E349" s="1">
        <f ca="1">IFERROR(__xludf.DUMMYFUNCTION("""COMPUTED_VALUE"""),1)</f>
        <v>1</v>
      </c>
      <c r="F349" s="1" t="s">
        <v>815</v>
      </c>
      <c r="G349" s="20" t="s">
        <v>3119</v>
      </c>
      <c r="H349" s="36" t="s">
        <v>2847</v>
      </c>
    </row>
    <row r="350" spans="1:8" ht="251.4" thickBot="1">
      <c r="A350" s="1" t="str">
        <f t="shared" si="2"/>
        <v>va_349</v>
      </c>
      <c r="B350" s="1" t="str">
        <f ca="1">IFERROR(__xludf.DUMMYFUNCTION("""COMPUTED_VALUE"""),"坪井智浩")</f>
        <v>坪井智浩</v>
      </c>
      <c r="C350" s="1" t="s">
        <v>77</v>
      </c>
      <c r="D350" s="1" t="str">
        <f t="shared" ca="1" si="3"/>
        <v>非表示</v>
      </c>
      <c r="E350" s="1">
        <f ca="1">IFERROR(__xludf.DUMMYFUNCTION("""COMPUTED_VALUE"""),2)</f>
        <v>2</v>
      </c>
      <c r="F350" s="1" t="s">
        <v>817</v>
      </c>
      <c r="G350" s="20" t="s">
        <v>3120</v>
      </c>
      <c r="H350" s="29" t="s">
        <v>2813</v>
      </c>
    </row>
    <row r="351" spans="1:8" ht="40.200000000000003" thickBot="1">
      <c r="A351" s="1" t="str">
        <f t="shared" si="2"/>
        <v>va_350</v>
      </c>
      <c r="B351" s="1" t="str">
        <f ca="1">IFERROR(__xludf.DUMMYFUNCTION("""COMPUTED_VALUE"""),"飛田展男")</f>
        <v>飛田展男</v>
      </c>
      <c r="C351" s="1" t="s">
        <v>77</v>
      </c>
      <c r="D351" s="1" t="str">
        <f t="shared" ca="1" si="3"/>
        <v>非表示</v>
      </c>
      <c r="E351" s="1">
        <f ca="1">IFERROR(__xludf.DUMMYFUNCTION("""COMPUTED_VALUE"""),1)</f>
        <v>1</v>
      </c>
      <c r="F351" s="1" t="s">
        <v>818</v>
      </c>
      <c r="G351" s="20" t="s">
        <v>3121</v>
      </c>
      <c r="H351" s="33" t="s">
        <v>2819</v>
      </c>
    </row>
    <row r="352" spans="1:8" ht="13.8" thickBot="1">
      <c r="A352" s="1" t="str">
        <f t="shared" si="2"/>
        <v>va_351</v>
      </c>
      <c r="B352" s="1" t="str">
        <f ca="1">IFERROR(__xludf.DUMMYFUNCTION("""COMPUTED_VALUE"""),"鈴木貴征")</f>
        <v>鈴木貴征</v>
      </c>
      <c r="C352" s="1" t="s">
        <v>77</v>
      </c>
      <c r="D352" s="1" t="str">
        <f t="shared" ca="1" si="3"/>
        <v>非表示</v>
      </c>
      <c r="E352" s="1">
        <f ca="1">IFERROR(__xludf.DUMMYFUNCTION("""COMPUTED_VALUE"""),1)</f>
        <v>1</v>
      </c>
      <c r="F352" s="1" t="s">
        <v>819</v>
      </c>
      <c r="G352" s="19"/>
      <c r="H352" s="19"/>
    </row>
    <row r="353" spans="1:8" ht="53.4" thickBot="1">
      <c r="A353" s="1" t="str">
        <f t="shared" si="2"/>
        <v>va_352</v>
      </c>
      <c r="B353" s="1" t="str">
        <f ca="1">IFERROR(__xludf.DUMMYFUNCTION("""COMPUTED_VALUE"""),"村上喜紀")</f>
        <v>村上喜紀</v>
      </c>
      <c r="C353" s="1" t="s">
        <v>77</v>
      </c>
      <c r="D353" s="1" t="str">
        <f t="shared" ca="1" si="3"/>
        <v>非表示</v>
      </c>
      <c r="E353" s="1">
        <f ca="1">IFERROR(__xludf.DUMMYFUNCTION("""COMPUTED_VALUE"""),1)</f>
        <v>1</v>
      </c>
      <c r="F353" s="1" t="s">
        <v>820</v>
      </c>
      <c r="G353" s="20" t="s">
        <v>3122</v>
      </c>
      <c r="H353" s="43" t="s">
        <v>2825</v>
      </c>
    </row>
    <row r="354" spans="1:8" ht="13.8" thickBot="1">
      <c r="A354" s="1" t="str">
        <f t="shared" si="2"/>
        <v>va_353</v>
      </c>
      <c r="B354" s="1" t="str">
        <f ca="1">IFERROR(__xludf.DUMMYFUNCTION("""COMPUTED_VALUE"""),"鈴木勝吾")</f>
        <v>鈴木勝吾</v>
      </c>
      <c r="C354" s="1" t="s">
        <v>41</v>
      </c>
      <c r="D354" s="1" t="str">
        <f t="shared" ca="1" si="3"/>
        <v>非表示</v>
      </c>
      <c r="E354" s="1">
        <f ca="1">IFERROR(__xludf.DUMMYFUNCTION("""COMPUTED_VALUE"""),1)</f>
        <v>1</v>
      </c>
      <c r="G354" s="19"/>
      <c r="H354" s="19"/>
    </row>
    <row r="355" spans="1:8" ht="53.4" thickBot="1">
      <c r="A355" s="1" t="str">
        <f t="shared" si="2"/>
        <v>va_354</v>
      </c>
      <c r="B355" s="1" t="str">
        <f ca="1">IFERROR(__xludf.DUMMYFUNCTION("""COMPUTED_VALUE"""),"真殿光昭")</f>
        <v>真殿光昭</v>
      </c>
      <c r="C355" s="1" t="s">
        <v>77</v>
      </c>
      <c r="D355" s="1" t="str">
        <f t="shared" ca="1" si="3"/>
        <v>非表示</v>
      </c>
      <c r="E355" s="1">
        <f ca="1">IFERROR(__xludf.DUMMYFUNCTION("""COMPUTED_VALUE"""),1)</f>
        <v>1</v>
      </c>
      <c r="F355" s="1" t="s">
        <v>821</v>
      </c>
      <c r="G355" s="20" t="s">
        <v>3123</v>
      </c>
      <c r="H355" s="21" t="s">
        <v>2813</v>
      </c>
    </row>
    <row r="356" spans="1:8" ht="53.4" thickBot="1">
      <c r="A356" s="1" t="str">
        <f t="shared" si="2"/>
        <v>va_355</v>
      </c>
      <c r="B356" s="1" t="str">
        <f ca="1">IFERROR(__xludf.DUMMYFUNCTION("""COMPUTED_VALUE"""),"佐藤悠雅")</f>
        <v>佐藤悠雅</v>
      </c>
      <c r="C356" s="1" t="s">
        <v>77</v>
      </c>
      <c r="D356" s="1" t="str">
        <f t="shared" ca="1" si="3"/>
        <v>非表示</v>
      </c>
      <c r="E356" s="1">
        <f ca="1">IFERROR(__xludf.DUMMYFUNCTION("""COMPUTED_VALUE"""),2)</f>
        <v>2</v>
      </c>
      <c r="F356" s="1" t="s">
        <v>822</v>
      </c>
      <c r="G356" s="20" t="s">
        <v>3124</v>
      </c>
      <c r="H356" s="21" t="s">
        <v>2813</v>
      </c>
    </row>
    <row r="357" spans="1:8" ht="53.4" thickBot="1">
      <c r="A357" s="1" t="str">
        <f t="shared" si="2"/>
        <v>va_356</v>
      </c>
      <c r="B357" s="1" t="str">
        <f ca="1">IFERROR(__xludf.DUMMYFUNCTION("""COMPUTED_VALUE"""),"内田夕夜")</f>
        <v>内田夕夜</v>
      </c>
      <c r="C357" s="1" t="s">
        <v>77</v>
      </c>
      <c r="D357" s="1" t="str">
        <f t="shared" ca="1" si="3"/>
        <v>非表示</v>
      </c>
      <c r="E357" s="1">
        <f ca="1">IFERROR(__xludf.DUMMYFUNCTION("""COMPUTED_VALUE"""),1)</f>
        <v>1</v>
      </c>
      <c r="F357" s="1" t="s">
        <v>823</v>
      </c>
      <c r="G357" s="20" t="s">
        <v>3125</v>
      </c>
      <c r="H357" s="24" t="s">
        <v>2819</v>
      </c>
    </row>
    <row r="358" spans="1:8" ht="53.4" thickBot="1">
      <c r="A358" s="1" t="str">
        <f t="shared" si="2"/>
        <v>va_357</v>
      </c>
      <c r="B358" s="1" t="str">
        <f ca="1">IFERROR(__xludf.DUMMYFUNCTION("""COMPUTED_VALUE"""),"石川英郎")</f>
        <v>石川英郎</v>
      </c>
      <c r="C358" s="1" t="s">
        <v>77</v>
      </c>
      <c r="D358" s="1" t="str">
        <f t="shared" ca="1" si="3"/>
        <v>非表示</v>
      </c>
      <c r="E358" s="1">
        <f ca="1">IFERROR(__xludf.DUMMYFUNCTION("""COMPUTED_VALUE"""),1)</f>
        <v>1</v>
      </c>
      <c r="F358" s="1" t="s">
        <v>824</v>
      </c>
      <c r="G358" s="20" t="s">
        <v>3126</v>
      </c>
      <c r="H358" s="21" t="s">
        <v>2813</v>
      </c>
    </row>
    <row r="359" spans="1:8" ht="40.200000000000003" thickBot="1">
      <c r="A359" s="1" t="str">
        <f t="shared" si="2"/>
        <v>va_358</v>
      </c>
      <c r="B359" s="1" t="str">
        <f ca="1">IFERROR(__xludf.DUMMYFUNCTION("""COMPUTED_VALUE"""),"保村真")</f>
        <v>保村真</v>
      </c>
      <c r="C359" s="1" t="s">
        <v>77</v>
      </c>
      <c r="D359" s="1" t="str">
        <f t="shared" ca="1" si="3"/>
        <v>非表示</v>
      </c>
      <c r="E359" s="1">
        <f ca="1">IFERROR(__xludf.DUMMYFUNCTION("""COMPUTED_VALUE"""),1)</f>
        <v>1</v>
      </c>
      <c r="F359" s="1" t="s">
        <v>825</v>
      </c>
      <c r="G359" s="20" t="s">
        <v>3127</v>
      </c>
      <c r="H359" s="85" t="s">
        <v>2825</v>
      </c>
    </row>
    <row r="360" spans="1:8" ht="13.8" thickBot="1">
      <c r="A360" s="1" t="str">
        <f t="shared" si="2"/>
        <v>va_359</v>
      </c>
      <c r="B360" s="1" t="str">
        <f ca="1">IFERROR(__xludf.DUMMYFUNCTION("""COMPUTED_VALUE"""),"伊藤昌弘")</f>
        <v>伊藤昌弘</v>
      </c>
      <c r="C360" s="1" t="s">
        <v>77</v>
      </c>
      <c r="D360" s="1" t="str">
        <f t="shared" ca="1" si="3"/>
        <v>非表示</v>
      </c>
      <c r="E360" s="1">
        <f ca="1">IFERROR(__xludf.DUMMYFUNCTION("""COMPUTED_VALUE"""),1)</f>
        <v>1</v>
      </c>
      <c r="F360" s="1" t="s">
        <v>826</v>
      </c>
      <c r="G360" s="28" t="s">
        <v>3128</v>
      </c>
      <c r="H360" s="19"/>
    </row>
    <row r="361" spans="1:8" ht="13.8" thickBot="1">
      <c r="A361" s="1" t="str">
        <f t="shared" si="2"/>
        <v>va_360</v>
      </c>
      <c r="B361" s="1" t="str">
        <f ca="1">IFERROR(__xludf.DUMMYFUNCTION("""COMPUTED_VALUE"""),"太田将熙")</f>
        <v>太田将熙</v>
      </c>
      <c r="C361" s="1" t="s">
        <v>41</v>
      </c>
      <c r="D361" s="1" t="str">
        <f t="shared" ca="1" si="3"/>
        <v>非表示</v>
      </c>
      <c r="E361" s="1">
        <f ca="1">IFERROR(__xludf.DUMMYFUNCTION("""COMPUTED_VALUE"""),1)</f>
        <v>1</v>
      </c>
      <c r="G361" s="19"/>
      <c r="H361" s="19"/>
    </row>
    <row r="362" spans="1:8" ht="13.8" thickBot="1">
      <c r="A362" s="1" t="str">
        <f t="shared" si="2"/>
        <v>va_361</v>
      </c>
      <c r="B362" s="1" t="str">
        <f ca="1">IFERROR(__xludf.DUMMYFUNCTION("""COMPUTED_VALUE"""),"青山凌大")</f>
        <v>青山凌大</v>
      </c>
      <c r="C362" s="1" t="s">
        <v>41</v>
      </c>
      <c r="D362" s="1" t="str">
        <f t="shared" ca="1" si="3"/>
        <v>非表示</v>
      </c>
      <c r="E362" s="1">
        <f ca="1">IFERROR(__xludf.DUMMYFUNCTION("""COMPUTED_VALUE"""),1)</f>
        <v>1</v>
      </c>
      <c r="G362" s="19"/>
      <c r="H362" s="19"/>
    </row>
    <row r="363" spans="1:8" ht="13.8" thickBot="1">
      <c r="A363" s="1" t="str">
        <f t="shared" si="2"/>
        <v>va_362</v>
      </c>
      <c r="B363" s="1" t="str">
        <f ca="1">IFERROR(__xludf.DUMMYFUNCTION("""COMPUTED_VALUE"""),"福崎那由他")</f>
        <v>福崎那由他</v>
      </c>
      <c r="C363" s="1" t="s">
        <v>41</v>
      </c>
      <c r="D363" s="1" t="str">
        <f t="shared" ca="1" si="3"/>
        <v>非表示</v>
      </c>
      <c r="E363" s="1">
        <f ca="1">IFERROR(__xludf.DUMMYFUNCTION("""COMPUTED_VALUE"""),1)</f>
        <v>1</v>
      </c>
      <c r="G363" s="19"/>
      <c r="H363" s="19"/>
    </row>
    <row r="364" spans="1:8" ht="13.8" thickBot="1">
      <c r="A364" s="1" t="str">
        <f t="shared" si="2"/>
        <v>va_363</v>
      </c>
      <c r="B364" s="1" t="str">
        <f ca="1">IFERROR(__xludf.DUMMYFUNCTION("""COMPUTED_VALUE"""),"岩崎友泰")</f>
        <v>岩崎友泰</v>
      </c>
      <c r="C364" s="1" t="s">
        <v>41</v>
      </c>
      <c r="D364" s="1" t="str">
        <f t="shared" ca="1" si="3"/>
        <v>非表示</v>
      </c>
      <c r="E364" s="1">
        <f ca="1">IFERROR(__xludf.DUMMYFUNCTION("""COMPUTED_VALUE"""),1)</f>
        <v>1</v>
      </c>
      <c r="G364" s="19"/>
      <c r="H364" s="19"/>
    </row>
    <row r="365" spans="1:8" ht="13.8" thickBot="1">
      <c r="A365" s="1" t="str">
        <f t="shared" si="2"/>
        <v>va_364</v>
      </c>
      <c r="B365" s="1" t="str">
        <f ca="1">IFERROR(__xludf.DUMMYFUNCTION("""COMPUTED_VALUE"""),"林優大")</f>
        <v>林優大</v>
      </c>
      <c r="C365" s="1" t="s">
        <v>41</v>
      </c>
      <c r="D365" s="1" t="str">
        <f t="shared" ca="1" si="3"/>
        <v>非表示</v>
      </c>
      <c r="E365" s="1">
        <f ca="1">IFERROR(__xludf.DUMMYFUNCTION("""COMPUTED_VALUE"""),1)</f>
        <v>1</v>
      </c>
      <c r="G365" s="19"/>
      <c r="H365" s="19"/>
    </row>
    <row r="366" spans="1:8" ht="13.8" thickBot="1">
      <c r="A366" s="1" t="str">
        <f t="shared" si="2"/>
        <v>va_365</v>
      </c>
      <c r="B366" s="1" t="str">
        <f ca="1">IFERROR(__xludf.DUMMYFUNCTION("""COMPUTED_VALUE"""),"古田一晟")</f>
        <v>古田一晟</v>
      </c>
      <c r="C366" s="1" t="s">
        <v>77</v>
      </c>
      <c r="D366" s="1" t="str">
        <f t="shared" ca="1" si="3"/>
        <v>非表示</v>
      </c>
      <c r="E366" s="1">
        <f ca="1">IFERROR(__xludf.DUMMYFUNCTION("""COMPUTED_VALUE"""),1)</f>
        <v>1</v>
      </c>
      <c r="F366" s="1" t="s">
        <v>828</v>
      </c>
      <c r="G366" s="19"/>
      <c r="H366" s="19"/>
    </row>
    <row r="367" spans="1:8" ht="53.4" thickBot="1">
      <c r="A367" s="1" t="str">
        <f t="shared" si="2"/>
        <v>va_366</v>
      </c>
      <c r="B367" s="1" t="str">
        <f ca="1">IFERROR(__xludf.DUMMYFUNCTION("""COMPUTED_VALUE"""),"小山剛志")</f>
        <v>小山剛志</v>
      </c>
      <c r="C367" s="1" t="s">
        <v>77</v>
      </c>
      <c r="D367" s="1" t="str">
        <f t="shared" ca="1" si="3"/>
        <v>非表示</v>
      </c>
      <c r="E367" s="1">
        <f ca="1">IFERROR(__xludf.DUMMYFUNCTION("""COMPUTED_VALUE"""),1)</f>
        <v>1</v>
      </c>
      <c r="F367" s="1" t="s">
        <v>829</v>
      </c>
      <c r="G367" s="20" t="s">
        <v>3129</v>
      </c>
      <c r="H367" s="43" t="s">
        <v>2825</v>
      </c>
    </row>
    <row r="368" spans="1:8" ht="13.8" thickBot="1">
      <c r="A368" s="1" t="str">
        <f t="shared" si="2"/>
        <v>va_367</v>
      </c>
      <c r="B368" s="1" t="str">
        <f ca="1">IFERROR(__xludf.DUMMYFUNCTION("""COMPUTED_VALUE"""),"堀川りょう")</f>
        <v>堀川りょう</v>
      </c>
      <c r="C368" s="1" t="s">
        <v>77</v>
      </c>
      <c r="D368" s="1" t="str">
        <f t="shared" ca="1" si="3"/>
        <v>非表示</v>
      </c>
      <c r="E368" s="1">
        <f ca="1">IFERROR(__xludf.DUMMYFUNCTION("""COMPUTED_VALUE"""),1)</f>
        <v>1</v>
      </c>
      <c r="F368" s="1" t="s">
        <v>830</v>
      </c>
      <c r="G368" s="19"/>
      <c r="H368" s="19"/>
    </row>
    <row r="369" spans="1:8" ht="53.4" thickBot="1">
      <c r="A369" s="1" t="str">
        <f t="shared" si="2"/>
        <v>va_368</v>
      </c>
      <c r="B369" s="1" t="str">
        <f ca="1">IFERROR(__xludf.DUMMYFUNCTION("""COMPUTED_VALUE"""),"高戸靖広")</f>
        <v>高戸靖広</v>
      </c>
      <c r="C369" s="1" t="s">
        <v>77</v>
      </c>
      <c r="D369" s="1" t="str">
        <f t="shared" ca="1" si="3"/>
        <v>非表示</v>
      </c>
      <c r="E369" s="1">
        <f ca="1">IFERROR(__xludf.DUMMYFUNCTION("""COMPUTED_VALUE"""),1)</f>
        <v>1</v>
      </c>
      <c r="F369" s="1" t="s">
        <v>832</v>
      </c>
      <c r="G369" s="20" t="s">
        <v>3130</v>
      </c>
      <c r="H369" s="21" t="s">
        <v>2813</v>
      </c>
    </row>
    <row r="370" spans="1:8" ht="66.599999999999994" thickBot="1">
      <c r="A370" s="1" t="str">
        <f t="shared" si="2"/>
        <v>va_369</v>
      </c>
      <c r="B370" s="1" t="str">
        <f ca="1">IFERROR(__xludf.DUMMYFUNCTION("""COMPUTED_VALUE"""),"髙坂篤志")</f>
        <v>髙坂篤志</v>
      </c>
      <c r="C370" s="1" t="s">
        <v>77</v>
      </c>
      <c r="D370" s="1" t="str">
        <f t="shared" ca="1" si="3"/>
        <v>非表示</v>
      </c>
      <c r="E370" s="1">
        <f ca="1">IFERROR(__xludf.DUMMYFUNCTION("""COMPUTED_VALUE"""),1)</f>
        <v>1</v>
      </c>
      <c r="F370" s="1" t="s">
        <v>833</v>
      </c>
      <c r="G370" s="20" t="s">
        <v>3131</v>
      </c>
      <c r="H370" s="84" t="s">
        <v>3116</v>
      </c>
    </row>
    <row r="371" spans="1:8" ht="40.200000000000003" thickBot="1">
      <c r="A371" s="1" t="str">
        <f t="shared" si="2"/>
        <v>va_370</v>
      </c>
      <c r="B371" s="1" t="str">
        <f ca="1">IFERROR(__xludf.DUMMYFUNCTION("""COMPUTED_VALUE"""),"笹沼晃")</f>
        <v>笹沼晃</v>
      </c>
      <c r="C371" s="1" t="s">
        <v>77</v>
      </c>
      <c r="D371" s="1" t="str">
        <f t="shared" ca="1" si="3"/>
        <v>非表示</v>
      </c>
      <c r="E371" s="1">
        <f ca="1">IFERROR(__xludf.DUMMYFUNCTION("""COMPUTED_VALUE"""),1)</f>
        <v>1</v>
      </c>
      <c r="F371" s="1" t="s">
        <v>834</v>
      </c>
      <c r="G371" s="20" t="s">
        <v>3132</v>
      </c>
      <c r="H371" s="33" t="s">
        <v>2819</v>
      </c>
    </row>
    <row r="372" spans="1:8" ht="66.599999999999994" thickBot="1">
      <c r="A372" s="1" t="str">
        <f t="shared" si="2"/>
        <v>va_371</v>
      </c>
      <c r="B372" s="1" t="str">
        <f ca="1">IFERROR(__xludf.DUMMYFUNCTION("""COMPUTED_VALUE"""),"酒井敬幸")</f>
        <v>酒井敬幸</v>
      </c>
      <c r="C372" s="1" t="s">
        <v>77</v>
      </c>
      <c r="D372" s="1" t="str">
        <f t="shared" ca="1" si="3"/>
        <v>非表示</v>
      </c>
      <c r="E372" s="1">
        <f ca="1">IFERROR(__xludf.DUMMYFUNCTION("""COMPUTED_VALUE"""),1)</f>
        <v>1</v>
      </c>
      <c r="F372" s="1" t="s">
        <v>835</v>
      </c>
      <c r="G372" s="20" t="s">
        <v>3133</v>
      </c>
      <c r="H372" s="29" t="s">
        <v>2813</v>
      </c>
    </row>
    <row r="373" spans="1:8" ht="13.8" thickBot="1">
      <c r="A373" s="1" t="str">
        <f t="shared" si="2"/>
        <v>va_372</v>
      </c>
      <c r="B373" s="1" t="str">
        <f ca="1">IFERROR(__xludf.DUMMYFUNCTION("""COMPUTED_VALUE"""),"浅井慶一郎")</f>
        <v>浅井慶一郎</v>
      </c>
      <c r="C373" s="1" t="s">
        <v>77</v>
      </c>
      <c r="D373" s="1" t="str">
        <f t="shared" ca="1" si="3"/>
        <v>非表示</v>
      </c>
      <c r="E373" s="1">
        <f ca="1">IFERROR(__xludf.DUMMYFUNCTION("""COMPUTED_VALUE"""),1)</f>
        <v>1</v>
      </c>
      <c r="F373" s="1" t="s">
        <v>836</v>
      </c>
      <c r="G373" s="19"/>
      <c r="H373" s="19"/>
    </row>
    <row r="374" spans="1:8" ht="13.8" thickBot="1">
      <c r="A374" s="1" t="str">
        <f t="shared" si="2"/>
        <v>va_373</v>
      </c>
      <c r="B374" s="1" t="str">
        <f ca="1">IFERROR(__xludf.DUMMYFUNCTION("""COMPUTED_VALUE"""),"宮本充")</f>
        <v>宮本充</v>
      </c>
      <c r="C374" s="1" t="s">
        <v>77</v>
      </c>
      <c r="D374" s="1" t="str">
        <f t="shared" ca="1" si="3"/>
        <v>非表示</v>
      </c>
      <c r="E374" s="1">
        <f ca="1">IFERROR(__xludf.DUMMYFUNCTION("""COMPUTED_VALUE"""),1)</f>
        <v>1</v>
      </c>
      <c r="F374" s="1" t="s">
        <v>837</v>
      </c>
      <c r="G374" s="19"/>
      <c r="H374" s="19"/>
    </row>
    <row r="375" spans="1:8" ht="53.4" thickBot="1">
      <c r="A375" s="1" t="str">
        <f t="shared" si="2"/>
        <v>va_374</v>
      </c>
      <c r="B375" s="1" t="str">
        <f ca="1">IFERROR(__xludf.DUMMYFUNCTION("""COMPUTED_VALUE"""),"草尾毅")</f>
        <v>草尾毅</v>
      </c>
      <c r="C375" s="1" t="s">
        <v>77</v>
      </c>
      <c r="D375" s="1" t="str">
        <f t="shared" ca="1" si="3"/>
        <v>非表示</v>
      </c>
      <c r="E375" s="1">
        <f ca="1">IFERROR(__xludf.DUMMYFUNCTION("""COMPUTED_VALUE"""),1)</f>
        <v>1</v>
      </c>
      <c r="F375" s="1" t="s">
        <v>838</v>
      </c>
      <c r="G375" s="20" t="s">
        <v>3134</v>
      </c>
      <c r="H375" s="21" t="s">
        <v>2813</v>
      </c>
    </row>
    <row r="376" spans="1:8" ht="79.8" thickBot="1">
      <c r="A376" s="1" t="str">
        <f t="shared" si="2"/>
        <v>va_375</v>
      </c>
      <c r="B376" s="1" t="str">
        <f ca="1">IFERROR(__xludf.DUMMYFUNCTION("""COMPUTED_VALUE"""),"大塚明夫")</f>
        <v>大塚明夫</v>
      </c>
      <c r="C376" s="1" t="s">
        <v>77</v>
      </c>
      <c r="D376" s="1" t="str">
        <f t="shared" ca="1" si="3"/>
        <v>非表示</v>
      </c>
      <c r="E376" s="1">
        <f ca="1">IFERROR(__xludf.DUMMYFUNCTION("""COMPUTED_VALUE"""),1)</f>
        <v>1</v>
      </c>
      <c r="F376" s="1" t="s">
        <v>840</v>
      </c>
      <c r="G376" s="20" t="s">
        <v>3135</v>
      </c>
      <c r="H376" s="86" t="s">
        <v>3136</v>
      </c>
    </row>
    <row r="377" spans="1:8" ht="13.8" thickBot="1">
      <c r="A377" s="1" t="str">
        <f t="shared" si="2"/>
        <v>va_376</v>
      </c>
      <c r="B377" s="1" t="str">
        <f ca="1">IFERROR(__xludf.DUMMYFUNCTION("""COMPUTED_VALUE"""),"筆村栄心")</f>
        <v>筆村栄心</v>
      </c>
      <c r="C377" s="1" t="s">
        <v>41</v>
      </c>
      <c r="D377" s="1" t="str">
        <f t="shared" ca="1" si="3"/>
        <v>非表示</v>
      </c>
      <c r="E377" s="1">
        <f ca="1">IFERROR(__xludf.DUMMYFUNCTION("""COMPUTED_VALUE"""),1)</f>
        <v>1</v>
      </c>
      <c r="G377" s="19"/>
      <c r="H377" s="19"/>
    </row>
    <row r="378" spans="1:8" ht="13.8" thickBot="1">
      <c r="A378" s="1" t="str">
        <f t="shared" si="2"/>
        <v>va_377</v>
      </c>
      <c r="B378" s="1" t="str">
        <f ca="1">IFERROR(__xludf.DUMMYFUNCTION("""COMPUTED_VALUE"""),"西川貴教")</f>
        <v>西川貴教</v>
      </c>
      <c r="C378" s="1" t="s">
        <v>41</v>
      </c>
      <c r="D378" s="1" t="str">
        <f t="shared" ca="1" si="3"/>
        <v>非表示</v>
      </c>
      <c r="E378" s="1">
        <f ca="1">IFERROR(__xludf.DUMMYFUNCTION("""COMPUTED_VALUE"""),1)</f>
        <v>1</v>
      </c>
      <c r="G378" s="19"/>
      <c r="H378" s="19"/>
    </row>
    <row r="379" spans="1:8" ht="40.200000000000003" thickBot="1">
      <c r="A379" s="1" t="str">
        <f t="shared" si="2"/>
        <v>va_378</v>
      </c>
      <c r="B379" s="1" t="str">
        <f ca="1">IFERROR(__xludf.DUMMYFUNCTION("""COMPUTED_VALUE"""),"安田陸矢")</f>
        <v>安田陸矢</v>
      </c>
      <c r="C379" s="1" t="s">
        <v>77</v>
      </c>
      <c r="D379" s="1" t="str">
        <f t="shared" ca="1" si="3"/>
        <v>非表示</v>
      </c>
      <c r="E379" s="1">
        <f ca="1">IFERROR(__xludf.DUMMYFUNCTION("""COMPUTED_VALUE"""),2)</f>
        <v>2</v>
      </c>
      <c r="F379" s="1" t="s">
        <v>841</v>
      </c>
      <c r="G379" s="20" t="s">
        <v>3137</v>
      </c>
      <c r="H379" s="33" t="s">
        <v>2819</v>
      </c>
    </row>
    <row r="380" spans="1:8" ht="53.4" thickBot="1">
      <c r="A380" s="1" t="str">
        <f t="shared" si="2"/>
        <v>va_379</v>
      </c>
      <c r="B380" s="1" t="str">
        <f ca="1">IFERROR(__xludf.DUMMYFUNCTION("""COMPUTED_VALUE"""),"吉村和紘")</f>
        <v>吉村和紘</v>
      </c>
      <c r="C380" s="1" t="s">
        <v>77</v>
      </c>
      <c r="D380" s="1" t="str">
        <f t="shared" ca="1" si="3"/>
        <v>非表示</v>
      </c>
      <c r="E380" s="1">
        <f ca="1">IFERROR(__xludf.DUMMYFUNCTION("""COMPUTED_VALUE"""),1)</f>
        <v>1</v>
      </c>
      <c r="F380" s="1" t="s">
        <v>842</v>
      </c>
      <c r="G380" s="20" t="s">
        <v>3138</v>
      </c>
      <c r="H380" s="87" t="s">
        <v>2819</v>
      </c>
    </row>
    <row r="381" spans="1:8" ht="52.2" thickBot="1">
      <c r="A381" s="1" t="str">
        <f t="shared" si="2"/>
        <v>va_380</v>
      </c>
      <c r="B381" s="1" t="str">
        <f ca="1">IFERROR(__xludf.DUMMYFUNCTION("""COMPUTED_VALUE"""),"岩崎征実")</f>
        <v>岩崎征実</v>
      </c>
      <c r="C381" s="1" t="s">
        <v>77</v>
      </c>
      <c r="D381" s="1" t="str">
        <f t="shared" ca="1" si="3"/>
        <v>非表示</v>
      </c>
      <c r="E381" s="1">
        <f ca="1">IFERROR(__xludf.DUMMYFUNCTION("""COMPUTED_VALUE"""),1)</f>
        <v>1</v>
      </c>
      <c r="F381" s="1" t="s">
        <v>843</v>
      </c>
      <c r="G381" s="20" t="s">
        <v>3139</v>
      </c>
      <c r="H381" s="88" t="s">
        <v>3140</v>
      </c>
    </row>
    <row r="382" spans="1:8" ht="66.599999999999994" thickBot="1">
      <c r="A382" s="1" t="str">
        <f t="shared" si="2"/>
        <v>va_381</v>
      </c>
      <c r="B382" s="1" t="str">
        <f ca="1">IFERROR(__xludf.DUMMYFUNCTION("""COMPUTED_VALUE"""),"津田拓也")</f>
        <v>津田拓也</v>
      </c>
      <c r="C382" s="1" t="s">
        <v>77</v>
      </c>
      <c r="D382" s="1" t="str">
        <f t="shared" ca="1" si="3"/>
        <v>非表示</v>
      </c>
      <c r="E382" s="1">
        <f ca="1">IFERROR(__xludf.DUMMYFUNCTION("""COMPUTED_VALUE"""),1)</f>
        <v>1</v>
      </c>
      <c r="F382" s="1" t="s">
        <v>844</v>
      </c>
      <c r="G382" s="20" t="s">
        <v>3141</v>
      </c>
      <c r="H382" s="75" t="s">
        <v>2819</v>
      </c>
    </row>
    <row r="383" spans="1:8" ht="42.6" thickBot="1">
      <c r="A383" s="1" t="str">
        <f t="shared" si="2"/>
        <v>va_382</v>
      </c>
      <c r="B383" s="1" t="str">
        <f ca="1">IFERROR(__xludf.DUMMYFUNCTION("""COMPUTED_VALUE"""),"北田理道")</f>
        <v>北田理道</v>
      </c>
      <c r="C383" s="1" t="s">
        <v>77</v>
      </c>
      <c r="D383" s="1" t="str">
        <f t="shared" ca="1" si="3"/>
        <v>非表示</v>
      </c>
      <c r="E383" s="1">
        <f ca="1">IFERROR(__xludf.DUMMYFUNCTION("""COMPUTED_VALUE"""),1)</f>
        <v>1</v>
      </c>
      <c r="F383" s="1" t="s">
        <v>846</v>
      </c>
      <c r="G383" s="20" t="s">
        <v>3142</v>
      </c>
      <c r="H383" s="22" t="s">
        <v>2816</v>
      </c>
    </row>
    <row r="384" spans="1:8" ht="42.6" thickBot="1">
      <c r="A384" s="1" t="str">
        <f t="shared" si="2"/>
        <v>va_383</v>
      </c>
      <c r="B384" s="1" t="str">
        <f ca="1">IFERROR(__xludf.DUMMYFUNCTION("""COMPUTED_VALUE"""),"最上嗣生")</f>
        <v>最上嗣生</v>
      </c>
      <c r="C384" s="1" t="s">
        <v>77</v>
      </c>
      <c r="D384" s="1" t="str">
        <f t="shared" ca="1" si="3"/>
        <v>非表示</v>
      </c>
      <c r="E384" s="1">
        <f ca="1">IFERROR(__xludf.DUMMYFUNCTION("""COMPUTED_VALUE"""),1)</f>
        <v>1</v>
      </c>
      <c r="F384" s="1" t="s">
        <v>847</v>
      </c>
      <c r="G384" s="20" t="s">
        <v>3143</v>
      </c>
      <c r="H384" s="22" t="s">
        <v>2816</v>
      </c>
    </row>
    <row r="385" spans="1:8" ht="13.8" thickBot="1">
      <c r="A385" s="1" t="str">
        <f t="shared" si="2"/>
        <v>va_384</v>
      </c>
      <c r="B385" s="1" t="str">
        <f ca="1">IFERROR(__xludf.DUMMYFUNCTION("""COMPUTED_VALUE"""),"室元気")</f>
        <v>室元気</v>
      </c>
      <c r="C385" s="1" t="s">
        <v>77</v>
      </c>
      <c r="D385" s="1" t="str">
        <f t="shared" ca="1" si="3"/>
        <v>非表示</v>
      </c>
      <c r="E385" s="1">
        <f ca="1">IFERROR(__xludf.DUMMYFUNCTION("""COMPUTED_VALUE"""),2)</f>
        <v>2</v>
      </c>
      <c r="F385" s="1" t="s">
        <v>848</v>
      </c>
      <c r="G385" s="28" t="s">
        <v>3144</v>
      </c>
      <c r="H385" s="19"/>
    </row>
    <row r="386" spans="1:8" ht="13.8" thickBot="1">
      <c r="A386" s="1" t="str">
        <f t="shared" si="2"/>
        <v>va_385</v>
      </c>
      <c r="B386" s="1" t="str">
        <f ca="1">IFERROR(__xludf.DUMMYFUNCTION("""COMPUTED_VALUE"""),"天野七瑠")</f>
        <v>天野七瑠</v>
      </c>
      <c r="C386" s="1" t="s">
        <v>41</v>
      </c>
      <c r="D386" s="1" t="str">
        <f t="shared" ca="1" si="3"/>
        <v>非表示</v>
      </c>
      <c r="E386" s="1">
        <f ca="1">IFERROR(__xludf.DUMMYFUNCTION("""COMPUTED_VALUE"""),1)</f>
        <v>1</v>
      </c>
      <c r="G386" s="19"/>
      <c r="H386" s="19"/>
    </row>
    <row r="387" spans="1:8" ht="13.8" thickBot="1">
      <c r="A387" s="1" t="str">
        <f t="shared" si="2"/>
        <v>va_386</v>
      </c>
      <c r="B387" s="1" t="str">
        <f ca="1">IFERROR(__xludf.DUMMYFUNCTION("""COMPUTED_VALUE"""),"秋山諒")</f>
        <v>秋山諒</v>
      </c>
      <c r="C387" s="1" t="s">
        <v>77</v>
      </c>
      <c r="D387" s="1" t="str">
        <f t="shared" ca="1" si="3"/>
        <v>非表示</v>
      </c>
      <c r="E387" s="1">
        <f ca="1">IFERROR(__xludf.DUMMYFUNCTION("""COMPUTED_VALUE"""),1)</f>
        <v>1</v>
      </c>
      <c r="F387" s="1" t="s">
        <v>849</v>
      </c>
      <c r="G387" s="19"/>
      <c r="H387" s="19"/>
    </row>
    <row r="388" spans="1:8" ht="13.8" thickBot="1">
      <c r="A388" s="1" t="str">
        <f t="shared" si="2"/>
        <v>va_387</v>
      </c>
      <c r="B388" s="1" t="str">
        <f ca="1">IFERROR(__xludf.DUMMYFUNCTION("""COMPUTED_VALUE"""),"山本彬")</f>
        <v>山本彬</v>
      </c>
      <c r="C388" s="1" t="s">
        <v>77</v>
      </c>
      <c r="D388" s="1" t="str">
        <f t="shared" ca="1" si="3"/>
        <v>非表示</v>
      </c>
      <c r="E388" s="1">
        <f ca="1">IFERROR(__xludf.DUMMYFUNCTION("""COMPUTED_VALUE"""),1)</f>
        <v>1</v>
      </c>
      <c r="F388" s="1" t="s">
        <v>850</v>
      </c>
      <c r="G388" s="19"/>
      <c r="H388" s="19"/>
    </row>
    <row r="389" spans="1:8" ht="13.8" thickBot="1">
      <c r="A389" s="1" t="str">
        <f t="shared" si="2"/>
        <v>va_388</v>
      </c>
      <c r="B389" s="1" t="str">
        <f ca="1">IFERROR(__xludf.DUMMYFUNCTION("""COMPUTED_VALUE"""),"前田誠二")</f>
        <v>前田誠二</v>
      </c>
      <c r="C389" s="1" t="s">
        <v>77</v>
      </c>
      <c r="D389" s="1" t="str">
        <f t="shared" ca="1" si="3"/>
        <v>非表示</v>
      </c>
      <c r="E389" s="1">
        <f ca="1">IFERROR(__xludf.DUMMYFUNCTION("""COMPUTED_VALUE"""),1)</f>
        <v>1</v>
      </c>
      <c r="F389" s="1" t="s">
        <v>851</v>
      </c>
      <c r="G389" s="28" t="s">
        <v>3145</v>
      </c>
      <c r="H389" s="19"/>
    </row>
    <row r="390" spans="1:8" ht="13.8" thickBot="1">
      <c r="A390" s="1" t="str">
        <f t="shared" si="2"/>
        <v>va_389</v>
      </c>
      <c r="B390" s="1" t="str">
        <f ca="1">IFERROR(__xludf.DUMMYFUNCTION("""COMPUTED_VALUE"""),"高橋怜也")</f>
        <v>高橋怜也</v>
      </c>
      <c r="C390" s="1" t="s">
        <v>41</v>
      </c>
      <c r="D390" s="1" t="str">
        <f t="shared" ca="1" si="3"/>
        <v>非表示</v>
      </c>
      <c r="E390" s="1">
        <f ca="1">IFERROR(__xludf.DUMMYFUNCTION("""COMPUTED_VALUE"""),1)</f>
        <v>1</v>
      </c>
      <c r="G390" s="19"/>
      <c r="H390" s="19"/>
    </row>
    <row r="391" spans="1:8" ht="53.4" thickBot="1">
      <c r="A391" s="1" t="str">
        <f t="shared" si="2"/>
        <v>va_390</v>
      </c>
      <c r="B391" s="1" t="str">
        <f ca="1">IFERROR(__xludf.DUMMYFUNCTION("""COMPUTED_VALUE"""),"吉川幸宏")</f>
        <v>吉川幸宏</v>
      </c>
      <c r="C391" s="1" t="s">
        <v>77</v>
      </c>
      <c r="D391" s="1" t="str">
        <f t="shared" ca="1" si="3"/>
        <v>非表示</v>
      </c>
      <c r="E391" s="1">
        <f ca="1">IFERROR(__xludf.DUMMYFUNCTION("""COMPUTED_VALUE"""),1)</f>
        <v>1</v>
      </c>
      <c r="F391" s="1" t="s">
        <v>853</v>
      </c>
      <c r="G391" s="20" t="s">
        <v>3146</v>
      </c>
      <c r="H391" s="34" t="s">
        <v>2813</v>
      </c>
    </row>
    <row r="392" spans="1:8" ht="40.200000000000003" thickBot="1">
      <c r="A392" s="1" t="str">
        <f t="shared" si="2"/>
        <v>va_391</v>
      </c>
      <c r="B392" s="1" t="str">
        <f ca="1">IFERROR(__xludf.DUMMYFUNCTION("""COMPUTED_VALUE"""),"義村優")</f>
        <v>義村優</v>
      </c>
      <c r="C392" s="1" t="s">
        <v>77</v>
      </c>
      <c r="D392" s="1" t="str">
        <f t="shared" ca="1" si="3"/>
        <v>非表示</v>
      </c>
      <c r="E392" s="1">
        <f ca="1">IFERROR(__xludf.DUMMYFUNCTION("""COMPUTED_VALUE"""),1)</f>
        <v>1</v>
      </c>
      <c r="F392" s="1" t="s">
        <v>854</v>
      </c>
      <c r="G392" s="20" t="s">
        <v>3147</v>
      </c>
      <c r="H392" s="34" t="s">
        <v>2813</v>
      </c>
    </row>
    <row r="393" spans="1:8" ht="251.4" thickBot="1">
      <c r="A393" s="1" t="str">
        <f t="shared" si="2"/>
        <v>va_392</v>
      </c>
      <c r="B393" s="1" t="str">
        <f ca="1">IFERROR(__xludf.DUMMYFUNCTION("""COMPUTED_VALUE"""),"長岡龍歩")</f>
        <v>長岡龍歩</v>
      </c>
      <c r="C393" s="1" t="s">
        <v>77</v>
      </c>
      <c r="D393" s="1" t="str">
        <f t="shared" ca="1" si="3"/>
        <v>非表示</v>
      </c>
      <c r="E393" s="1">
        <f ca="1">IFERROR(__xludf.DUMMYFUNCTION("""COMPUTED_VALUE"""),2)</f>
        <v>2</v>
      </c>
      <c r="F393" s="1" t="s">
        <v>855</v>
      </c>
      <c r="G393" s="20" t="s">
        <v>3148</v>
      </c>
      <c r="H393" s="29" t="s">
        <v>2813</v>
      </c>
    </row>
    <row r="394" spans="1:8" ht="13.8" thickBot="1">
      <c r="A394" s="1" t="str">
        <f t="shared" si="2"/>
        <v>va_393</v>
      </c>
      <c r="B394" s="1" t="str">
        <f ca="1">IFERROR(__xludf.DUMMYFUNCTION("""COMPUTED_VALUE"""),"大野智敬")</f>
        <v>大野智敬</v>
      </c>
      <c r="C394" s="1" t="s">
        <v>77</v>
      </c>
      <c r="D394" s="1" t="str">
        <f t="shared" ca="1" si="3"/>
        <v>非表示</v>
      </c>
      <c r="E394" s="1">
        <f ca="1">IFERROR(__xludf.DUMMYFUNCTION("""COMPUTED_VALUE"""),1)</f>
        <v>1</v>
      </c>
      <c r="F394" s="1" t="s">
        <v>856</v>
      </c>
      <c r="G394" s="28" t="s">
        <v>3149</v>
      </c>
      <c r="H394" s="19"/>
    </row>
    <row r="395" spans="1:8" ht="13.8" thickBot="1">
      <c r="A395" s="1" t="str">
        <f t="shared" si="2"/>
        <v>va_394</v>
      </c>
      <c r="B395" s="1" t="str">
        <f ca="1">IFERROR(__xludf.DUMMYFUNCTION("""COMPUTED_VALUE"""),"砂川脩弥")</f>
        <v>砂川脩弥</v>
      </c>
      <c r="C395" s="1" t="s">
        <v>41</v>
      </c>
      <c r="D395" s="1" t="str">
        <f t="shared" ca="1" si="3"/>
        <v>非表示</v>
      </c>
      <c r="E395" s="1">
        <f ca="1">IFERROR(__xludf.DUMMYFUNCTION("""COMPUTED_VALUE"""),1)</f>
        <v>1</v>
      </c>
      <c r="G395" s="19"/>
      <c r="H395" s="19"/>
    </row>
    <row r="396" spans="1:8" ht="13.8" thickBot="1">
      <c r="A396" s="1" t="str">
        <f t="shared" si="2"/>
        <v>va_395</v>
      </c>
      <c r="B396" s="1" t="str">
        <f ca="1">IFERROR(__xludf.DUMMYFUNCTION("""COMPUTED_VALUE"""),"湊丈瑠")</f>
        <v>湊丈瑠</v>
      </c>
      <c r="C396" s="1" t="s">
        <v>41</v>
      </c>
      <c r="D396" s="1" t="str">
        <f t="shared" ca="1" si="3"/>
        <v>非表示</v>
      </c>
      <c r="E396" s="1">
        <f ca="1">IFERROR(__xludf.DUMMYFUNCTION("""COMPUTED_VALUE"""),1)</f>
        <v>1</v>
      </c>
      <c r="G396" s="19"/>
      <c r="H396" s="19"/>
    </row>
    <row r="397" spans="1:8" ht="13.8" thickBot="1">
      <c r="A397" s="1" t="str">
        <f t="shared" si="2"/>
        <v>va_396</v>
      </c>
      <c r="B397" s="1" t="str">
        <f ca="1">IFERROR(__xludf.DUMMYFUNCTION("""COMPUTED_VALUE"""),"井尻翼馬")</f>
        <v>井尻翼馬</v>
      </c>
      <c r="C397" s="1" t="s">
        <v>41</v>
      </c>
      <c r="D397" s="1" t="str">
        <f t="shared" ca="1" si="3"/>
        <v>非表示</v>
      </c>
      <c r="E397" s="1">
        <f ca="1">IFERROR(__xludf.DUMMYFUNCTION("""COMPUTED_VALUE"""),1)</f>
        <v>1</v>
      </c>
      <c r="G397" s="19"/>
      <c r="H397" s="19"/>
    </row>
    <row r="398" spans="1:8" ht="66.599999999999994" thickBot="1">
      <c r="A398" s="1" t="str">
        <f t="shared" si="2"/>
        <v>va_397</v>
      </c>
      <c r="B398" s="1" t="str">
        <f ca="1">IFERROR(__xludf.DUMMYFUNCTION("""COMPUTED_VALUE"""),"豊島聖人")</f>
        <v>豊島聖人</v>
      </c>
      <c r="C398" s="1" t="s">
        <v>77</v>
      </c>
      <c r="D398" s="1" t="str">
        <f t="shared" ca="1" si="3"/>
        <v>非表示</v>
      </c>
      <c r="E398" s="1">
        <f ca="1">IFERROR(__xludf.DUMMYFUNCTION("""COMPUTED_VALUE"""),1)</f>
        <v>1</v>
      </c>
      <c r="F398" s="1" t="s">
        <v>858</v>
      </c>
      <c r="G398" s="20" t="s">
        <v>3150</v>
      </c>
      <c r="H398" s="35" t="s">
        <v>2813</v>
      </c>
    </row>
    <row r="399" spans="1:8" ht="13.8" thickBot="1">
      <c r="A399" s="1" t="str">
        <f t="shared" si="2"/>
        <v>va_398</v>
      </c>
      <c r="B399" s="1" t="str">
        <f ca="1">IFERROR(__xludf.DUMMYFUNCTION("""COMPUTED_VALUE"""),"織田圭祐")</f>
        <v>織田圭祐</v>
      </c>
      <c r="C399" s="1" t="s">
        <v>77</v>
      </c>
      <c r="D399" s="1" t="str">
        <f t="shared" ca="1" si="3"/>
        <v>非表示</v>
      </c>
      <c r="E399" s="1">
        <f ca="1">IFERROR(__xludf.DUMMYFUNCTION("""COMPUTED_VALUE"""),1)</f>
        <v>1</v>
      </c>
      <c r="F399" s="1" t="s">
        <v>859</v>
      </c>
      <c r="G399" s="19"/>
      <c r="H399" s="19"/>
    </row>
    <row r="400" spans="1:8" ht="40.200000000000003" thickBot="1">
      <c r="A400" s="1" t="str">
        <f t="shared" si="2"/>
        <v>va_399</v>
      </c>
      <c r="B400" s="1" t="str">
        <f ca="1">IFERROR(__xludf.DUMMYFUNCTION("""COMPUTED_VALUE"""),"桐井大介")</f>
        <v>桐井大介</v>
      </c>
      <c r="C400" s="1" t="s">
        <v>77</v>
      </c>
      <c r="D400" s="1" t="str">
        <f t="shared" ca="1" si="3"/>
        <v>非表示</v>
      </c>
      <c r="E400" s="1">
        <f ca="1">IFERROR(__xludf.DUMMYFUNCTION("""COMPUTED_VALUE"""),1)</f>
        <v>1</v>
      </c>
      <c r="F400" s="1" t="s">
        <v>860</v>
      </c>
      <c r="G400" s="20" t="s">
        <v>3151</v>
      </c>
      <c r="H400" s="26" t="s">
        <v>2819</v>
      </c>
    </row>
    <row r="401" spans="1:8" ht="53.4" thickBot="1">
      <c r="A401" s="1" t="str">
        <f t="shared" si="2"/>
        <v>va_400</v>
      </c>
      <c r="B401" s="1" t="str">
        <f ca="1">IFERROR(__xludf.DUMMYFUNCTION("""COMPUTED_VALUE"""),"野宮一範")</f>
        <v>野宮一範</v>
      </c>
      <c r="C401" s="1" t="s">
        <v>77</v>
      </c>
      <c r="D401" s="1" t="str">
        <f t="shared" ca="1" si="3"/>
        <v>非表示</v>
      </c>
      <c r="E401" s="1">
        <f ca="1">IFERROR(__xludf.DUMMYFUNCTION("""COMPUTED_VALUE"""),1)</f>
        <v>1</v>
      </c>
      <c r="F401" s="1" t="s">
        <v>861</v>
      </c>
      <c r="G401" s="20" t="s">
        <v>3152</v>
      </c>
      <c r="H401" s="89" t="s">
        <v>2813</v>
      </c>
    </row>
    <row r="402" spans="1:8" ht="13.8" thickBot="1">
      <c r="A402" s="1" t="str">
        <f t="shared" si="2"/>
        <v>va_401</v>
      </c>
      <c r="B402" s="1" t="str">
        <f ca="1">IFERROR(__xludf.DUMMYFUNCTION("""COMPUTED_VALUE"""),"鶴岡聡")</f>
        <v>鶴岡聡</v>
      </c>
      <c r="C402" s="1" t="s">
        <v>77</v>
      </c>
      <c r="D402" s="1" t="str">
        <f t="shared" ca="1" si="3"/>
        <v>非表示</v>
      </c>
      <c r="E402" s="1">
        <f ca="1">IFERROR(__xludf.DUMMYFUNCTION("""COMPUTED_VALUE"""),1)</f>
        <v>1</v>
      </c>
      <c r="F402" s="1" t="s">
        <v>862</v>
      </c>
      <c r="G402" s="28" t="s">
        <v>3153</v>
      </c>
      <c r="H402" s="19"/>
    </row>
    <row r="403" spans="1:8" ht="198.6" thickBot="1">
      <c r="A403" s="1" t="str">
        <f t="shared" si="2"/>
        <v>va_402</v>
      </c>
      <c r="B403" s="1" t="str">
        <f ca="1">IFERROR(__xludf.DUMMYFUNCTION("""COMPUTED_VALUE"""),"高野大河")</f>
        <v>高野大河</v>
      </c>
      <c r="C403" s="1" t="s">
        <v>77</v>
      </c>
      <c r="D403" s="1" t="str">
        <f t="shared" ca="1" si="3"/>
        <v>非表示</v>
      </c>
      <c r="E403" s="1">
        <f ca="1">IFERROR(__xludf.DUMMYFUNCTION("""COMPUTED_VALUE"""),1)</f>
        <v>1</v>
      </c>
      <c r="F403" s="1" t="s">
        <v>863</v>
      </c>
      <c r="G403" s="20" t="s">
        <v>3154</v>
      </c>
      <c r="H403" s="29" t="s">
        <v>2813</v>
      </c>
    </row>
    <row r="404" spans="1:8" ht="42.6" thickBot="1">
      <c r="A404" s="1" t="str">
        <f t="shared" si="2"/>
        <v>va_403</v>
      </c>
      <c r="B404" s="1" t="str">
        <f ca="1">IFERROR(__xludf.DUMMYFUNCTION("""COMPUTED_VALUE"""),"観世智顕")</f>
        <v>観世智顕</v>
      </c>
      <c r="C404" s="1" t="s">
        <v>77</v>
      </c>
      <c r="D404" s="1" t="str">
        <f t="shared" ca="1" si="3"/>
        <v>非表示</v>
      </c>
      <c r="E404" s="1">
        <f ca="1">IFERROR(__xludf.DUMMYFUNCTION("""COMPUTED_VALUE"""),1)</f>
        <v>1</v>
      </c>
      <c r="F404" s="1" t="s">
        <v>864</v>
      </c>
      <c r="G404" s="20" t="s">
        <v>3155</v>
      </c>
      <c r="H404" s="22" t="s">
        <v>2816</v>
      </c>
    </row>
    <row r="405" spans="1:8" ht="56.4" thickBot="1">
      <c r="A405" s="1" t="str">
        <f t="shared" si="2"/>
        <v>va_404</v>
      </c>
      <c r="B405" s="1" t="str">
        <f ca="1">IFERROR(__xludf.DUMMYFUNCTION("""COMPUTED_VALUE"""),"小池貴大")</f>
        <v>小池貴大</v>
      </c>
      <c r="C405" s="1" t="s">
        <v>77</v>
      </c>
      <c r="D405" s="1" t="str">
        <f t="shared" ca="1" si="3"/>
        <v>非表示</v>
      </c>
      <c r="E405" s="1">
        <f ca="1">IFERROR(__xludf.DUMMYFUNCTION("""COMPUTED_VALUE"""),1)</f>
        <v>1</v>
      </c>
      <c r="F405" s="1" t="s">
        <v>866</v>
      </c>
      <c r="G405" s="20" t="s">
        <v>3156</v>
      </c>
      <c r="H405" s="90" t="s">
        <v>2881</v>
      </c>
    </row>
    <row r="406" spans="1:8" ht="13.2">
      <c r="E406" s="1" t="str">
        <f ca="1">IFERROR(__xludf.DUMMYFUNCTION("""COMPUTED_VALUE"""),"")</f>
        <v/>
      </c>
    </row>
    <row r="407" spans="1:8" ht="13.2">
      <c r="E407" s="1" t="str">
        <f ca="1">IFERROR(__xludf.DUMMYFUNCTION("""COMPUTED_VALUE"""),"")</f>
        <v/>
      </c>
    </row>
    <row r="408" spans="1:8" ht="13.2">
      <c r="E408" s="1" t="str">
        <f ca="1">IFERROR(__xludf.DUMMYFUNCTION("""COMPUTED_VALUE"""),"")</f>
        <v/>
      </c>
    </row>
    <row r="409" spans="1:8" ht="13.2">
      <c r="E409" s="1" t="str">
        <f ca="1">IFERROR(__xludf.DUMMYFUNCTION("""COMPUTED_VALUE"""),"")</f>
        <v/>
      </c>
    </row>
    <row r="410" spans="1:8" ht="13.2">
      <c r="E410" s="1" t="str">
        <f ca="1">IFERROR(__xludf.DUMMYFUNCTION("""COMPUTED_VALUE"""),"")</f>
        <v/>
      </c>
    </row>
    <row r="411" spans="1:8" ht="13.2">
      <c r="E411" s="1" t="str">
        <f ca="1">IFERROR(__xludf.DUMMYFUNCTION("""COMPUTED_VALUE"""),"")</f>
        <v/>
      </c>
    </row>
    <row r="412" spans="1:8" ht="13.2">
      <c r="E412" s="1" t="str">
        <f ca="1">IFERROR(__xludf.DUMMYFUNCTION("""COMPUTED_VALUE"""),"")</f>
        <v/>
      </c>
    </row>
    <row r="413" spans="1:8" ht="13.2">
      <c r="E413" s="1" t="str">
        <f ca="1">IFERROR(__xludf.DUMMYFUNCTION("""COMPUTED_VALUE"""),"")</f>
        <v/>
      </c>
    </row>
    <row r="414" spans="1:8" ht="13.2">
      <c r="E414" s="1" t="str">
        <f ca="1">IFERROR(__xludf.DUMMYFUNCTION("""COMPUTED_VALUE"""),"")</f>
        <v/>
      </c>
    </row>
    <row r="415" spans="1:8" ht="13.2">
      <c r="E415" s="1" t="str">
        <f ca="1">IFERROR(__xludf.DUMMYFUNCTION("""COMPUTED_VALUE"""),"")</f>
        <v/>
      </c>
    </row>
    <row r="416" spans="1:8" ht="13.2">
      <c r="E416" s="1" t="str">
        <f ca="1">IFERROR(__xludf.DUMMYFUNCTION("""COMPUTED_VALUE"""),"")</f>
        <v/>
      </c>
    </row>
    <row r="417" spans="5:5" ht="13.2">
      <c r="E417" s="1" t="str">
        <f ca="1">IFERROR(__xludf.DUMMYFUNCTION("""COMPUTED_VALUE"""),"")</f>
        <v/>
      </c>
    </row>
    <row r="418" spans="5:5" ht="13.2">
      <c r="E418" s="1" t="str">
        <f ca="1">IFERROR(__xludf.DUMMYFUNCTION("""COMPUTED_VALUE"""),"")</f>
        <v/>
      </c>
    </row>
    <row r="419" spans="5:5" ht="13.2">
      <c r="E419" s="1" t="str">
        <f ca="1">IFERROR(__xludf.DUMMYFUNCTION("""COMPUTED_VALUE"""),"")</f>
        <v/>
      </c>
    </row>
    <row r="420" spans="5:5" ht="13.2">
      <c r="E420" s="1" t="str">
        <f ca="1">IFERROR(__xludf.DUMMYFUNCTION("""COMPUTED_VALUE"""),"")</f>
        <v/>
      </c>
    </row>
    <row r="421" spans="5:5" ht="13.2">
      <c r="E421" s="1" t="str">
        <f ca="1">IFERROR(__xludf.DUMMYFUNCTION("""COMPUTED_VALUE"""),"")</f>
        <v/>
      </c>
    </row>
    <row r="422" spans="5:5" ht="13.2">
      <c r="E422" s="1" t="str">
        <f ca="1">IFERROR(__xludf.DUMMYFUNCTION("""COMPUTED_VALUE"""),"")</f>
        <v/>
      </c>
    </row>
    <row r="423" spans="5:5" ht="13.2">
      <c r="E423" s="1" t="str">
        <f ca="1">IFERROR(__xludf.DUMMYFUNCTION("""COMPUTED_VALUE"""),"")</f>
        <v/>
      </c>
    </row>
    <row r="424" spans="5:5" ht="13.2">
      <c r="E424" s="1" t="str">
        <f ca="1">IFERROR(__xludf.DUMMYFUNCTION("""COMPUTED_VALUE"""),"")</f>
        <v/>
      </c>
    </row>
    <row r="425" spans="5:5" ht="13.2">
      <c r="E425" s="1" t="str">
        <f ca="1">IFERROR(__xludf.DUMMYFUNCTION("""COMPUTED_VALUE"""),"")</f>
        <v/>
      </c>
    </row>
    <row r="426" spans="5:5" ht="13.2">
      <c r="E426" s="1" t="str">
        <f ca="1">IFERROR(__xludf.DUMMYFUNCTION("""COMPUTED_VALUE"""),"")</f>
        <v/>
      </c>
    </row>
    <row r="427" spans="5:5" ht="13.2">
      <c r="E427" s="1" t="str">
        <f ca="1">IFERROR(__xludf.DUMMYFUNCTION("""COMPUTED_VALUE"""),"")</f>
        <v/>
      </c>
    </row>
    <row r="428" spans="5:5" ht="13.2">
      <c r="E428" s="1" t="str">
        <f ca="1">IFERROR(__xludf.DUMMYFUNCTION("""COMPUTED_VALUE"""),"")</f>
        <v/>
      </c>
    </row>
    <row r="429" spans="5:5" ht="13.2">
      <c r="E429" s="1" t="str">
        <f ca="1">IFERROR(__xludf.DUMMYFUNCTION("""COMPUTED_VALUE"""),"")</f>
        <v/>
      </c>
    </row>
    <row r="430" spans="5:5" ht="13.2">
      <c r="E430" s="1" t="str">
        <f ca="1">IFERROR(__xludf.DUMMYFUNCTION("""COMPUTED_VALUE"""),"")</f>
        <v/>
      </c>
    </row>
    <row r="431" spans="5:5" ht="13.2">
      <c r="E431" s="1" t="str">
        <f ca="1">IFERROR(__xludf.DUMMYFUNCTION("""COMPUTED_VALUE"""),"")</f>
        <v/>
      </c>
    </row>
    <row r="432" spans="5:5" ht="13.2">
      <c r="E432" s="1" t="str">
        <f ca="1">IFERROR(__xludf.DUMMYFUNCTION("""COMPUTED_VALUE"""),"")</f>
        <v/>
      </c>
    </row>
    <row r="433" spans="5:5" ht="13.2">
      <c r="E433" s="1" t="str">
        <f ca="1">IFERROR(__xludf.DUMMYFUNCTION("""COMPUTED_VALUE"""),"")</f>
        <v/>
      </c>
    </row>
    <row r="434" spans="5:5" ht="13.2">
      <c r="E434" s="1" t="str">
        <f ca="1">IFERROR(__xludf.DUMMYFUNCTION("""COMPUTED_VALUE"""),"")</f>
        <v/>
      </c>
    </row>
    <row r="435" spans="5:5" ht="13.2">
      <c r="E435" s="1" t="str">
        <f ca="1">IFERROR(__xludf.DUMMYFUNCTION("""COMPUTED_VALUE"""),"")</f>
        <v/>
      </c>
    </row>
    <row r="436" spans="5:5" ht="13.2">
      <c r="E436" s="1" t="str">
        <f ca="1">IFERROR(__xludf.DUMMYFUNCTION("""COMPUTED_VALUE"""),"")</f>
        <v/>
      </c>
    </row>
    <row r="437" spans="5:5" ht="13.2">
      <c r="E437" s="1" t="str">
        <f ca="1">IFERROR(__xludf.DUMMYFUNCTION("""COMPUTED_VALUE"""),"")</f>
        <v/>
      </c>
    </row>
    <row r="438" spans="5:5" ht="13.2">
      <c r="E438" s="1" t="str">
        <f ca="1">IFERROR(__xludf.DUMMYFUNCTION("""COMPUTED_VALUE"""),"")</f>
        <v/>
      </c>
    </row>
    <row r="439" spans="5:5" ht="13.2">
      <c r="E439" s="1" t="str">
        <f ca="1">IFERROR(__xludf.DUMMYFUNCTION("""COMPUTED_VALUE"""),"")</f>
        <v/>
      </c>
    </row>
    <row r="440" spans="5:5" ht="13.2">
      <c r="E440" s="1" t="str">
        <f ca="1">IFERROR(__xludf.DUMMYFUNCTION("""COMPUTED_VALUE"""),"")</f>
        <v/>
      </c>
    </row>
    <row r="441" spans="5:5" ht="13.2">
      <c r="E441" s="1" t="str">
        <f ca="1">IFERROR(__xludf.DUMMYFUNCTION("""COMPUTED_VALUE"""),"")</f>
        <v/>
      </c>
    </row>
    <row r="442" spans="5:5" ht="13.2">
      <c r="E442" s="1" t="str">
        <f ca="1">IFERROR(__xludf.DUMMYFUNCTION("""COMPUTED_VALUE"""),"")</f>
        <v/>
      </c>
    </row>
    <row r="443" spans="5:5" ht="13.2">
      <c r="E443" s="1" t="str">
        <f ca="1">IFERROR(__xludf.DUMMYFUNCTION("""COMPUTED_VALUE"""),"")</f>
        <v/>
      </c>
    </row>
    <row r="444" spans="5:5" ht="13.2">
      <c r="E444" s="1" t="str">
        <f ca="1">IFERROR(__xludf.DUMMYFUNCTION("""COMPUTED_VALUE"""),"")</f>
        <v/>
      </c>
    </row>
    <row r="445" spans="5:5" ht="13.2">
      <c r="E445" s="1" t="str">
        <f ca="1">IFERROR(__xludf.DUMMYFUNCTION("""COMPUTED_VALUE"""),"")</f>
        <v/>
      </c>
    </row>
    <row r="446" spans="5:5" ht="13.2">
      <c r="E446" s="1" t="str">
        <f ca="1">IFERROR(__xludf.DUMMYFUNCTION("""COMPUTED_VALUE"""),"")</f>
        <v/>
      </c>
    </row>
    <row r="447" spans="5:5" ht="13.2">
      <c r="E447" s="1" t="str">
        <f ca="1">IFERROR(__xludf.DUMMYFUNCTION("""COMPUTED_VALUE"""),"")</f>
        <v/>
      </c>
    </row>
    <row r="448" spans="5:5" ht="13.2">
      <c r="E448" s="1" t="str">
        <f ca="1">IFERROR(__xludf.DUMMYFUNCTION("""COMPUTED_VALUE"""),"")</f>
        <v/>
      </c>
    </row>
    <row r="449" spans="5:5" ht="13.2">
      <c r="E449" s="1" t="str">
        <f ca="1">IFERROR(__xludf.DUMMYFUNCTION("""COMPUTED_VALUE"""),"")</f>
        <v/>
      </c>
    </row>
    <row r="450" spans="5:5" ht="13.2">
      <c r="E450" s="1" t="str">
        <f ca="1">IFERROR(__xludf.DUMMYFUNCTION("""COMPUTED_VALUE"""),"")</f>
        <v/>
      </c>
    </row>
    <row r="451" spans="5:5" ht="13.2">
      <c r="E451" s="1" t="str">
        <f ca="1">IFERROR(__xludf.DUMMYFUNCTION("""COMPUTED_VALUE"""),"")</f>
        <v/>
      </c>
    </row>
    <row r="452" spans="5:5" ht="13.2">
      <c r="E452" s="1" t="str">
        <f ca="1">IFERROR(__xludf.DUMMYFUNCTION("""COMPUTED_VALUE"""),"")</f>
        <v/>
      </c>
    </row>
    <row r="453" spans="5:5" ht="13.2">
      <c r="E453" s="1" t="str">
        <f ca="1">IFERROR(__xludf.DUMMYFUNCTION("""COMPUTED_VALUE"""),"")</f>
        <v/>
      </c>
    </row>
    <row r="454" spans="5:5" ht="13.2">
      <c r="E454" s="1" t="str">
        <f ca="1">IFERROR(__xludf.DUMMYFUNCTION("""COMPUTED_VALUE"""),"")</f>
        <v/>
      </c>
    </row>
    <row r="455" spans="5:5" ht="13.2">
      <c r="E455" s="1" t="str">
        <f ca="1">IFERROR(__xludf.DUMMYFUNCTION("""COMPUTED_VALUE"""),"")</f>
        <v/>
      </c>
    </row>
    <row r="456" spans="5:5" ht="13.2">
      <c r="E456" s="1" t="str">
        <f ca="1">IFERROR(__xludf.DUMMYFUNCTION("""COMPUTED_VALUE"""),"")</f>
        <v/>
      </c>
    </row>
    <row r="457" spans="5:5" ht="13.2">
      <c r="E457" s="1" t="str">
        <f ca="1">IFERROR(__xludf.DUMMYFUNCTION("""COMPUTED_VALUE"""),"")</f>
        <v/>
      </c>
    </row>
    <row r="458" spans="5:5" ht="13.2">
      <c r="E458" s="1" t="str">
        <f ca="1">IFERROR(__xludf.DUMMYFUNCTION("""COMPUTED_VALUE"""),"")</f>
        <v/>
      </c>
    </row>
    <row r="459" spans="5:5" ht="13.2">
      <c r="E459" s="1" t="str">
        <f ca="1">IFERROR(__xludf.DUMMYFUNCTION("""COMPUTED_VALUE"""),"")</f>
        <v/>
      </c>
    </row>
    <row r="460" spans="5:5" ht="13.2">
      <c r="E460" s="1" t="str">
        <f ca="1">IFERROR(__xludf.DUMMYFUNCTION("""COMPUTED_VALUE"""),"")</f>
        <v/>
      </c>
    </row>
    <row r="461" spans="5:5" ht="13.2">
      <c r="E461" s="1" t="str">
        <f ca="1">IFERROR(__xludf.DUMMYFUNCTION("""COMPUTED_VALUE"""),"")</f>
        <v/>
      </c>
    </row>
    <row r="462" spans="5:5" ht="13.2">
      <c r="E462" s="1" t="str">
        <f ca="1">IFERROR(__xludf.DUMMYFUNCTION("""COMPUTED_VALUE"""),"")</f>
        <v/>
      </c>
    </row>
    <row r="463" spans="5:5" ht="13.2">
      <c r="E463" s="1" t="str">
        <f ca="1">IFERROR(__xludf.DUMMYFUNCTION("""COMPUTED_VALUE"""),"")</f>
        <v/>
      </c>
    </row>
    <row r="464" spans="5:5" ht="13.2">
      <c r="E464" s="1" t="str">
        <f ca="1">IFERROR(__xludf.DUMMYFUNCTION("""COMPUTED_VALUE"""),"")</f>
        <v/>
      </c>
    </row>
    <row r="465" spans="5:5" ht="13.2">
      <c r="E465" s="1" t="str">
        <f ca="1">IFERROR(__xludf.DUMMYFUNCTION("""COMPUTED_VALUE"""),"")</f>
        <v/>
      </c>
    </row>
    <row r="466" spans="5:5" ht="13.2">
      <c r="E466" s="1" t="str">
        <f ca="1">IFERROR(__xludf.DUMMYFUNCTION("""COMPUTED_VALUE"""),"")</f>
        <v/>
      </c>
    </row>
    <row r="467" spans="5:5" ht="13.2">
      <c r="E467" s="1" t="str">
        <f ca="1">IFERROR(__xludf.DUMMYFUNCTION("""COMPUTED_VALUE"""),"")</f>
        <v/>
      </c>
    </row>
    <row r="468" spans="5:5" ht="13.2">
      <c r="E468" s="1" t="str">
        <f ca="1">IFERROR(__xludf.DUMMYFUNCTION("""COMPUTED_VALUE"""),"")</f>
        <v/>
      </c>
    </row>
    <row r="469" spans="5:5" ht="13.2">
      <c r="E469" s="1" t="str">
        <f ca="1">IFERROR(__xludf.DUMMYFUNCTION("""COMPUTED_VALUE"""),"")</f>
        <v/>
      </c>
    </row>
    <row r="470" spans="5:5" ht="13.2">
      <c r="E470" s="1" t="str">
        <f ca="1">IFERROR(__xludf.DUMMYFUNCTION("""COMPUTED_VALUE"""),"")</f>
        <v/>
      </c>
    </row>
    <row r="471" spans="5:5" ht="13.2">
      <c r="E471" s="1" t="str">
        <f ca="1">IFERROR(__xludf.DUMMYFUNCTION("""COMPUTED_VALUE"""),"")</f>
        <v/>
      </c>
    </row>
    <row r="472" spans="5:5" ht="13.2">
      <c r="E472" s="1" t="str">
        <f ca="1">IFERROR(__xludf.DUMMYFUNCTION("""COMPUTED_VALUE"""),"")</f>
        <v/>
      </c>
    </row>
    <row r="473" spans="5:5" ht="13.2">
      <c r="E473" s="1" t="str">
        <f ca="1">IFERROR(__xludf.DUMMYFUNCTION("""COMPUTED_VALUE"""),"")</f>
        <v/>
      </c>
    </row>
    <row r="474" spans="5:5" ht="13.2">
      <c r="E474" s="1" t="str">
        <f ca="1">IFERROR(__xludf.DUMMYFUNCTION("""COMPUTED_VALUE"""),"")</f>
        <v/>
      </c>
    </row>
    <row r="475" spans="5:5" ht="13.2">
      <c r="E475" s="1" t="str">
        <f ca="1">IFERROR(__xludf.DUMMYFUNCTION("""COMPUTED_VALUE"""),"")</f>
        <v/>
      </c>
    </row>
    <row r="476" spans="5:5" ht="13.2">
      <c r="E476" s="1" t="str">
        <f ca="1">IFERROR(__xludf.DUMMYFUNCTION("""COMPUTED_VALUE"""),"")</f>
        <v/>
      </c>
    </row>
    <row r="477" spans="5:5" ht="13.2">
      <c r="E477" s="1" t="str">
        <f ca="1">IFERROR(__xludf.DUMMYFUNCTION("""COMPUTED_VALUE"""),"")</f>
        <v/>
      </c>
    </row>
    <row r="478" spans="5:5" ht="13.2">
      <c r="E478" s="1" t="str">
        <f ca="1">IFERROR(__xludf.DUMMYFUNCTION("""COMPUTED_VALUE"""),"")</f>
        <v/>
      </c>
    </row>
    <row r="479" spans="5:5" ht="13.2">
      <c r="E479" s="1" t="str">
        <f ca="1">IFERROR(__xludf.DUMMYFUNCTION("""COMPUTED_VALUE"""),"")</f>
        <v/>
      </c>
    </row>
    <row r="480" spans="5:5" ht="13.2">
      <c r="E480" s="1" t="str">
        <f ca="1">IFERROR(__xludf.DUMMYFUNCTION("""COMPUTED_VALUE"""),"")</f>
        <v/>
      </c>
    </row>
    <row r="481" spans="5:5" ht="13.2">
      <c r="E481" s="1" t="str">
        <f ca="1">IFERROR(__xludf.DUMMYFUNCTION("""COMPUTED_VALUE"""),"")</f>
        <v/>
      </c>
    </row>
    <row r="482" spans="5:5" ht="13.2">
      <c r="E482" s="1" t="str">
        <f ca="1">IFERROR(__xludf.DUMMYFUNCTION("""COMPUTED_VALUE"""),"")</f>
        <v/>
      </c>
    </row>
    <row r="483" spans="5:5" ht="13.2">
      <c r="E483" s="1" t="str">
        <f ca="1">IFERROR(__xludf.DUMMYFUNCTION("""COMPUTED_VALUE"""),"")</f>
        <v/>
      </c>
    </row>
    <row r="484" spans="5:5" ht="13.2">
      <c r="E484" s="1" t="str">
        <f ca="1">IFERROR(__xludf.DUMMYFUNCTION("""COMPUTED_VALUE"""),"")</f>
        <v/>
      </c>
    </row>
    <row r="485" spans="5:5" ht="13.2">
      <c r="E485" s="1" t="str">
        <f ca="1">IFERROR(__xludf.DUMMYFUNCTION("""COMPUTED_VALUE"""),"")</f>
        <v/>
      </c>
    </row>
    <row r="486" spans="5:5" ht="13.2">
      <c r="E486" s="1" t="str">
        <f ca="1">IFERROR(__xludf.DUMMYFUNCTION("""COMPUTED_VALUE"""),"")</f>
        <v/>
      </c>
    </row>
    <row r="487" spans="5:5" ht="13.2">
      <c r="E487" s="1" t="str">
        <f ca="1">IFERROR(__xludf.DUMMYFUNCTION("""COMPUTED_VALUE"""),"")</f>
        <v/>
      </c>
    </row>
    <row r="488" spans="5:5" ht="13.2">
      <c r="E488" s="1" t="str">
        <f ca="1">IFERROR(__xludf.DUMMYFUNCTION("""COMPUTED_VALUE"""),"")</f>
        <v/>
      </c>
    </row>
    <row r="489" spans="5:5" ht="13.2">
      <c r="E489" s="1" t="str">
        <f ca="1">IFERROR(__xludf.DUMMYFUNCTION("""COMPUTED_VALUE"""),"")</f>
        <v/>
      </c>
    </row>
    <row r="490" spans="5:5" ht="13.2">
      <c r="E490" s="1" t="str">
        <f ca="1">IFERROR(__xludf.DUMMYFUNCTION("""COMPUTED_VALUE"""),"")</f>
        <v/>
      </c>
    </row>
    <row r="491" spans="5:5" ht="13.2">
      <c r="E491" s="1" t="str">
        <f ca="1">IFERROR(__xludf.DUMMYFUNCTION("""COMPUTED_VALUE"""),"")</f>
        <v/>
      </c>
    </row>
    <row r="492" spans="5:5" ht="13.2">
      <c r="E492" s="1" t="str">
        <f ca="1">IFERROR(__xludf.DUMMYFUNCTION("""COMPUTED_VALUE"""),"")</f>
        <v/>
      </c>
    </row>
    <row r="493" spans="5:5" ht="13.2">
      <c r="E493" s="1" t="str">
        <f ca="1">IFERROR(__xludf.DUMMYFUNCTION("""COMPUTED_VALUE"""),"")</f>
        <v/>
      </c>
    </row>
    <row r="494" spans="5:5" ht="13.2">
      <c r="E494" s="1" t="str">
        <f ca="1">IFERROR(__xludf.DUMMYFUNCTION("""COMPUTED_VALUE"""),"")</f>
        <v/>
      </c>
    </row>
    <row r="495" spans="5:5" ht="13.2">
      <c r="E495" s="1" t="str">
        <f ca="1">IFERROR(__xludf.DUMMYFUNCTION("""COMPUTED_VALUE"""),"")</f>
        <v/>
      </c>
    </row>
    <row r="496" spans="5:5" ht="13.2">
      <c r="E496" s="1" t="str">
        <f ca="1">IFERROR(__xludf.DUMMYFUNCTION("""COMPUTED_VALUE"""),"")</f>
        <v/>
      </c>
    </row>
    <row r="497" spans="5:5" ht="13.2">
      <c r="E497" s="1" t="str">
        <f ca="1">IFERROR(__xludf.DUMMYFUNCTION("""COMPUTED_VALUE"""),"")</f>
        <v/>
      </c>
    </row>
    <row r="498" spans="5:5" ht="13.2">
      <c r="E498" s="1" t="str">
        <f ca="1">IFERROR(__xludf.DUMMYFUNCTION("""COMPUTED_VALUE"""),"")</f>
        <v/>
      </c>
    </row>
    <row r="499" spans="5:5" ht="13.2">
      <c r="E499" s="1" t="str">
        <f ca="1">IFERROR(__xludf.DUMMYFUNCTION("""COMPUTED_VALUE"""),"")</f>
        <v/>
      </c>
    </row>
    <row r="500" spans="5:5" ht="13.2">
      <c r="E500" s="1" t="str">
        <f ca="1">IFERROR(__xludf.DUMMYFUNCTION("""COMPUTED_VALUE"""),"")</f>
        <v/>
      </c>
    </row>
    <row r="501" spans="5:5" ht="13.2">
      <c r="E501" s="1" t="str">
        <f ca="1">IFERROR(__xludf.DUMMYFUNCTION("""COMPUTED_VALUE"""),"")</f>
        <v/>
      </c>
    </row>
    <row r="502" spans="5:5" ht="13.2">
      <c r="E502" s="1" t="str">
        <f ca="1">IFERROR(__xludf.DUMMYFUNCTION("""COMPUTED_VALUE"""),"")</f>
        <v/>
      </c>
    </row>
    <row r="503" spans="5:5" ht="13.2">
      <c r="E503" s="1" t="str">
        <f ca="1">IFERROR(__xludf.DUMMYFUNCTION("""COMPUTED_VALUE"""),"")</f>
        <v/>
      </c>
    </row>
    <row r="504" spans="5:5" ht="13.2">
      <c r="E504" s="1" t="str">
        <f ca="1">IFERROR(__xludf.DUMMYFUNCTION("""COMPUTED_VALUE"""),"")</f>
        <v/>
      </c>
    </row>
    <row r="505" spans="5:5" ht="13.2">
      <c r="E505" s="1" t="str">
        <f ca="1">IFERROR(__xludf.DUMMYFUNCTION("""COMPUTED_VALUE"""),"")</f>
        <v/>
      </c>
    </row>
    <row r="506" spans="5:5" ht="13.2">
      <c r="E506" s="1" t="str">
        <f ca="1">IFERROR(__xludf.DUMMYFUNCTION("""COMPUTED_VALUE"""),"")</f>
        <v/>
      </c>
    </row>
    <row r="507" spans="5:5" ht="13.2">
      <c r="E507" s="1" t="str">
        <f ca="1">IFERROR(__xludf.DUMMYFUNCTION("""COMPUTED_VALUE"""),"")</f>
        <v/>
      </c>
    </row>
    <row r="508" spans="5:5" ht="13.2">
      <c r="E508" s="1" t="str">
        <f ca="1">IFERROR(__xludf.DUMMYFUNCTION("""COMPUTED_VALUE"""),"")</f>
        <v/>
      </c>
    </row>
    <row r="509" spans="5:5" ht="13.2">
      <c r="E509" s="1" t="str">
        <f ca="1">IFERROR(__xludf.DUMMYFUNCTION("""COMPUTED_VALUE"""),"")</f>
        <v/>
      </c>
    </row>
    <row r="510" spans="5:5" ht="13.2">
      <c r="E510" s="1" t="str">
        <f ca="1">IFERROR(__xludf.DUMMYFUNCTION("""COMPUTED_VALUE"""),"")</f>
        <v/>
      </c>
    </row>
    <row r="511" spans="5:5" ht="13.2">
      <c r="E511" s="1" t="str">
        <f ca="1">IFERROR(__xludf.DUMMYFUNCTION("""COMPUTED_VALUE"""),"")</f>
        <v/>
      </c>
    </row>
    <row r="512" spans="5:5" ht="13.2">
      <c r="E512" s="1" t="str">
        <f ca="1">IFERROR(__xludf.DUMMYFUNCTION("""COMPUTED_VALUE"""),"")</f>
        <v/>
      </c>
    </row>
    <row r="513" spans="5:5" ht="13.2">
      <c r="E513" s="1" t="str">
        <f ca="1">IFERROR(__xludf.DUMMYFUNCTION("""COMPUTED_VALUE"""),"")</f>
        <v/>
      </c>
    </row>
    <row r="514" spans="5:5" ht="13.2">
      <c r="E514" s="1" t="str">
        <f ca="1">IFERROR(__xludf.DUMMYFUNCTION("""COMPUTED_VALUE"""),"")</f>
        <v/>
      </c>
    </row>
    <row r="515" spans="5:5" ht="13.2">
      <c r="E515" s="1" t="str">
        <f ca="1">IFERROR(__xludf.DUMMYFUNCTION("""COMPUTED_VALUE"""),"")</f>
        <v/>
      </c>
    </row>
    <row r="516" spans="5:5" ht="13.2">
      <c r="E516" s="1" t="str">
        <f ca="1">IFERROR(__xludf.DUMMYFUNCTION("""COMPUTED_VALUE"""),"")</f>
        <v/>
      </c>
    </row>
    <row r="517" spans="5:5" ht="13.2">
      <c r="E517" s="1" t="str">
        <f ca="1">IFERROR(__xludf.DUMMYFUNCTION("""COMPUTED_VALUE"""),"")</f>
        <v/>
      </c>
    </row>
    <row r="518" spans="5:5" ht="13.2">
      <c r="E518" s="1" t="str">
        <f ca="1">IFERROR(__xludf.DUMMYFUNCTION("""COMPUTED_VALUE"""),"")</f>
        <v/>
      </c>
    </row>
    <row r="519" spans="5:5" ht="13.2">
      <c r="E519" s="1" t="str">
        <f ca="1">IFERROR(__xludf.DUMMYFUNCTION("""COMPUTED_VALUE"""),"")</f>
        <v/>
      </c>
    </row>
    <row r="520" spans="5:5" ht="13.2">
      <c r="E520" s="1" t="str">
        <f ca="1">IFERROR(__xludf.DUMMYFUNCTION("""COMPUTED_VALUE"""),"")</f>
        <v/>
      </c>
    </row>
    <row r="521" spans="5:5" ht="13.2">
      <c r="E521" s="1" t="str">
        <f ca="1">IFERROR(__xludf.DUMMYFUNCTION("""COMPUTED_VALUE"""),"")</f>
        <v/>
      </c>
    </row>
    <row r="522" spans="5:5" ht="13.2">
      <c r="E522" s="1" t="str">
        <f ca="1">IFERROR(__xludf.DUMMYFUNCTION("""COMPUTED_VALUE"""),"")</f>
        <v/>
      </c>
    </row>
    <row r="523" spans="5:5" ht="13.2">
      <c r="E523" s="1" t="str">
        <f ca="1">IFERROR(__xludf.DUMMYFUNCTION("""COMPUTED_VALUE"""),"")</f>
        <v/>
      </c>
    </row>
    <row r="524" spans="5:5" ht="13.2">
      <c r="E524" s="1" t="str">
        <f ca="1">IFERROR(__xludf.DUMMYFUNCTION("""COMPUTED_VALUE"""),"")</f>
        <v/>
      </c>
    </row>
    <row r="525" spans="5:5" ht="13.2">
      <c r="E525" s="1" t="str">
        <f ca="1">IFERROR(__xludf.DUMMYFUNCTION("""COMPUTED_VALUE"""),"")</f>
        <v/>
      </c>
    </row>
    <row r="526" spans="5:5" ht="13.2">
      <c r="E526" s="1" t="str">
        <f ca="1">IFERROR(__xludf.DUMMYFUNCTION("""COMPUTED_VALUE"""),"")</f>
        <v/>
      </c>
    </row>
    <row r="527" spans="5:5" ht="13.2">
      <c r="E527" s="1" t="str">
        <f ca="1">IFERROR(__xludf.DUMMYFUNCTION("""COMPUTED_VALUE"""),"")</f>
        <v/>
      </c>
    </row>
    <row r="528" spans="5:5" ht="13.2">
      <c r="E528" s="1" t="str">
        <f ca="1">IFERROR(__xludf.DUMMYFUNCTION("""COMPUTED_VALUE"""),"")</f>
        <v/>
      </c>
    </row>
    <row r="529" spans="5:5" ht="13.2">
      <c r="E529" s="1" t="str">
        <f ca="1">IFERROR(__xludf.DUMMYFUNCTION("""COMPUTED_VALUE"""),"")</f>
        <v/>
      </c>
    </row>
    <row r="530" spans="5:5" ht="13.2">
      <c r="E530" s="1" t="str">
        <f ca="1">IFERROR(__xludf.DUMMYFUNCTION("""COMPUTED_VALUE"""),"")</f>
        <v/>
      </c>
    </row>
    <row r="531" spans="5:5" ht="13.2">
      <c r="E531" s="1" t="str">
        <f ca="1">IFERROR(__xludf.DUMMYFUNCTION("""COMPUTED_VALUE"""),"")</f>
        <v/>
      </c>
    </row>
    <row r="532" spans="5:5" ht="13.2">
      <c r="E532" s="1" t="str">
        <f ca="1">IFERROR(__xludf.DUMMYFUNCTION("""COMPUTED_VALUE"""),"")</f>
        <v/>
      </c>
    </row>
    <row r="533" spans="5:5" ht="13.2">
      <c r="E533" s="1" t="str">
        <f ca="1">IFERROR(__xludf.DUMMYFUNCTION("""COMPUTED_VALUE"""),"")</f>
        <v/>
      </c>
    </row>
    <row r="534" spans="5:5" ht="13.2">
      <c r="E534" s="1" t="str">
        <f ca="1">IFERROR(__xludf.DUMMYFUNCTION("""COMPUTED_VALUE"""),"")</f>
        <v/>
      </c>
    </row>
    <row r="535" spans="5:5" ht="13.2">
      <c r="E535" s="1" t="str">
        <f ca="1">IFERROR(__xludf.DUMMYFUNCTION("""COMPUTED_VALUE"""),"")</f>
        <v/>
      </c>
    </row>
    <row r="536" spans="5:5" ht="13.2">
      <c r="E536" s="1" t="str">
        <f ca="1">IFERROR(__xludf.DUMMYFUNCTION("""COMPUTED_VALUE"""),"")</f>
        <v/>
      </c>
    </row>
    <row r="537" spans="5:5" ht="13.2">
      <c r="E537" s="1" t="str">
        <f ca="1">IFERROR(__xludf.DUMMYFUNCTION("""COMPUTED_VALUE"""),"")</f>
        <v/>
      </c>
    </row>
    <row r="538" spans="5:5" ht="13.2">
      <c r="E538" s="1" t="str">
        <f ca="1">IFERROR(__xludf.DUMMYFUNCTION("""COMPUTED_VALUE"""),"")</f>
        <v/>
      </c>
    </row>
    <row r="539" spans="5:5" ht="13.2">
      <c r="E539" s="1" t="str">
        <f ca="1">IFERROR(__xludf.DUMMYFUNCTION("""COMPUTED_VALUE"""),"")</f>
        <v/>
      </c>
    </row>
    <row r="540" spans="5:5" ht="13.2">
      <c r="E540" s="1" t="str">
        <f ca="1">IFERROR(__xludf.DUMMYFUNCTION("""COMPUTED_VALUE"""),"")</f>
        <v/>
      </c>
    </row>
    <row r="541" spans="5:5" ht="13.2">
      <c r="E541" s="1" t="str">
        <f ca="1">IFERROR(__xludf.DUMMYFUNCTION("""COMPUTED_VALUE"""),"")</f>
        <v/>
      </c>
    </row>
    <row r="542" spans="5:5" ht="13.2">
      <c r="E542" s="1" t="str">
        <f ca="1">IFERROR(__xludf.DUMMYFUNCTION("""COMPUTED_VALUE"""),"")</f>
        <v/>
      </c>
    </row>
    <row r="543" spans="5:5" ht="13.2">
      <c r="E543" s="1" t="str">
        <f ca="1">IFERROR(__xludf.DUMMYFUNCTION("""COMPUTED_VALUE"""),"")</f>
        <v/>
      </c>
    </row>
    <row r="544" spans="5:5" ht="13.2">
      <c r="E544" s="1" t="str">
        <f ca="1">IFERROR(__xludf.DUMMYFUNCTION("""COMPUTED_VALUE"""),"")</f>
        <v/>
      </c>
    </row>
    <row r="545" spans="5:5" ht="13.2">
      <c r="E545" s="1" t="str">
        <f ca="1">IFERROR(__xludf.DUMMYFUNCTION("""COMPUTED_VALUE"""),"")</f>
        <v/>
      </c>
    </row>
    <row r="546" spans="5:5" ht="13.2">
      <c r="E546" s="1" t="str">
        <f ca="1">IFERROR(__xludf.DUMMYFUNCTION("""COMPUTED_VALUE"""),"")</f>
        <v/>
      </c>
    </row>
    <row r="547" spans="5:5" ht="13.2">
      <c r="E547" s="1" t="str">
        <f ca="1">IFERROR(__xludf.DUMMYFUNCTION("""COMPUTED_VALUE"""),"")</f>
        <v/>
      </c>
    </row>
    <row r="548" spans="5:5" ht="13.2">
      <c r="E548" s="1" t="str">
        <f ca="1">IFERROR(__xludf.DUMMYFUNCTION("""COMPUTED_VALUE"""),"")</f>
        <v/>
      </c>
    </row>
    <row r="549" spans="5:5" ht="13.2">
      <c r="E549" s="1" t="str">
        <f ca="1">IFERROR(__xludf.DUMMYFUNCTION("""COMPUTED_VALUE"""),"")</f>
        <v/>
      </c>
    </row>
    <row r="550" spans="5:5" ht="13.2">
      <c r="E550" s="1" t="str">
        <f ca="1">IFERROR(__xludf.DUMMYFUNCTION("""COMPUTED_VALUE"""),"")</f>
        <v/>
      </c>
    </row>
    <row r="551" spans="5:5" ht="13.2">
      <c r="E551" s="1" t="str">
        <f ca="1">IFERROR(__xludf.DUMMYFUNCTION("""COMPUTED_VALUE"""),"")</f>
        <v/>
      </c>
    </row>
    <row r="552" spans="5:5" ht="13.2">
      <c r="E552" s="1" t="str">
        <f ca="1">IFERROR(__xludf.DUMMYFUNCTION("""COMPUTED_VALUE"""),"")</f>
        <v/>
      </c>
    </row>
    <row r="553" spans="5:5" ht="13.2">
      <c r="E553" s="1" t="str">
        <f ca="1">IFERROR(__xludf.DUMMYFUNCTION("""COMPUTED_VALUE"""),"")</f>
        <v/>
      </c>
    </row>
    <row r="554" spans="5:5" ht="13.2">
      <c r="E554" s="1" t="str">
        <f ca="1">IFERROR(__xludf.DUMMYFUNCTION("""COMPUTED_VALUE"""),"")</f>
        <v/>
      </c>
    </row>
    <row r="555" spans="5:5" ht="13.2">
      <c r="E555" s="1" t="str">
        <f ca="1">IFERROR(__xludf.DUMMYFUNCTION("""COMPUTED_VALUE"""),"")</f>
        <v/>
      </c>
    </row>
    <row r="556" spans="5:5" ht="13.2">
      <c r="E556" s="1" t="str">
        <f ca="1">IFERROR(__xludf.DUMMYFUNCTION("""COMPUTED_VALUE"""),"")</f>
        <v/>
      </c>
    </row>
    <row r="557" spans="5:5" ht="13.2">
      <c r="E557" s="1" t="str">
        <f ca="1">IFERROR(__xludf.DUMMYFUNCTION("""COMPUTED_VALUE"""),"")</f>
        <v/>
      </c>
    </row>
    <row r="558" spans="5:5" ht="13.2">
      <c r="E558" s="1" t="str">
        <f ca="1">IFERROR(__xludf.DUMMYFUNCTION("""COMPUTED_VALUE"""),"")</f>
        <v/>
      </c>
    </row>
    <row r="559" spans="5:5" ht="13.2">
      <c r="E559" s="1" t="str">
        <f ca="1">IFERROR(__xludf.DUMMYFUNCTION("""COMPUTED_VALUE"""),"")</f>
        <v/>
      </c>
    </row>
    <row r="560" spans="5:5" ht="13.2">
      <c r="E560" s="1" t="str">
        <f ca="1">IFERROR(__xludf.DUMMYFUNCTION("""COMPUTED_VALUE"""),"")</f>
        <v/>
      </c>
    </row>
    <row r="561" spans="5:5" ht="13.2">
      <c r="E561" s="1" t="str">
        <f ca="1">IFERROR(__xludf.DUMMYFUNCTION("""COMPUTED_VALUE"""),"")</f>
        <v/>
      </c>
    </row>
    <row r="562" spans="5:5" ht="13.2">
      <c r="E562" s="1" t="str">
        <f ca="1">IFERROR(__xludf.DUMMYFUNCTION("""COMPUTED_VALUE"""),"")</f>
        <v/>
      </c>
    </row>
    <row r="563" spans="5:5" ht="13.2">
      <c r="E563" s="1" t="str">
        <f ca="1">IFERROR(__xludf.DUMMYFUNCTION("""COMPUTED_VALUE"""),"")</f>
        <v/>
      </c>
    </row>
    <row r="564" spans="5:5" ht="13.2">
      <c r="E564" s="1" t="str">
        <f ca="1">IFERROR(__xludf.DUMMYFUNCTION("""COMPUTED_VALUE"""),"")</f>
        <v/>
      </c>
    </row>
    <row r="565" spans="5:5" ht="13.2">
      <c r="E565" s="1" t="str">
        <f ca="1">IFERROR(__xludf.DUMMYFUNCTION("""COMPUTED_VALUE"""),"")</f>
        <v/>
      </c>
    </row>
    <row r="566" spans="5:5" ht="13.2">
      <c r="E566" s="1" t="str">
        <f ca="1">IFERROR(__xludf.DUMMYFUNCTION("""COMPUTED_VALUE"""),"")</f>
        <v/>
      </c>
    </row>
    <row r="567" spans="5:5" ht="13.2">
      <c r="E567" s="1" t="str">
        <f ca="1">IFERROR(__xludf.DUMMYFUNCTION("""COMPUTED_VALUE"""),"")</f>
        <v/>
      </c>
    </row>
    <row r="568" spans="5:5" ht="13.2">
      <c r="E568" s="1" t="str">
        <f ca="1">IFERROR(__xludf.DUMMYFUNCTION("""COMPUTED_VALUE"""),"")</f>
        <v/>
      </c>
    </row>
    <row r="569" spans="5:5" ht="13.2">
      <c r="E569" s="1" t="str">
        <f ca="1">IFERROR(__xludf.DUMMYFUNCTION("""COMPUTED_VALUE"""),"")</f>
        <v/>
      </c>
    </row>
    <row r="570" spans="5:5" ht="13.2">
      <c r="E570" s="1" t="str">
        <f ca="1">IFERROR(__xludf.DUMMYFUNCTION("""COMPUTED_VALUE"""),"")</f>
        <v/>
      </c>
    </row>
    <row r="571" spans="5:5" ht="13.2">
      <c r="E571" s="1" t="str">
        <f ca="1">IFERROR(__xludf.DUMMYFUNCTION("""COMPUTED_VALUE"""),"")</f>
        <v/>
      </c>
    </row>
    <row r="572" spans="5:5" ht="13.2">
      <c r="E572" s="1" t="str">
        <f ca="1">IFERROR(__xludf.DUMMYFUNCTION("""COMPUTED_VALUE"""),"")</f>
        <v/>
      </c>
    </row>
    <row r="573" spans="5:5" ht="13.2">
      <c r="E573" s="1" t="str">
        <f ca="1">IFERROR(__xludf.DUMMYFUNCTION("""COMPUTED_VALUE"""),"")</f>
        <v/>
      </c>
    </row>
    <row r="574" spans="5:5" ht="13.2">
      <c r="E574" s="1" t="str">
        <f ca="1">IFERROR(__xludf.DUMMYFUNCTION("""COMPUTED_VALUE"""),"")</f>
        <v/>
      </c>
    </row>
    <row r="575" spans="5:5" ht="13.2">
      <c r="E575" s="1" t="str">
        <f ca="1">IFERROR(__xludf.DUMMYFUNCTION("""COMPUTED_VALUE"""),"")</f>
        <v/>
      </c>
    </row>
    <row r="576" spans="5:5" ht="13.2">
      <c r="E576" s="1" t="str">
        <f ca="1">IFERROR(__xludf.DUMMYFUNCTION("""COMPUTED_VALUE"""),"")</f>
        <v/>
      </c>
    </row>
    <row r="577" spans="5:5" ht="13.2">
      <c r="E577" s="1" t="str">
        <f ca="1">IFERROR(__xludf.DUMMYFUNCTION("""COMPUTED_VALUE"""),"")</f>
        <v/>
      </c>
    </row>
    <row r="578" spans="5:5" ht="13.2">
      <c r="E578" s="1" t="str">
        <f ca="1">IFERROR(__xludf.DUMMYFUNCTION("""COMPUTED_VALUE"""),"")</f>
        <v/>
      </c>
    </row>
    <row r="579" spans="5:5" ht="13.2">
      <c r="E579" s="1" t="str">
        <f ca="1">IFERROR(__xludf.DUMMYFUNCTION("""COMPUTED_VALUE"""),"")</f>
        <v/>
      </c>
    </row>
    <row r="580" spans="5:5" ht="13.2">
      <c r="E580" s="1" t="str">
        <f ca="1">IFERROR(__xludf.DUMMYFUNCTION("""COMPUTED_VALUE"""),"")</f>
        <v/>
      </c>
    </row>
    <row r="581" spans="5:5" ht="13.2">
      <c r="E581" s="1" t="str">
        <f ca="1">IFERROR(__xludf.DUMMYFUNCTION("""COMPUTED_VALUE"""),"")</f>
        <v/>
      </c>
    </row>
    <row r="582" spans="5:5" ht="13.2">
      <c r="E582" s="1" t="str">
        <f ca="1">IFERROR(__xludf.DUMMYFUNCTION("""COMPUTED_VALUE"""),"")</f>
        <v/>
      </c>
    </row>
    <row r="583" spans="5:5" ht="13.2">
      <c r="E583" s="1" t="str">
        <f ca="1">IFERROR(__xludf.DUMMYFUNCTION("""COMPUTED_VALUE"""),"")</f>
        <v/>
      </c>
    </row>
    <row r="584" spans="5:5" ht="13.2">
      <c r="E584" s="1" t="str">
        <f ca="1">IFERROR(__xludf.DUMMYFUNCTION("""COMPUTED_VALUE"""),"")</f>
        <v/>
      </c>
    </row>
    <row r="585" spans="5:5" ht="13.2">
      <c r="E585" s="1" t="str">
        <f ca="1">IFERROR(__xludf.DUMMYFUNCTION("""COMPUTED_VALUE"""),"")</f>
        <v/>
      </c>
    </row>
    <row r="586" spans="5:5" ht="13.2">
      <c r="E586" s="1" t="str">
        <f ca="1">IFERROR(__xludf.DUMMYFUNCTION("""COMPUTED_VALUE"""),"")</f>
        <v/>
      </c>
    </row>
    <row r="587" spans="5:5" ht="13.2">
      <c r="E587" s="1" t="str">
        <f ca="1">IFERROR(__xludf.DUMMYFUNCTION("""COMPUTED_VALUE"""),"")</f>
        <v/>
      </c>
    </row>
    <row r="588" spans="5:5" ht="13.2">
      <c r="E588" s="1" t="str">
        <f ca="1">IFERROR(__xludf.DUMMYFUNCTION("""COMPUTED_VALUE"""),"")</f>
        <v/>
      </c>
    </row>
    <row r="589" spans="5:5" ht="13.2">
      <c r="E589" s="1" t="str">
        <f ca="1">IFERROR(__xludf.DUMMYFUNCTION("""COMPUTED_VALUE"""),"")</f>
        <v/>
      </c>
    </row>
    <row r="590" spans="5:5" ht="13.2">
      <c r="E590" s="1" t="str">
        <f ca="1">IFERROR(__xludf.DUMMYFUNCTION("""COMPUTED_VALUE"""),"")</f>
        <v/>
      </c>
    </row>
    <row r="591" spans="5:5" ht="13.2">
      <c r="E591" s="1" t="str">
        <f ca="1">IFERROR(__xludf.DUMMYFUNCTION("""COMPUTED_VALUE"""),"")</f>
        <v/>
      </c>
    </row>
    <row r="592" spans="5:5" ht="13.2">
      <c r="E592" s="1" t="str">
        <f ca="1">IFERROR(__xludf.DUMMYFUNCTION("""COMPUTED_VALUE"""),"")</f>
        <v/>
      </c>
    </row>
    <row r="593" spans="5:5" ht="13.2">
      <c r="E593" s="1" t="str">
        <f ca="1">IFERROR(__xludf.DUMMYFUNCTION("""COMPUTED_VALUE"""),"")</f>
        <v/>
      </c>
    </row>
    <row r="594" spans="5:5" ht="13.2">
      <c r="E594" s="1" t="str">
        <f ca="1">IFERROR(__xludf.DUMMYFUNCTION("""COMPUTED_VALUE"""),"")</f>
        <v/>
      </c>
    </row>
    <row r="595" spans="5:5" ht="13.2">
      <c r="E595" s="1" t="str">
        <f ca="1">IFERROR(__xludf.DUMMYFUNCTION("""COMPUTED_VALUE"""),"")</f>
        <v/>
      </c>
    </row>
    <row r="596" spans="5:5" ht="13.2">
      <c r="E596" s="1" t="str">
        <f ca="1">IFERROR(__xludf.DUMMYFUNCTION("""COMPUTED_VALUE"""),"")</f>
        <v/>
      </c>
    </row>
    <row r="597" spans="5:5" ht="13.2">
      <c r="E597" s="1" t="str">
        <f ca="1">IFERROR(__xludf.DUMMYFUNCTION("""COMPUTED_VALUE"""),"")</f>
        <v/>
      </c>
    </row>
    <row r="598" spans="5:5" ht="13.2">
      <c r="E598" s="1" t="str">
        <f ca="1">IFERROR(__xludf.DUMMYFUNCTION("""COMPUTED_VALUE"""),"")</f>
        <v/>
      </c>
    </row>
    <row r="599" spans="5:5" ht="13.2">
      <c r="E599" s="1" t="str">
        <f ca="1">IFERROR(__xludf.DUMMYFUNCTION("""COMPUTED_VALUE"""),"")</f>
        <v/>
      </c>
    </row>
    <row r="600" spans="5:5" ht="13.2">
      <c r="E600" s="1" t="str">
        <f ca="1">IFERROR(__xludf.DUMMYFUNCTION("""COMPUTED_VALUE"""),"")</f>
        <v/>
      </c>
    </row>
    <row r="601" spans="5:5" ht="13.2">
      <c r="E601" s="1" t="str">
        <f ca="1">IFERROR(__xludf.DUMMYFUNCTION("""COMPUTED_VALUE"""),"")</f>
        <v/>
      </c>
    </row>
    <row r="602" spans="5:5" ht="13.2">
      <c r="E602" s="1" t="str">
        <f ca="1">IFERROR(__xludf.DUMMYFUNCTION("""COMPUTED_VALUE"""),"")</f>
        <v/>
      </c>
    </row>
    <row r="603" spans="5:5" ht="13.2">
      <c r="E603" s="1" t="str">
        <f ca="1">IFERROR(__xludf.DUMMYFUNCTION("""COMPUTED_VALUE"""),"")</f>
        <v/>
      </c>
    </row>
    <row r="604" spans="5:5" ht="13.2">
      <c r="E604" s="1" t="str">
        <f ca="1">IFERROR(__xludf.DUMMYFUNCTION("""COMPUTED_VALUE"""),"")</f>
        <v/>
      </c>
    </row>
    <row r="605" spans="5:5" ht="13.2">
      <c r="E605" s="1" t="str">
        <f ca="1">IFERROR(__xludf.DUMMYFUNCTION("""COMPUTED_VALUE"""),"")</f>
        <v/>
      </c>
    </row>
    <row r="606" spans="5:5" ht="13.2">
      <c r="E606" s="1" t="str">
        <f ca="1">IFERROR(__xludf.DUMMYFUNCTION("""COMPUTED_VALUE"""),"")</f>
        <v/>
      </c>
    </row>
    <row r="607" spans="5:5" ht="13.2">
      <c r="E607" s="1" t="str">
        <f ca="1">IFERROR(__xludf.DUMMYFUNCTION("""COMPUTED_VALUE"""),"")</f>
        <v/>
      </c>
    </row>
    <row r="608" spans="5:5" ht="13.2">
      <c r="E608" s="1" t="str">
        <f ca="1">IFERROR(__xludf.DUMMYFUNCTION("""COMPUTED_VALUE"""),"")</f>
        <v/>
      </c>
    </row>
    <row r="609" spans="5:5" ht="13.2">
      <c r="E609" s="1" t="str">
        <f ca="1">IFERROR(__xludf.DUMMYFUNCTION("""COMPUTED_VALUE"""),"")</f>
        <v/>
      </c>
    </row>
    <row r="610" spans="5:5" ht="13.2">
      <c r="E610" s="1" t="str">
        <f ca="1">IFERROR(__xludf.DUMMYFUNCTION("""COMPUTED_VALUE"""),"")</f>
        <v/>
      </c>
    </row>
    <row r="611" spans="5:5" ht="13.2">
      <c r="E611" s="1" t="str">
        <f ca="1">IFERROR(__xludf.DUMMYFUNCTION("""COMPUTED_VALUE"""),"")</f>
        <v/>
      </c>
    </row>
    <row r="612" spans="5:5" ht="13.2">
      <c r="E612" s="1" t="str">
        <f ca="1">IFERROR(__xludf.DUMMYFUNCTION("""COMPUTED_VALUE"""),"")</f>
        <v/>
      </c>
    </row>
    <row r="613" spans="5:5" ht="13.2">
      <c r="E613" s="1" t="str">
        <f ca="1">IFERROR(__xludf.DUMMYFUNCTION("""COMPUTED_VALUE"""),"")</f>
        <v/>
      </c>
    </row>
    <row r="614" spans="5:5" ht="13.2">
      <c r="E614" s="1" t="str">
        <f ca="1">IFERROR(__xludf.DUMMYFUNCTION("""COMPUTED_VALUE"""),"")</f>
        <v/>
      </c>
    </row>
    <row r="615" spans="5:5" ht="13.2">
      <c r="E615" s="1" t="str">
        <f ca="1">IFERROR(__xludf.DUMMYFUNCTION("""COMPUTED_VALUE"""),"")</f>
        <v/>
      </c>
    </row>
    <row r="616" spans="5:5" ht="13.2">
      <c r="E616" s="1" t="str">
        <f ca="1">IFERROR(__xludf.DUMMYFUNCTION("""COMPUTED_VALUE"""),"")</f>
        <v/>
      </c>
    </row>
    <row r="617" spans="5:5" ht="13.2">
      <c r="E617" s="1" t="str">
        <f ca="1">IFERROR(__xludf.DUMMYFUNCTION("""COMPUTED_VALUE"""),"")</f>
        <v/>
      </c>
    </row>
    <row r="618" spans="5:5" ht="13.2">
      <c r="E618" s="1" t="str">
        <f ca="1">IFERROR(__xludf.DUMMYFUNCTION("""COMPUTED_VALUE"""),"")</f>
        <v/>
      </c>
    </row>
    <row r="619" spans="5:5" ht="13.2">
      <c r="E619" s="1" t="str">
        <f ca="1">IFERROR(__xludf.DUMMYFUNCTION("""COMPUTED_VALUE"""),"")</f>
        <v/>
      </c>
    </row>
    <row r="620" spans="5:5" ht="13.2">
      <c r="E620" s="1" t="str">
        <f ca="1">IFERROR(__xludf.DUMMYFUNCTION("""COMPUTED_VALUE"""),"")</f>
        <v/>
      </c>
    </row>
    <row r="621" spans="5:5" ht="13.2">
      <c r="E621" s="1" t="str">
        <f ca="1">IFERROR(__xludf.DUMMYFUNCTION("""COMPUTED_VALUE"""),"")</f>
        <v/>
      </c>
    </row>
    <row r="622" spans="5:5" ht="13.2">
      <c r="E622" s="1" t="str">
        <f ca="1">IFERROR(__xludf.DUMMYFUNCTION("""COMPUTED_VALUE"""),"")</f>
        <v/>
      </c>
    </row>
    <row r="623" spans="5:5" ht="13.2">
      <c r="E623" s="1" t="str">
        <f ca="1">IFERROR(__xludf.DUMMYFUNCTION("""COMPUTED_VALUE"""),"")</f>
        <v/>
      </c>
    </row>
    <row r="624" spans="5:5" ht="13.2">
      <c r="E624" s="1" t="str">
        <f ca="1">IFERROR(__xludf.DUMMYFUNCTION("""COMPUTED_VALUE"""),"")</f>
        <v/>
      </c>
    </row>
    <row r="625" spans="5:5" ht="13.2">
      <c r="E625" s="1" t="str">
        <f ca="1">IFERROR(__xludf.DUMMYFUNCTION("""COMPUTED_VALUE"""),"")</f>
        <v/>
      </c>
    </row>
    <row r="626" spans="5:5" ht="13.2">
      <c r="E626" s="1" t="str">
        <f ca="1">IFERROR(__xludf.DUMMYFUNCTION("""COMPUTED_VALUE"""),"")</f>
        <v/>
      </c>
    </row>
    <row r="627" spans="5:5" ht="13.2">
      <c r="E627" s="1" t="str">
        <f ca="1">IFERROR(__xludf.DUMMYFUNCTION("""COMPUTED_VALUE"""),"")</f>
        <v/>
      </c>
    </row>
    <row r="628" spans="5:5" ht="13.2">
      <c r="E628" s="1" t="str">
        <f ca="1">IFERROR(__xludf.DUMMYFUNCTION("""COMPUTED_VALUE"""),"")</f>
        <v/>
      </c>
    </row>
    <row r="629" spans="5:5" ht="13.2">
      <c r="E629" s="1" t="str">
        <f ca="1">IFERROR(__xludf.DUMMYFUNCTION("""COMPUTED_VALUE"""),"")</f>
        <v/>
      </c>
    </row>
    <row r="630" spans="5:5" ht="13.2">
      <c r="E630" s="1" t="str">
        <f ca="1">IFERROR(__xludf.DUMMYFUNCTION("""COMPUTED_VALUE"""),"")</f>
        <v/>
      </c>
    </row>
    <row r="631" spans="5:5" ht="13.2">
      <c r="E631" s="1" t="str">
        <f ca="1">IFERROR(__xludf.DUMMYFUNCTION("""COMPUTED_VALUE"""),"")</f>
        <v/>
      </c>
    </row>
    <row r="632" spans="5:5" ht="13.2">
      <c r="E632" s="1" t="str">
        <f ca="1">IFERROR(__xludf.DUMMYFUNCTION("""COMPUTED_VALUE"""),"")</f>
        <v/>
      </c>
    </row>
    <row r="633" spans="5:5" ht="13.2">
      <c r="E633" s="1" t="str">
        <f ca="1">IFERROR(__xludf.DUMMYFUNCTION("""COMPUTED_VALUE"""),"")</f>
        <v/>
      </c>
    </row>
    <row r="634" spans="5:5" ht="13.2">
      <c r="E634" s="1" t="str">
        <f ca="1">IFERROR(__xludf.DUMMYFUNCTION("""COMPUTED_VALUE"""),"")</f>
        <v/>
      </c>
    </row>
    <row r="635" spans="5:5" ht="13.2">
      <c r="E635" s="1" t="str">
        <f ca="1">IFERROR(__xludf.DUMMYFUNCTION("""COMPUTED_VALUE"""),"")</f>
        <v/>
      </c>
    </row>
    <row r="636" spans="5:5" ht="13.2">
      <c r="E636" s="1" t="str">
        <f ca="1">IFERROR(__xludf.DUMMYFUNCTION("""COMPUTED_VALUE"""),"")</f>
        <v/>
      </c>
    </row>
    <row r="637" spans="5:5" ht="13.2">
      <c r="E637" s="1" t="str">
        <f ca="1">IFERROR(__xludf.DUMMYFUNCTION("""COMPUTED_VALUE"""),"")</f>
        <v/>
      </c>
    </row>
    <row r="638" spans="5:5" ht="13.2">
      <c r="E638" s="1" t="str">
        <f ca="1">IFERROR(__xludf.DUMMYFUNCTION("""COMPUTED_VALUE"""),"")</f>
        <v/>
      </c>
    </row>
    <row r="639" spans="5:5" ht="13.2">
      <c r="E639" s="1" t="str">
        <f ca="1">IFERROR(__xludf.DUMMYFUNCTION("""COMPUTED_VALUE"""),"")</f>
        <v/>
      </c>
    </row>
    <row r="640" spans="5:5" ht="13.2">
      <c r="E640" s="1" t="str">
        <f ca="1">IFERROR(__xludf.DUMMYFUNCTION("""COMPUTED_VALUE"""),"")</f>
        <v/>
      </c>
    </row>
    <row r="641" spans="5:5" ht="13.2">
      <c r="E641" s="1" t="str">
        <f ca="1">IFERROR(__xludf.DUMMYFUNCTION("""COMPUTED_VALUE"""),"")</f>
        <v/>
      </c>
    </row>
    <row r="642" spans="5:5" ht="13.2">
      <c r="E642" s="1" t="str">
        <f ca="1">IFERROR(__xludf.DUMMYFUNCTION("""COMPUTED_VALUE"""),"")</f>
        <v/>
      </c>
    </row>
    <row r="643" spans="5:5" ht="13.2">
      <c r="E643" s="1" t="str">
        <f ca="1">IFERROR(__xludf.DUMMYFUNCTION("""COMPUTED_VALUE"""),"")</f>
        <v/>
      </c>
    </row>
    <row r="644" spans="5:5" ht="13.2">
      <c r="E644" s="1" t="str">
        <f ca="1">IFERROR(__xludf.DUMMYFUNCTION("""COMPUTED_VALUE"""),"")</f>
        <v/>
      </c>
    </row>
    <row r="645" spans="5:5" ht="13.2">
      <c r="E645" s="1" t="str">
        <f ca="1">IFERROR(__xludf.DUMMYFUNCTION("""COMPUTED_VALUE"""),"")</f>
        <v/>
      </c>
    </row>
    <row r="646" spans="5:5" ht="13.2">
      <c r="E646" s="1" t="str">
        <f ca="1">IFERROR(__xludf.DUMMYFUNCTION("""COMPUTED_VALUE"""),"")</f>
        <v/>
      </c>
    </row>
    <row r="647" spans="5:5" ht="13.2">
      <c r="E647" s="1" t="str">
        <f ca="1">IFERROR(__xludf.DUMMYFUNCTION("""COMPUTED_VALUE"""),"")</f>
        <v/>
      </c>
    </row>
    <row r="648" spans="5:5" ht="13.2">
      <c r="E648" s="1" t="str">
        <f ca="1">IFERROR(__xludf.DUMMYFUNCTION("""COMPUTED_VALUE"""),"")</f>
        <v/>
      </c>
    </row>
    <row r="649" spans="5:5" ht="13.2">
      <c r="E649" s="1" t="str">
        <f ca="1">IFERROR(__xludf.DUMMYFUNCTION("""COMPUTED_VALUE"""),"")</f>
        <v/>
      </c>
    </row>
    <row r="650" spans="5:5" ht="13.2">
      <c r="E650" s="1" t="str">
        <f ca="1">IFERROR(__xludf.DUMMYFUNCTION("""COMPUTED_VALUE"""),"")</f>
        <v/>
      </c>
    </row>
    <row r="651" spans="5:5" ht="13.2">
      <c r="E651" s="1" t="str">
        <f ca="1">IFERROR(__xludf.DUMMYFUNCTION("""COMPUTED_VALUE"""),"")</f>
        <v/>
      </c>
    </row>
    <row r="652" spans="5:5" ht="13.2">
      <c r="E652" s="1" t="str">
        <f ca="1">IFERROR(__xludf.DUMMYFUNCTION("""COMPUTED_VALUE"""),"")</f>
        <v/>
      </c>
    </row>
    <row r="653" spans="5:5" ht="13.2">
      <c r="E653" s="1" t="str">
        <f ca="1">IFERROR(__xludf.DUMMYFUNCTION("""COMPUTED_VALUE"""),"")</f>
        <v/>
      </c>
    </row>
    <row r="654" spans="5:5" ht="13.2">
      <c r="E654" s="1" t="str">
        <f ca="1">IFERROR(__xludf.DUMMYFUNCTION("""COMPUTED_VALUE"""),"")</f>
        <v/>
      </c>
    </row>
    <row r="655" spans="5:5" ht="13.2">
      <c r="E655" s="1" t="str">
        <f ca="1">IFERROR(__xludf.DUMMYFUNCTION("""COMPUTED_VALUE"""),"")</f>
        <v/>
      </c>
    </row>
    <row r="656" spans="5:5" ht="13.2">
      <c r="E656" s="1" t="str">
        <f ca="1">IFERROR(__xludf.DUMMYFUNCTION("""COMPUTED_VALUE"""),"")</f>
        <v/>
      </c>
    </row>
    <row r="657" spans="5:5" ht="13.2">
      <c r="E657" s="1" t="str">
        <f ca="1">IFERROR(__xludf.DUMMYFUNCTION("""COMPUTED_VALUE"""),"")</f>
        <v/>
      </c>
    </row>
    <row r="658" spans="5:5" ht="13.2">
      <c r="E658" s="1" t="str">
        <f ca="1">IFERROR(__xludf.DUMMYFUNCTION("""COMPUTED_VALUE"""),"")</f>
        <v/>
      </c>
    </row>
    <row r="659" spans="5:5" ht="13.2">
      <c r="E659" s="1" t="str">
        <f ca="1">IFERROR(__xludf.DUMMYFUNCTION("""COMPUTED_VALUE"""),"")</f>
        <v/>
      </c>
    </row>
    <row r="660" spans="5:5" ht="13.2">
      <c r="E660" s="1" t="str">
        <f ca="1">IFERROR(__xludf.DUMMYFUNCTION("""COMPUTED_VALUE"""),"")</f>
        <v/>
      </c>
    </row>
    <row r="661" spans="5:5" ht="13.2">
      <c r="E661" s="1" t="str">
        <f ca="1">IFERROR(__xludf.DUMMYFUNCTION("""COMPUTED_VALUE"""),"")</f>
        <v/>
      </c>
    </row>
    <row r="662" spans="5:5" ht="13.2">
      <c r="E662" s="1" t="str">
        <f ca="1">IFERROR(__xludf.DUMMYFUNCTION("""COMPUTED_VALUE"""),"")</f>
        <v/>
      </c>
    </row>
    <row r="663" spans="5:5" ht="13.2">
      <c r="E663" s="1" t="str">
        <f ca="1">IFERROR(__xludf.DUMMYFUNCTION("""COMPUTED_VALUE"""),"")</f>
        <v/>
      </c>
    </row>
    <row r="664" spans="5:5" ht="13.2">
      <c r="E664" s="1" t="str">
        <f ca="1">IFERROR(__xludf.DUMMYFUNCTION("""COMPUTED_VALUE"""),"")</f>
        <v/>
      </c>
    </row>
    <row r="665" spans="5:5" ht="13.2">
      <c r="E665" s="1" t="str">
        <f ca="1">IFERROR(__xludf.DUMMYFUNCTION("""COMPUTED_VALUE"""),"")</f>
        <v/>
      </c>
    </row>
    <row r="666" spans="5:5" ht="13.2">
      <c r="E666" s="1" t="str">
        <f ca="1">IFERROR(__xludf.DUMMYFUNCTION("""COMPUTED_VALUE"""),"")</f>
        <v/>
      </c>
    </row>
    <row r="667" spans="5:5" ht="13.2">
      <c r="E667" s="1" t="str">
        <f ca="1">IFERROR(__xludf.DUMMYFUNCTION("""COMPUTED_VALUE"""),"")</f>
        <v/>
      </c>
    </row>
    <row r="668" spans="5:5" ht="13.2">
      <c r="E668" s="1" t="str">
        <f ca="1">IFERROR(__xludf.DUMMYFUNCTION("""COMPUTED_VALUE"""),"")</f>
        <v/>
      </c>
    </row>
    <row r="669" spans="5:5" ht="13.2">
      <c r="E669" s="1" t="str">
        <f ca="1">IFERROR(__xludf.DUMMYFUNCTION("""COMPUTED_VALUE"""),"")</f>
        <v/>
      </c>
    </row>
    <row r="670" spans="5:5" ht="13.2">
      <c r="E670" s="1" t="str">
        <f ca="1">IFERROR(__xludf.DUMMYFUNCTION("""COMPUTED_VALUE"""),"")</f>
        <v/>
      </c>
    </row>
    <row r="671" spans="5:5" ht="13.2">
      <c r="E671" s="1" t="str">
        <f ca="1">IFERROR(__xludf.DUMMYFUNCTION("""COMPUTED_VALUE"""),"")</f>
        <v/>
      </c>
    </row>
    <row r="672" spans="5:5" ht="13.2">
      <c r="E672" s="1" t="str">
        <f ca="1">IFERROR(__xludf.DUMMYFUNCTION("""COMPUTED_VALUE"""),"")</f>
        <v/>
      </c>
    </row>
    <row r="673" spans="5:5" ht="13.2">
      <c r="E673" s="1" t="str">
        <f ca="1">IFERROR(__xludf.DUMMYFUNCTION("""COMPUTED_VALUE"""),"")</f>
        <v/>
      </c>
    </row>
    <row r="674" spans="5:5" ht="13.2">
      <c r="E674" s="1" t="str">
        <f ca="1">IFERROR(__xludf.DUMMYFUNCTION("""COMPUTED_VALUE"""),"")</f>
        <v/>
      </c>
    </row>
    <row r="675" spans="5:5" ht="13.2">
      <c r="E675" s="1" t="str">
        <f ca="1">IFERROR(__xludf.DUMMYFUNCTION("""COMPUTED_VALUE"""),"")</f>
        <v/>
      </c>
    </row>
    <row r="676" spans="5:5" ht="13.2">
      <c r="E676" s="1" t="str">
        <f ca="1">IFERROR(__xludf.DUMMYFUNCTION("""COMPUTED_VALUE"""),"")</f>
        <v/>
      </c>
    </row>
    <row r="677" spans="5:5" ht="13.2">
      <c r="E677" s="1" t="str">
        <f ca="1">IFERROR(__xludf.DUMMYFUNCTION("""COMPUTED_VALUE"""),"")</f>
        <v/>
      </c>
    </row>
    <row r="678" spans="5:5" ht="13.2">
      <c r="E678" s="1" t="str">
        <f ca="1">IFERROR(__xludf.DUMMYFUNCTION("""COMPUTED_VALUE"""),"")</f>
        <v/>
      </c>
    </row>
    <row r="679" spans="5:5" ht="13.2">
      <c r="E679" s="1" t="str">
        <f ca="1">IFERROR(__xludf.DUMMYFUNCTION("""COMPUTED_VALUE"""),"")</f>
        <v/>
      </c>
    </row>
    <row r="680" spans="5:5" ht="13.2">
      <c r="E680" s="1" t="str">
        <f ca="1">IFERROR(__xludf.DUMMYFUNCTION("""COMPUTED_VALUE"""),"")</f>
        <v/>
      </c>
    </row>
    <row r="681" spans="5:5" ht="13.2">
      <c r="E681" s="1" t="str">
        <f ca="1">IFERROR(__xludf.DUMMYFUNCTION("""COMPUTED_VALUE"""),"")</f>
        <v/>
      </c>
    </row>
    <row r="682" spans="5:5" ht="13.2">
      <c r="E682" s="1" t="str">
        <f ca="1">IFERROR(__xludf.DUMMYFUNCTION("""COMPUTED_VALUE"""),"")</f>
        <v/>
      </c>
    </row>
    <row r="683" spans="5:5" ht="13.2">
      <c r="E683" s="1" t="str">
        <f ca="1">IFERROR(__xludf.DUMMYFUNCTION("""COMPUTED_VALUE"""),"")</f>
        <v/>
      </c>
    </row>
    <row r="684" spans="5:5" ht="13.2">
      <c r="E684" s="1" t="str">
        <f ca="1">IFERROR(__xludf.DUMMYFUNCTION("""COMPUTED_VALUE"""),"")</f>
        <v/>
      </c>
    </row>
    <row r="685" spans="5:5" ht="13.2">
      <c r="E685" s="1" t="str">
        <f ca="1">IFERROR(__xludf.DUMMYFUNCTION("""COMPUTED_VALUE"""),"")</f>
        <v/>
      </c>
    </row>
    <row r="686" spans="5:5" ht="13.2">
      <c r="E686" s="1" t="str">
        <f ca="1">IFERROR(__xludf.DUMMYFUNCTION("""COMPUTED_VALUE"""),"")</f>
        <v/>
      </c>
    </row>
    <row r="687" spans="5:5" ht="13.2">
      <c r="E687" s="1" t="str">
        <f ca="1">IFERROR(__xludf.DUMMYFUNCTION("""COMPUTED_VALUE"""),"")</f>
        <v/>
      </c>
    </row>
    <row r="688" spans="5:5" ht="13.2">
      <c r="E688" s="1" t="str">
        <f ca="1">IFERROR(__xludf.DUMMYFUNCTION("""COMPUTED_VALUE"""),"")</f>
        <v/>
      </c>
    </row>
    <row r="689" spans="5:5" ht="13.2">
      <c r="E689" s="1" t="str">
        <f ca="1">IFERROR(__xludf.DUMMYFUNCTION("""COMPUTED_VALUE"""),"")</f>
        <v/>
      </c>
    </row>
    <row r="690" spans="5:5" ht="13.2">
      <c r="E690" s="1" t="str">
        <f ca="1">IFERROR(__xludf.DUMMYFUNCTION("""COMPUTED_VALUE"""),"")</f>
        <v/>
      </c>
    </row>
    <row r="691" spans="5:5" ht="13.2">
      <c r="E691" s="1" t="str">
        <f ca="1">IFERROR(__xludf.DUMMYFUNCTION("""COMPUTED_VALUE"""),"")</f>
        <v/>
      </c>
    </row>
    <row r="692" spans="5:5" ht="13.2">
      <c r="E692" s="1" t="str">
        <f ca="1">IFERROR(__xludf.DUMMYFUNCTION("""COMPUTED_VALUE"""),"")</f>
        <v/>
      </c>
    </row>
    <row r="693" spans="5:5" ht="13.2">
      <c r="E693" s="1" t="str">
        <f ca="1">IFERROR(__xludf.DUMMYFUNCTION("""COMPUTED_VALUE"""),"")</f>
        <v/>
      </c>
    </row>
    <row r="694" spans="5:5" ht="13.2">
      <c r="E694" s="1" t="str">
        <f ca="1">IFERROR(__xludf.DUMMYFUNCTION("""COMPUTED_VALUE"""),"")</f>
        <v/>
      </c>
    </row>
    <row r="695" spans="5:5" ht="13.2">
      <c r="E695" s="1" t="str">
        <f ca="1">IFERROR(__xludf.DUMMYFUNCTION("""COMPUTED_VALUE"""),"")</f>
        <v/>
      </c>
    </row>
    <row r="696" spans="5:5" ht="13.2">
      <c r="E696" s="1" t="str">
        <f ca="1">IFERROR(__xludf.DUMMYFUNCTION("""COMPUTED_VALUE"""),"")</f>
        <v/>
      </c>
    </row>
    <row r="697" spans="5:5" ht="13.2">
      <c r="E697" s="1" t="str">
        <f ca="1">IFERROR(__xludf.DUMMYFUNCTION("""COMPUTED_VALUE"""),"")</f>
        <v/>
      </c>
    </row>
    <row r="698" spans="5:5" ht="13.2">
      <c r="E698" s="1" t="str">
        <f ca="1">IFERROR(__xludf.DUMMYFUNCTION("""COMPUTED_VALUE"""),"")</f>
        <v/>
      </c>
    </row>
    <row r="699" spans="5:5" ht="13.2">
      <c r="E699" s="1" t="str">
        <f ca="1">IFERROR(__xludf.DUMMYFUNCTION("""COMPUTED_VALUE"""),"")</f>
        <v/>
      </c>
    </row>
    <row r="700" spans="5:5" ht="13.2">
      <c r="E700" s="1" t="str">
        <f ca="1">IFERROR(__xludf.DUMMYFUNCTION("""COMPUTED_VALUE"""),"")</f>
        <v/>
      </c>
    </row>
    <row r="701" spans="5:5" ht="13.2">
      <c r="E701" s="1" t="str">
        <f ca="1">IFERROR(__xludf.DUMMYFUNCTION("""COMPUTED_VALUE"""),"")</f>
        <v/>
      </c>
    </row>
    <row r="702" spans="5:5" ht="13.2">
      <c r="E702" s="1" t="str">
        <f ca="1">IFERROR(__xludf.DUMMYFUNCTION("""COMPUTED_VALUE"""),"")</f>
        <v/>
      </c>
    </row>
    <row r="703" spans="5:5" ht="13.2">
      <c r="E703" s="1" t="str">
        <f ca="1">IFERROR(__xludf.DUMMYFUNCTION("""COMPUTED_VALUE"""),"")</f>
        <v/>
      </c>
    </row>
    <row r="704" spans="5:5" ht="13.2">
      <c r="E704" s="1" t="str">
        <f ca="1">IFERROR(__xludf.DUMMYFUNCTION("""COMPUTED_VALUE"""),"")</f>
        <v/>
      </c>
    </row>
    <row r="705" spans="5:5" ht="13.2">
      <c r="E705" s="1" t="str">
        <f ca="1">IFERROR(__xludf.DUMMYFUNCTION("""COMPUTED_VALUE"""),"")</f>
        <v/>
      </c>
    </row>
    <row r="706" spans="5:5" ht="13.2">
      <c r="E706" s="1" t="str">
        <f ca="1">IFERROR(__xludf.DUMMYFUNCTION("""COMPUTED_VALUE"""),"")</f>
        <v/>
      </c>
    </row>
    <row r="707" spans="5:5" ht="13.2">
      <c r="E707" s="1" t="str">
        <f ca="1">IFERROR(__xludf.DUMMYFUNCTION("""COMPUTED_VALUE"""),"")</f>
        <v/>
      </c>
    </row>
    <row r="708" spans="5:5" ht="13.2">
      <c r="E708" s="1" t="str">
        <f ca="1">IFERROR(__xludf.DUMMYFUNCTION("""COMPUTED_VALUE"""),"")</f>
        <v/>
      </c>
    </row>
    <row r="709" spans="5:5" ht="13.2">
      <c r="E709" s="1" t="str">
        <f ca="1">IFERROR(__xludf.DUMMYFUNCTION("""COMPUTED_VALUE"""),"")</f>
        <v/>
      </c>
    </row>
    <row r="710" spans="5:5" ht="13.2">
      <c r="E710" s="1" t="str">
        <f ca="1">IFERROR(__xludf.DUMMYFUNCTION("""COMPUTED_VALUE"""),"")</f>
        <v/>
      </c>
    </row>
    <row r="711" spans="5:5" ht="13.2">
      <c r="E711" s="1" t="str">
        <f ca="1">IFERROR(__xludf.DUMMYFUNCTION("""COMPUTED_VALUE"""),"")</f>
        <v/>
      </c>
    </row>
    <row r="712" spans="5:5" ht="13.2">
      <c r="E712" s="1" t="str">
        <f ca="1">IFERROR(__xludf.DUMMYFUNCTION("""COMPUTED_VALUE"""),"")</f>
        <v/>
      </c>
    </row>
    <row r="713" spans="5:5" ht="13.2">
      <c r="E713" s="1" t="str">
        <f ca="1">IFERROR(__xludf.DUMMYFUNCTION("""COMPUTED_VALUE"""),"")</f>
        <v/>
      </c>
    </row>
    <row r="714" spans="5:5" ht="13.2">
      <c r="E714" s="1" t="str">
        <f ca="1">IFERROR(__xludf.DUMMYFUNCTION("""COMPUTED_VALUE"""),"")</f>
        <v/>
      </c>
    </row>
    <row r="715" spans="5:5" ht="13.2">
      <c r="E715" s="1" t="str">
        <f ca="1">IFERROR(__xludf.DUMMYFUNCTION("""COMPUTED_VALUE"""),"")</f>
        <v/>
      </c>
    </row>
    <row r="716" spans="5:5" ht="13.2">
      <c r="E716" s="1" t="str">
        <f ca="1">IFERROR(__xludf.DUMMYFUNCTION("""COMPUTED_VALUE"""),"")</f>
        <v/>
      </c>
    </row>
    <row r="717" spans="5:5" ht="13.2">
      <c r="E717" s="1" t="str">
        <f ca="1">IFERROR(__xludf.DUMMYFUNCTION("""COMPUTED_VALUE"""),"")</f>
        <v/>
      </c>
    </row>
    <row r="718" spans="5:5" ht="13.2">
      <c r="E718" s="1" t="str">
        <f ca="1">IFERROR(__xludf.DUMMYFUNCTION("""COMPUTED_VALUE"""),"")</f>
        <v/>
      </c>
    </row>
    <row r="719" spans="5:5" ht="13.2">
      <c r="E719" s="1" t="str">
        <f ca="1">IFERROR(__xludf.DUMMYFUNCTION("""COMPUTED_VALUE"""),"")</f>
        <v/>
      </c>
    </row>
    <row r="720" spans="5:5" ht="13.2">
      <c r="E720" s="1" t="str">
        <f ca="1">IFERROR(__xludf.DUMMYFUNCTION("""COMPUTED_VALUE"""),"")</f>
        <v/>
      </c>
    </row>
    <row r="721" spans="5:5" ht="13.2">
      <c r="E721" s="1" t="str">
        <f ca="1">IFERROR(__xludf.DUMMYFUNCTION("""COMPUTED_VALUE"""),"")</f>
        <v/>
      </c>
    </row>
    <row r="722" spans="5:5" ht="13.2">
      <c r="E722" s="1" t="str">
        <f ca="1">IFERROR(__xludf.DUMMYFUNCTION("""COMPUTED_VALUE"""),"")</f>
        <v/>
      </c>
    </row>
    <row r="723" spans="5:5" ht="13.2">
      <c r="E723" s="1" t="str">
        <f ca="1">IFERROR(__xludf.DUMMYFUNCTION("""COMPUTED_VALUE"""),"")</f>
        <v/>
      </c>
    </row>
    <row r="724" spans="5:5" ht="13.2">
      <c r="E724" s="1" t="str">
        <f ca="1">IFERROR(__xludf.DUMMYFUNCTION("""COMPUTED_VALUE"""),"")</f>
        <v/>
      </c>
    </row>
    <row r="725" spans="5:5" ht="13.2">
      <c r="E725" s="1" t="str">
        <f ca="1">IFERROR(__xludf.DUMMYFUNCTION("""COMPUTED_VALUE"""),"")</f>
        <v/>
      </c>
    </row>
    <row r="726" spans="5:5" ht="13.2">
      <c r="E726" s="1" t="str">
        <f ca="1">IFERROR(__xludf.DUMMYFUNCTION("""COMPUTED_VALUE"""),"")</f>
        <v/>
      </c>
    </row>
    <row r="727" spans="5:5" ht="13.2">
      <c r="E727" s="1" t="str">
        <f ca="1">IFERROR(__xludf.DUMMYFUNCTION("""COMPUTED_VALUE"""),"")</f>
        <v/>
      </c>
    </row>
    <row r="728" spans="5:5" ht="13.2">
      <c r="E728" s="1" t="str">
        <f ca="1">IFERROR(__xludf.DUMMYFUNCTION("""COMPUTED_VALUE"""),"")</f>
        <v/>
      </c>
    </row>
    <row r="729" spans="5:5" ht="13.2">
      <c r="E729" s="1" t="str">
        <f ca="1">IFERROR(__xludf.DUMMYFUNCTION("""COMPUTED_VALUE"""),"")</f>
        <v/>
      </c>
    </row>
    <row r="730" spans="5:5" ht="13.2">
      <c r="E730" s="1" t="str">
        <f ca="1">IFERROR(__xludf.DUMMYFUNCTION("""COMPUTED_VALUE"""),"")</f>
        <v/>
      </c>
    </row>
    <row r="731" spans="5:5" ht="13.2">
      <c r="E731" s="1" t="str">
        <f ca="1">IFERROR(__xludf.DUMMYFUNCTION("""COMPUTED_VALUE"""),"")</f>
        <v/>
      </c>
    </row>
    <row r="732" spans="5:5" ht="13.2">
      <c r="E732" s="1" t="str">
        <f ca="1">IFERROR(__xludf.DUMMYFUNCTION("""COMPUTED_VALUE"""),"")</f>
        <v/>
      </c>
    </row>
    <row r="733" spans="5:5" ht="13.2">
      <c r="E733" s="1" t="str">
        <f ca="1">IFERROR(__xludf.DUMMYFUNCTION("""COMPUTED_VALUE"""),"")</f>
        <v/>
      </c>
    </row>
    <row r="734" spans="5:5" ht="13.2">
      <c r="E734" s="1" t="str">
        <f ca="1">IFERROR(__xludf.DUMMYFUNCTION("""COMPUTED_VALUE"""),"")</f>
        <v/>
      </c>
    </row>
    <row r="735" spans="5:5" ht="13.2">
      <c r="E735" s="1" t="str">
        <f ca="1">IFERROR(__xludf.DUMMYFUNCTION("""COMPUTED_VALUE"""),"")</f>
        <v/>
      </c>
    </row>
    <row r="736" spans="5:5" ht="13.2">
      <c r="E736" s="1" t="str">
        <f ca="1">IFERROR(__xludf.DUMMYFUNCTION("""COMPUTED_VALUE"""),"")</f>
        <v/>
      </c>
    </row>
    <row r="737" spans="5:5" ht="13.2">
      <c r="E737" s="1" t="str">
        <f ca="1">IFERROR(__xludf.DUMMYFUNCTION("""COMPUTED_VALUE"""),"")</f>
        <v/>
      </c>
    </row>
    <row r="738" spans="5:5" ht="13.2">
      <c r="E738" s="1" t="str">
        <f ca="1">IFERROR(__xludf.DUMMYFUNCTION("""COMPUTED_VALUE"""),"")</f>
        <v/>
      </c>
    </row>
    <row r="739" spans="5:5" ht="13.2">
      <c r="E739" s="1" t="str">
        <f ca="1">IFERROR(__xludf.DUMMYFUNCTION("""COMPUTED_VALUE"""),"")</f>
        <v/>
      </c>
    </row>
    <row r="740" spans="5:5" ht="13.2">
      <c r="E740" s="1" t="str">
        <f ca="1">IFERROR(__xludf.DUMMYFUNCTION("""COMPUTED_VALUE"""),"")</f>
        <v/>
      </c>
    </row>
    <row r="741" spans="5:5" ht="13.2">
      <c r="E741" s="1" t="str">
        <f ca="1">IFERROR(__xludf.DUMMYFUNCTION("""COMPUTED_VALUE"""),"")</f>
        <v/>
      </c>
    </row>
    <row r="742" spans="5:5" ht="13.2">
      <c r="E742" s="1" t="str">
        <f ca="1">IFERROR(__xludf.DUMMYFUNCTION("""COMPUTED_VALUE"""),"")</f>
        <v/>
      </c>
    </row>
    <row r="743" spans="5:5" ht="13.2">
      <c r="E743" s="1" t="str">
        <f ca="1">IFERROR(__xludf.DUMMYFUNCTION("""COMPUTED_VALUE"""),"")</f>
        <v/>
      </c>
    </row>
    <row r="744" spans="5:5" ht="13.2">
      <c r="E744" s="1" t="str">
        <f ca="1">IFERROR(__xludf.DUMMYFUNCTION("""COMPUTED_VALUE"""),"")</f>
        <v/>
      </c>
    </row>
    <row r="745" spans="5:5" ht="13.2">
      <c r="E745" s="1" t="str">
        <f ca="1">IFERROR(__xludf.DUMMYFUNCTION("""COMPUTED_VALUE"""),"")</f>
        <v/>
      </c>
    </row>
    <row r="746" spans="5:5" ht="13.2">
      <c r="E746" s="1" t="str">
        <f ca="1">IFERROR(__xludf.DUMMYFUNCTION("""COMPUTED_VALUE"""),"")</f>
        <v/>
      </c>
    </row>
    <row r="747" spans="5:5" ht="13.2">
      <c r="E747" s="1" t="str">
        <f ca="1">IFERROR(__xludf.DUMMYFUNCTION("""COMPUTED_VALUE"""),"")</f>
        <v/>
      </c>
    </row>
    <row r="748" spans="5:5" ht="13.2">
      <c r="E748" s="1" t="str">
        <f ca="1">IFERROR(__xludf.DUMMYFUNCTION("""COMPUTED_VALUE"""),"")</f>
        <v/>
      </c>
    </row>
    <row r="749" spans="5:5" ht="13.2">
      <c r="E749" s="1" t="str">
        <f ca="1">IFERROR(__xludf.DUMMYFUNCTION("""COMPUTED_VALUE"""),"")</f>
        <v/>
      </c>
    </row>
    <row r="750" spans="5:5" ht="13.2">
      <c r="E750" s="1" t="str">
        <f ca="1">IFERROR(__xludf.DUMMYFUNCTION("""COMPUTED_VALUE"""),"")</f>
        <v/>
      </c>
    </row>
    <row r="751" spans="5:5" ht="13.2">
      <c r="E751" s="1" t="str">
        <f ca="1">IFERROR(__xludf.DUMMYFUNCTION("""COMPUTED_VALUE"""),"")</f>
        <v/>
      </c>
    </row>
    <row r="752" spans="5:5" ht="13.2">
      <c r="E752" s="1" t="str">
        <f ca="1">IFERROR(__xludf.DUMMYFUNCTION("""COMPUTED_VALUE"""),"")</f>
        <v/>
      </c>
    </row>
    <row r="753" spans="5:5" ht="13.2">
      <c r="E753" s="1" t="str">
        <f ca="1">IFERROR(__xludf.DUMMYFUNCTION("""COMPUTED_VALUE"""),"")</f>
        <v/>
      </c>
    </row>
    <row r="754" spans="5:5" ht="13.2">
      <c r="E754" s="1" t="str">
        <f ca="1">IFERROR(__xludf.DUMMYFUNCTION("""COMPUTED_VALUE"""),"")</f>
        <v/>
      </c>
    </row>
    <row r="755" spans="5:5" ht="13.2">
      <c r="E755" s="1" t="str">
        <f ca="1">IFERROR(__xludf.DUMMYFUNCTION("""COMPUTED_VALUE"""),"")</f>
        <v/>
      </c>
    </row>
    <row r="756" spans="5:5" ht="13.2">
      <c r="E756" s="1" t="str">
        <f ca="1">IFERROR(__xludf.DUMMYFUNCTION("""COMPUTED_VALUE"""),"")</f>
        <v/>
      </c>
    </row>
    <row r="757" spans="5:5" ht="13.2">
      <c r="E757" s="1" t="str">
        <f ca="1">IFERROR(__xludf.DUMMYFUNCTION("""COMPUTED_VALUE"""),"")</f>
        <v/>
      </c>
    </row>
    <row r="758" spans="5:5" ht="13.2">
      <c r="E758" s="1" t="str">
        <f ca="1">IFERROR(__xludf.DUMMYFUNCTION("""COMPUTED_VALUE"""),"")</f>
        <v/>
      </c>
    </row>
    <row r="759" spans="5:5" ht="13.2">
      <c r="E759" s="1" t="str">
        <f ca="1">IFERROR(__xludf.DUMMYFUNCTION("""COMPUTED_VALUE"""),"")</f>
        <v/>
      </c>
    </row>
    <row r="760" spans="5:5" ht="13.2">
      <c r="E760" s="1" t="str">
        <f ca="1">IFERROR(__xludf.DUMMYFUNCTION("""COMPUTED_VALUE"""),"")</f>
        <v/>
      </c>
    </row>
    <row r="761" spans="5:5" ht="13.2">
      <c r="E761" s="1" t="str">
        <f ca="1">IFERROR(__xludf.DUMMYFUNCTION("""COMPUTED_VALUE"""),"")</f>
        <v/>
      </c>
    </row>
    <row r="762" spans="5:5" ht="13.2">
      <c r="E762" s="1" t="str">
        <f ca="1">IFERROR(__xludf.DUMMYFUNCTION("""COMPUTED_VALUE"""),"")</f>
        <v/>
      </c>
    </row>
    <row r="763" spans="5:5" ht="13.2">
      <c r="E763" s="1" t="str">
        <f ca="1">IFERROR(__xludf.DUMMYFUNCTION("""COMPUTED_VALUE"""),"")</f>
        <v/>
      </c>
    </row>
    <row r="764" spans="5:5" ht="13.2">
      <c r="E764" s="1" t="str">
        <f ca="1">IFERROR(__xludf.DUMMYFUNCTION("""COMPUTED_VALUE"""),"")</f>
        <v/>
      </c>
    </row>
    <row r="765" spans="5:5" ht="13.2">
      <c r="E765" s="1" t="str">
        <f ca="1">IFERROR(__xludf.DUMMYFUNCTION("""COMPUTED_VALUE"""),"")</f>
        <v/>
      </c>
    </row>
    <row r="766" spans="5:5" ht="13.2">
      <c r="E766" s="1" t="str">
        <f ca="1">IFERROR(__xludf.DUMMYFUNCTION("""COMPUTED_VALUE"""),"")</f>
        <v/>
      </c>
    </row>
    <row r="767" spans="5:5" ht="13.2">
      <c r="E767" s="1" t="str">
        <f ca="1">IFERROR(__xludf.DUMMYFUNCTION("""COMPUTED_VALUE"""),"")</f>
        <v/>
      </c>
    </row>
    <row r="768" spans="5:5" ht="13.2">
      <c r="E768" s="1" t="str">
        <f ca="1">IFERROR(__xludf.DUMMYFUNCTION("""COMPUTED_VALUE"""),"")</f>
        <v/>
      </c>
    </row>
    <row r="769" spans="5:5" ht="13.2">
      <c r="E769" s="1" t="str">
        <f ca="1">IFERROR(__xludf.DUMMYFUNCTION("""COMPUTED_VALUE"""),"")</f>
        <v/>
      </c>
    </row>
    <row r="770" spans="5:5" ht="13.2">
      <c r="E770" s="1" t="str">
        <f ca="1">IFERROR(__xludf.DUMMYFUNCTION("""COMPUTED_VALUE"""),"")</f>
        <v/>
      </c>
    </row>
    <row r="771" spans="5:5" ht="13.2">
      <c r="E771" s="1" t="str">
        <f ca="1">IFERROR(__xludf.DUMMYFUNCTION("""COMPUTED_VALUE"""),"")</f>
        <v/>
      </c>
    </row>
    <row r="772" spans="5:5" ht="13.2">
      <c r="E772" s="1" t="str">
        <f ca="1">IFERROR(__xludf.DUMMYFUNCTION("""COMPUTED_VALUE"""),"")</f>
        <v/>
      </c>
    </row>
    <row r="773" spans="5:5" ht="13.2">
      <c r="E773" s="1" t="str">
        <f ca="1">IFERROR(__xludf.DUMMYFUNCTION("""COMPUTED_VALUE"""),"")</f>
        <v/>
      </c>
    </row>
    <row r="774" spans="5:5" ht="13.2">
      <c r="E774" s="1" t="str">
        <f ca="1">IFERROR(__xludf.DUMMYFUNCTION("""COMPUTED_VALUE"""),"")</f>
        <v/>
      </c>
    </row>
    <row r="775" spans="5:5" ht="13.2">
      <c r="E775" s="1" t="str">
        <f ca="1">IFERROR(__xludf.DUMMYFUNCTION("""COMPUTED_VALUE"""),"")</f>
        <v/>
      </c>
    </row>
    <row r="776" spans="5:5" ht="13.2">
      <c r="E776" s="1" t="str">
        <f ca="1">IFERROR(__xludf.DUMMYFUNCTION("""COMPUTED_VALUE"""),"")</f>
        <v/>
      </c>
    </row>
    <row r="777" spans="5:5" ht="13.2">
      <c r="E777" s="1" t="str">
        <f ca="1">IFERROR(__xludf.DUMMYFUNCTION("""COMPUTED_VALUE"""),"")</f>
        <v/>
      </c>
    </row>
    <row r="778" spans="5:5" ht="13.2">
      <c r="E778" s="1" t="str">
        <f ca="1">IFERROR(__xludf.DUMMYFUNCTION("""COMPUTED_VALUE"""),"")</f>
        <v/>
      </c>
    </row>
    <row r="779" spans="5:5" ht="13.2">
      <c r="E779" s="1" t="str">
        <f ca="1">IFERROR(__xludf.DUMMYFUNCTION("""COMPUTED_VALUE"""),"")</f>
        <v/>
      </c>
    </row>
    <row r="780" spans="5:5" ht="13.2">
      <c r="E780" s="1" t="str">
        <f ca="1">IFERROR(__xludf.DUMMYFUNCTION("""COMPUTED_VALUE"""),"")</f>
        <v/>
      </c>
    </row>
    <row r="781" spans="5:5" ht="13.2">
      <c r="E781" s="1" t="str">
        <f ca="1">IFERROR(__xludf.DUMMYFUNCTION("""COMPUTED_VALUE"""),"")</f>
        <v/>
      </c>
    </row>
    <row r="782" spans="5:5" ht="13.2">
      <c r="E782" s="1" t="str">
        <f ca="1">IFERROR(__xludf.DUMMYFUNCTION("""COMPUTED_VALUE"""),"")</f>
        <v/>
      </c>
    </row>
    <row r="783" spans="5:5" ht="13.2">
      <c r="E783" s="1" t="str">
        <f ca="1">IFERROR(__xludf.DUMMYFUNCTION("""COMPUTED_VALUE"""),"")</f>
        <v/>
      </c>
    </row>
    <row r="784" spans="5:5" ht="13.2">
      <c r="E784" s="1" t="str">
        <f ca="1">IFERROR(__xludf.DUMMYFUNCTION("""COMPUTED_VALUE"""),"")</f>
        <v/>
      </c>
    </row>
    <row r="785" spans="5:5" ht="13.2">
      <c r="E785" s="1" t="str">
        <f ca="1">IFERROR(__xludf.DUMMYFUNCTION("""COMPUTED_VALUE"""),"")</f>
        <v/>
      </c>
    </row>
    <row r="786" spans="5:5" ht="13.2">
      <c r="E786" s="1" t="str">
        <f ca="1">IFERROR(__xludf.DUMMYFUNCTION("""COMPUTED_VALUE"""),"")</f>
        <v/>
      </c>
    </row>
    <row r="787" spans="5:5" ht="13.2">
      <c r="E787" s="1" t="str">
        <f ca="1">IFERROR(__xludf.DUMMYFUNCTION("""COMPUTED_VALUE"""),"")</f>
        <v/>
      </c>
    </row>
    <row r="788" spans="5:5" ht="13.2">
      <c r="E788" s="1" t="str">
        <f ca="1">IFERROR(__xludf.DUMMYFUNCTION("""COMPUTED_VALUE"""),"")</f>
        <v/>
      </c>
    </row>
    <row r="789" spans="5:5" ht="13.2">
      <c r="E789" s="1" t="str">
        <f ca="1">IFERROR(__xludf.DUMMYFUNCTION("""COMPUTED_VALUE"""),"")</f>
        <v/>
      </c>
    </row>
    <row r="790" spans="5:5" ht="13.2">
      <c r="E790" s="1" t="str">
        <f ca="1">IFERROR(__xludf.DUMMYFUNCTION("""COMPUTED_VALUE"""),"")</f>
        <v/>
      </c>
    </row>
    <row r="791" spans="5:5" ht="13.2">
      <c r="E791" s="1" t="str">
        <f ca="1">IFERROR(__xludf.DUMMYFUNCTION("""COMPUTED_VALUE"""),"")</f>
        <v/>
      </c>
    </row>
    <row r="792" spans="5:5" ht="13.2">
      <c r="E792" s="1" t="str">
        <f ca="1">IFERROR(__xludf.DUMMYFUNCTION("""COMPUTED_VALUE"""),"")</f>
        <v/>
      </c>
    </row>
    <row r="793" spans="5:5" ht="13.2">
      <c r="E793" s="1" t="str">
        <f ca="1">IFERROR(__xludf.DUMMYFUNCTION("""COMPUTED_VALUE"""),"")</f>
        <v/>
      </c>
    </row>
    <row r="794" spans="5:5" ht="13.2">
      <c r="E794" s="1" t="str">
        <f ca="1">IFERROR(__xludf.DUMMYFUNCTION("""COMPUTED_VALUE"""),"")</f>
        <v/>
      </c>
    </row>
    <row r="795" spans="5:5" ht="13.2">
      <c r="E795" s="1" t="str">
        <f ca="1">IFERROR(__xludf.DUMMYFUNCTION("""COMPUTED_VALUE"""),"")</f>
        <v/>
      </c>
    </row>
    <row r="796" spans="5:5" ht="13.2">
      <c r="E796" s="1" t="str">
        <f ca="1">IFERROR(__xludf.DUMMYFUNCTION("""COMPUTED_VALUE"""),"")</f>
        <v/>
      </c>
    </row>
    <row r="797" spans="5:5" ht="13.2">
      <c r="E797" s="1" t="str">
        <f ca="1">IFERROR(__xludf.DUMMYFUNCTION("""COMPUTED_VALUE"""),"")</f>
        <v/>
      </c>
    </row>
    <row r="798" spans="5:5" ht="13.2">
      <c r="E798" s="1" t="str">
        <f ca="1">IFERROR(__xludf.DUMMYFUNCTION("""COMPUTED_VALUE"""),"")</f>
        <v/>
      </c>
    </row>
    <row r="799" spans="5:5" ht="13.2">
      <c r="E799" s="1" t="str">
        <f ca="1">IFERROR(__xludf.DUMMYFUNCTION("""COMPUTED_VALUE"""),"")</f>
        <v/>
      </c>
    </row>
    <row r="800" spans="5:5" ht="13.2">
      <c r="E800" s="1" t="str">
        <f ca="1">IFERROR(__xludf.DUMMYFUNCTION("""COMPUTED_VALUE"""),"")</f>
        <v/>
      </c>
    </row>
    <row r="801" spans="5:5" ht="13.2">
      <c r="E801" s="1" t="str">
        <f ca="1">IFERROR(__xludf.DUMMYFUNCTION("""COMPUTED_VALUE"""),"")</f>
        <v/>
      </c>
    </row>
    <row r="802" spans="5:5" ht="13.2">
      <c r="E802" s="1" t="str">
        <f ca="1">IFERROR(__xludf.DUMMYFUNCTION("""COMPUTED_VALUE"""),"")</f>
        <v/>
      </c>
    </row>
    <row r="803" spans="5:5" ht="13.2">
      <c r="E803" s="1" t="str">
        <f ca="1">IFERROR(__xludf.DUMMYFUNCTION("""COMPUTED_VALUE"""),"")</f>
        <v/>
      </c>
    </row>
    <row r="804" spans="5:5" ht="13.2">
      <c r="E804" s="1" t="str">
        <f ca="1">IFERROR(__xludf.DUMMYFUNCTION("""COMPUTED_VALUE"""),"")</f>
        <v/>
      </c>
    </row>
    <row r="805" spans="5:5" ht="13.2">
      <c r="E805" s="1" t="str">
        <f ca="1">IFERROR(__xludf.DUMMYFUNCTION("""COMPUTED_VALUE"""),"")</f>
        <v/>
      </c>
    </row>
    <row r="806" spans="5:5" ht="13.2">
      <c r="E806" s="1" t="str">
        <f ca="1">IFERROR(__xludf.DUMMYFUNCTION("""COMPUTED_VALUE"""),"")</f>
        <v/>
      </c>
    </row>
    <row r="807" spans="5:5" ht="13.2">
      <c r="E807" s="1" t="str">
        <f ca="1">IFERROR(__xludf.DUMMYFUNCTION("""COMPUTED_VALUE"""),"")</f>
        <v/>
      </c>
    </row>
    <row r="808" spans="5:5" ht="13.2">
      <c r="E808" s="1" t="str">
        <f ca="1">IFERROR(__xludf.DUMMYFUNCTION("""COMPUTED_VALUE"""),"")</f>
        <v/>
      </c>
    </row>
    <row r="809" spans="5:5" ht="13.2">
      <c r="E809" s="1" t="str">
        <f ca="1">IFERROR(__xludf.DUMMYFUNCTION("""COMPUTED_VALUE"""),"")</f>
        <v/>
      </c>
    </row>
    <row r="810" spans="5:5" ht="13.2">
      <c r="E810" s="1" t="str">
        <f ca="1">IFERROR(__xludf.DUMMYFUNCTION("""COMPUTED_VALUE"""),"")</f>
        <v/>
      </c>
    </row>
    <row r="811" spans="5:5" ht="13.2">
      <c r="E811" s="1" t="str">
        <f ca="1">IFERROR(__xludf.DUMMYFUNCTION("""COMPUTED_VALUE"""),"")</f>
        <v/>
      </c>
    </row>
    <row r="812" spans="5:5" ht="13.2">
      <c r="E812" s="1" t="str">
        <f ca="1">IFERROR(__xludf.DUMMYFUNCTION("""COMPUTED_VALUE"""),"")</f>
        <v/>
      </c>
    </row>
    <row r="813" spans="5:5" ht="13.2">
      <c r="E813" s="1" t="str">
        <f ca="1">IFERROR(__xludf.DUMMYFUNCTION("""COMPUTED_VALUE"""),"")</f>
        <v/>
      </c>
    </row>
    <row r="814" spans="5:5" ht="13.2">
      <c r="E814" s="1" t="str">
        <f ca="1">IFERROR(__xludf.DUMMYFUNCTION("""COMPUTED_VALUE"""),"")</f>
        <v/>
      </c>
    </row>
    <row r="815" spans="5:5" ht="13.2">
      <c r="E815" s="1" t="str">
        <f ca="1">IFERROR(__xludf.DUMMYFUNCTION("""COMPUTED_VALUE"""),"")</f>
        <v/>
      </c>
    </row>
    <row r="816" spans="5:5" ht="13.2">
      <c r="E816" s="1" t="str">
        <f ca="1">IFERROR(__xludf.DUMMYFUNCTION("""COMPUTED_VALUE"""),"")</f>
        <v/>
      </c>
    </row>
    <row r="817" spans="5:5" ht="13.2">
      <c r="E817" s="1" t="str">
        <f ca="1">IFERROR(__xludf.DUMMYFUNCTION("""COMPUTED_VALUE"""),"")</f>
        <v/>
      </c>
    </row>
    <row r="818" spans="5:5" ht="13.2">
      <c r="E818" s="1" t="str">
        <f ca="1">IFERROR(__xludf.DUMMYFUNCTION("""COMPUTED_VALUE"""),"")</f>
        <v/>
      </c>
    </row>
    <row r="819" spans="5:5" ht="13.2">
      <c r="E819" s="1" t="str">
        <f ca="1">IFERROR(__xludf.DUMMYFUNCTION("""COMPUTED_VALUE"""),"")</f>
        <v/>
      </c>
    </row>
    <row r="820" spans="5:5" ht="13.2">
      <c r="E820" s="1" t="str">
        <f ca="1">IFERROR(__xludf.DUMMYFUNCTION("""COMPUTED_VALUE"""),"")</f>
        <v/>
      </c>
    </row>
    <row r="821" spans="5:5" ht="13.2">
      <c r="E821" s="1" t="str">
        <f ca="1">IFERROR(__xludf.DUMMYFUNCTION("""COMPUTED_VALUE"""),"")</f>
        <v/>
      </c>
    </row>
    <row r="822" spans="5:5" ht="13.2">
      <c r="E822" s="1" t="str">
        <f ca="1">IFERROR(__xludf.DUMMYFUNCTION("""COMPUTED_VALUE"""),"")</f>
        <v/>
      </c>
    </row>
    <row r="823" spans="5:5" ht="13.2">
      <c r="E823" s="1" t="str">
        <f ca="1">IFERROR(__xludf.DUMMYFUNCTION("""COMPUTED_VALUE"""),"")</f>
        <v/>
      </c>
    </row>
    <row r="824" spans="5:5" ht="13.2">
      <c r="E824" s="1" t="str">
        <f ca="1">IFERROR(__xludf.DUMMYFUNCTION("""COMPUTED_VALUE"""),"")</f>
        <v/>
      </c>
    </row>
    <row r="825" spans="5:5" ht="13.2">
      <c r="E825" s="1" t="str">
        <f ca="1">IFERROR(__xludf.DUMMYFUNCTION("""COMPUTED_VALUE"""),"")</f>
        <v/>
      </c>
    </row>
    <row r="826" spans="5:5" ht="13.2">
      <c r="E826" s="1" t="str">
        <f ca="1">IFERROR(__xludf.DUMMYFUNCTION("""COMPUTED_VALUE"""),"")</f>
        <v/>
      </c>
    </row>
    <row r="827" spans="5:5" ht="13.2">
      <c r="E827" s="1" t="str">
        <f ca="1">IFERROR(__xludf.DUMMYFUNCTION("""COMPUTED_VALUE"""),"")</f>
        <v/>
      </c>
    </row>
    <row r="828" spans="5:5" ht="13.2">
      <c r="E828" s="1" t="str">
        <f ca="1">IFERROR(__xludf.DUMMYFUNCTION("""COMPUTED_VALUE"""),"")</f>
        <v/>
      </c>
    </row>
    <row r="829" spans="5:5" ht="13.2">
      <c r="E829" s="1" t="str">
        <f ca="1">IFERROR(__xludf.DUMMYFUNCTION("""COMPUTED_VALUE"""),"")</f>
        <v/>
      </c>
    </row>
    <row r="830" spans="5:5" ht="13.2">
      <c r="E830" s="1" t="str">
        <f ca="1">IFERROR(__xludf.DUMMYFUNCTION("""COMPUTED_VALUE"""),"")</f>
        <v/>
      </c>
    </row>
    <row r="831" spans="5:5" ht="13.2">
      <c r="E831" s="1" t="str">
        <f ca="1">IFERROR(__xludf.DUMMYFUNCTION("""COMPUTED_VALUE"""),"")</f>
        <v/>
      </c>
    </row>
    <row r="832" spans="5:5" ht="13.2">
      <c r="E832" s="1" t="str">
        <f ca="1">IFERROR(__xludf.DUMMYFUNCTION("""COMPUTED_VALUE"""),"")</f>
        <v/>
      </c>
    </row>
    <row r="833" spans="5:5" ht="13.2">
      <c r="E833" s="1" t="str">
        <f ca="1">IFERROR(__xludf.DUMMYFUNCTION("""COMPUTED_VALUE"""),"")</f>
        <v/>
      </c>
    </row>
    <row r="834" spans="5:5" ht="13.2">
      <c r="E834" s="1" t="str">
        <f ca="1">IFERROR(__xludf.DUMMYFUNCTION("""COMPUTED_VALUE"""),"")</f>
        <v/>
      </c>
    </row>
    <row r="835" spans="5:5" ht="13.2">
      <c r="E835" s="1" t="str">
        <f ca="1">IFERROR(__xludf.DUMMYFUNCTION("""COMPUTED_VALUE"""),"")</f>
        <v/>
      </c>
    </row>
    <row r="836" spans="5:5" ht="13.2">
      <c r="E836" s="1" t="str">
        <f ca="1">IFERROR(__xludf.DUMMYFUNCTION("""COMPUTED_VALUE"""),"")</f>
        <v/>
      </c>
    </row>
    <row r="837" spans="5:5" ht="13.2">
      <c r="E837" s="1" t="str">
        <f ca="1">IFERROR(__xludf.DUMMYFUNCTION("""COMPUTED_VALUE"""),"")</f>
        <v/>
      </c>
    </row>
    <row r="838" spans="5:5" ht="13.2">
      <c r="E838" s="1" t="str">
        <f ca="1">IFERROR(__xludf.DUMMYFUNCTION("""COMPUTED_VALUE"""),"")</f>
        <v/>
      </c>
    </row>
    <row r="839" spans="5:5" ht="13.2">
      <c r="E839" s="1" t="str">
        <f ca="1">IFERROR(__xludf.DUMMYFUNCTION("""COMPUTED_VALUE"""),"")</f>
        <v/>
      </c>
    </row>
    <row r="840" spans="5:5" ht="13.2">
      <c r="E840" s="1" t="str">
        <f ca="1">IFERROR(__xludf.DUMMYFUNCTION("""COMPUTED_VALUE"""),"")</f>
        <v/>
      </c>
    </row>
    <row r="841" spans="5:5" ht="13.2">
      <c r="E841" s="1" t="str">
        <f ca="1">IFERROR(__xludf.DUMMYFUNCTION("""COMPUTED_VALUE"""),"")</f>
        <v/>
      </c>
    </row>
    <row r="842" spans="5:5" ht="13.2">
      <c r="E842" s="1" t="str">
        <f ca="1">IFERROR(__xludf.DUMMYFUNCTION("""COMPUTED_VALUE"""),"")</f>
        <v/>
      </c>
    </row>
    <row r="843" spans="5:5" ht="13.2">
      <c r="E843" s="1" t="str">
        <f ca="1">IFERROR(__xludf.DUMMYFUNCTION("""COMPUTED_VALUE"""),"")</f>
        <v/>
      </c>
    </row>
    <row r="844" spans="5:5" ht="13.2">
      <c r="E844" s="1" t="str">
        <f ca="1">IFERROR(__xludf.DUMMYFUNCTION("""COMPUTED_VALUE"""),"")</f>
        <v/>
      </c>
    </row>
    <row r="845" spans="5:5" ht="13.2">
      <c r="E845" s="1" t="str">
        <f ca="1">IFERROR(__xludf.DUMMYFUNCTION("""COMPUTED_VALUE"""),"")</f>
        <v/>
      </c>
    </row>
    <row r="846" spans="5:5" ht="13.2">
      <c r="E846" s="1" t="str">
        <f ca="1">IFERROR(__xludf.DUMMYFUNCTION("""COMPUTED_VALUE"""),"")</f>
        <v/>
      </c>
    </row>
    <row r="847" spans="5:5" ht="13.2">
      <c r="E847" s="1" t="str">
        <f ca="1">IFERROR(__xludf.DUMMYFUNCTION("""COMPUTED_VALUE"""),"")</f>
        <v/>
      </c>
    </row>
    <row r="848" spans="5:5" ht="13.2">
      <c r="E848" s="1" t="str">
        <f ca="1">IFERROR(__xludf.DUMMYFUNCTION("""COMPUTED_VALUE"""),"")</f>
        <v/>
      </c>
    </row>
    <row r="849" spans="5:5" ht="13.2">
      <c r="E849" s="1" t="str">
        <f ca="1">IFERROR(__xludf.DUMMYFUNCTION("""COMPUTED_VALUE"""),"")</f>
        <v/>
      </c>
    </row>
    <row r="850" spans="5:5" ht="13.2">
      <c r="E850" s="1" t="str">
        <f ca="1">IFERROR(__xludf.DUMMYFUNCTION("""COMPUTED_VALUE"""),"")</f>
        <v/>
      </c>
    </row>
    <row r="851" spans="5:5" ht="13.2">
      <c r="E851" s="1" t="str">
        <f ca="1">IFERROR(__xludf.DUMMYFUNCTION("""COMPUTED_VALUE"""),"")</f>
        <v/>
      </c>
    </row>
    <row r="852" spans="5:5" ht="13.2">
      <c r="E852" s="1" t="str">
        <f ca="1">IFERROR(__xludf.DUMMYFUNCTION("""COMPUTED_VALUE"""),"")</f>
        <v/>
      </c>
    </row>
    <row r="853" spans="5:5" ht="13.2">
      <c r="E853" s="1" t="str">
        <f ca="1">IFERROR(__xludf.DUMMYFUNCTION("""COMPUTED_VALUE"""),"")</f>
        <v/>
      </c>
    </row>
    <row r="854" spans="5:5" ht="13.2">
      <c r="E854" s="1" t="str">
        <f ca="1">IFERROR(__xludf.DUMMYFUNCTION("""COMPUTED_VALUE"""),"")</f>
        <v/>
      </c>
    </row>
    <row r="855" spans="5:5" ht="13.2">
      <c r="E855" s="1" t="str">
        <f ca="1">IFERROR(__xludf.DUMMYFUNCTION("""COMPUTED_VALUE"""),"")</f>
        <v/>
      </c>
    </row>
    <row r="856" spans="5:5" ht="13.2">
      <c r="E856" s="1" t="str">
        <f ca="1">IFERROR(__xludf.DUMMYFUNCTION("""COMPUTED_VALUE"""),"")</f>
        <v/>
      </c>
    </row>
    <row r="857" spans="5:5" ht="13.2">
      <c r="E857" s="1" t="str">
        <f ca="1">IFERROR(__xludf.DUMMYFUNCTION("""COMPUTED_VALUE"""),"")</f>
        <v/>
      </c>
    </row>
    <row r="858" spans="5:5" ht="13.2">
      <c r="E858" s="1" t="str">
        <f ca="1">IFERROR(__xludf.DUMMYFUNCTION("""COMPUTED_VALUE"""),"")</f>
        <v/>
      </c>
    </row>
    <row r="859" spans="5:5" ht="13.2">
      <c r="E859" s="1" t="str">
        <f ca="1">IFERROR(__xludf.DUMMYFUNCTION("""COMPUTED_VALUE"""),"")</f>
        <v/>
      </c>
    </row>
    <row r="860" spans="5:5" ht="13.2">
      <c r="E860" s="1" t="str">
        <f ca="1">IFERROR(__xludf.DUMMYFUNCTION("""COMPUTED_VALUE"""),"")</f>
        <v/>
      </c>
    </row>
    <row r="861" spans="5:5" ht="13.2">
      <c r="E861" s="1" t="str">
        <f ca="1">IFERROR(__xludf.DUMMYFUNCTION("""COMPUTED_VALUE"""),"")</f>
        <v/>
      </c>
    </row>
    <row r="862" spans="5:5" ht="13.2">
      <c r="E862" s="1" t="str">
        <f ca="1">IFERROR(__xludf.DUMMYFUNCTION("""COMPUTED_VALUE"""),"")</f>
        <v/>
      </c>
    </row>
    <row r="863" spans="5:5" ht="13.2">
      <c r="E863" s="1" t="str">
        <f ca="1">IFERROR(__xludf.DUMMYFUNCTION("""COMPUTED_VALUE"""),"")</f>
        <v/>
      </c>
    </row>
    <row r="864" spans="5:5" ht="13.2">
      <c r="E864" s="1" t="str">
        <f ca="1">IFERROR(__xludf.DUMMYFUNCTION("""COMPUTED_VALUE"""),"")</f>
        <v/>
      </c>
    </row>
    <row r="865" spans="5:5" ht="13.2">
      <c r="E865" s="1" t="str">
        <f ca="1">IFERROR(__xludf.DUMMYFUNCTION("""COMPUTED_VALUE"""),"")</f>
        <v/>
      </c>
    </row>
    <row r="866" spans="5:5" ht="13.2">
      <c r="E866" s="1" t="str">
        <f ca="1">IFERROR(__xludf.DUMMYFUNCTION("""COMPUTED_VALUE"""),"")</f>
        <v/>
      </c>
    </row>
    <row r="867" spans="5:5" ht="13.2">
      <c r="E867" s="1" t="str">
        <f ca="1">IFERROR(__xludf.DUMMYFUNCTION("""COMPUTED_VALUE"""),"")</f>
        <v/>
      </c>
    </row>
    <row r="868" spans="5:5" ht="13.2">
      <c r="E868" s="1" t="str">
        <f ca="1">IFERROR(__xludf.DUMMYFUNCTION("""COMPUTED_VALUE"""),"")</f>
        <v/>
      </c>
    </row>
    <row r="869" spans="5:5" ht="13.2">
      <c r="E869" s="1" t="str">
        <f ca="1">IFERROR(__xludf.DUMMYFUNCTION("""COMPUTED_VALUE"""),"")</f>
        <v/>
      </c>
    </row>
    <row r="870" spans="5:5" ht="13.2">
      <c r="E870" s="1" t="str">
        <f ca="1">IFERROR(__xludf.DUMMYFUNCTION("""COMPUTED_VALUE"""),"")</f>
        <v/>
      </c>
    </row>
    <row r="871" spans="5:5" ht="13.2">
      <c r="E871" s="1" t="str">
        <f ca="1">IFERROR(__xludf.DUMMYFUNCTION("""COMPUTED_VALUE"""),"")</f>
        <v/>
      </c>
    </row>
    <row r="872" spans="5:5" ht="13.2">
      <c r="E872" s="1" t="str">
        <f ca="1">IFERROR(__xludf.DUMMYFUNCTION("""COMPUTED_VALUE"""),"")</f>
        <v/>
      </c>
    </row>
    <row r="873" spans="5:5" ht="13.2">
      <c r="E873" s="1" t="str">
        <f ca="1">IFERROR(__xludf.DUMMYFUNCTION("""COMPUTED_VALUE"""),"")</f>
        <v/>
      </c>
    </row>
    <row r="874" spans="5:5" ht="13.2">
      <c r="E874" s="1" t="str">
        <f ca="1">IFERROR(__xludf.DUMMYFUNCTION("""COMPUTED_VALUE"""),"")</f>
        <v/>
      </c>
    </row>
    <row r="875" spans="5:5" ht="13.2">
      <c r="E875" s="1" t="str">
        <f ca="1">IFERROR(__xludf.DUMMYFUNCTION("""COMPUTED_VALUE"""),"")</f>
        <v/>
      </c>
    </row>
    <row r="876" spans="5:5" ht="13.2">
      <c r="E876" s="1" t="str">
        <f ca="1">IFERROR(__xludf.DUMMYFUNCTION("""COMPUTED_VALUE"""),"")</f>
        <v/>
      </c>
    </row>
    <row r="877" spans="5:5" ht="13.2">
      <c r="E877" s="1" t="str">
        <f ca="1">IFERROR(__xludf.DUMMYFUNCTION("""COMPUTED_VALUE"""),"")</f>
        <v/>
      </c>
    </row>
    <row r="878" spans="5:5" ht="13.2">
      <c r="E878" s="1" t="str">
        <f ca="1">IFERROR(__xludf.DUMMYFUNCTION("""COMPUTED_VALUE"""),"")</f>
        <v/>
      </c>
    </row>
    <row r="879" spans="5:5" ht="13.2">
      <c r="E879" s="1" t="str">
        <f ca="1">IFERROR(__xludf.DUMMYFUNCTION("""COMPUTED_VALUE"""),"")</f>
        <v/>
      </c>
    </row>
    <row r="880" spans="5:5" ht="13.2">
      <c r="E880" s="1" t="str">
        <f ca="1">IFERROR(__xludf.DUMMYFUNCTION("""COMPUTED_VALUE"""),"")</f>
        <v/>
      </c>
    </row>
    <row r="881" spans="5:5" ht="13.2">
      <c r="E881" s="1" t="str">
        <f ca="1">IFERROR(__xludf.DUMMYFUNCTION("""COMPUTED_VALUE"""),"")</f>
        <v/>
      </c>
    </row>
    <row r="882" spans="5:5" ht="13.2">
      <c r="E882" s="1" t="str">
        <f ca="1">IFERROR(__xludf.DUMMYFUNCTION("""COMPUTED_VALUE"""),"")</f>
        <v/>
      </c>
    </row>
    <row r="883" spans="5:5" ht="13.2">
      <c r="E883" s="1" t="str">
        <f ca="1">IFERROR(__xludf.DUMMYFUNCTION("""COMPUTED_VALUE"""),"")</f>
        <v/>
      </c>
    </row>
    <row r="884" spans="5:5" ht="13.2">
      <c r="E884" s="1" t="str">
        <f ca="1">IFERROR(__xludf.DUMMYFUNCTION("""COMPUTED_VALUE"""),"")</f>
        <v/>
      </c>
    </row>
    <row r="885" spans="5:5" ht="13.2">
      <c r="E885" s="1" t="str">
        <f ca="1">IFERROR(__xludf.DUMMYFUNCTION("""COMPUTED_VALUE"""),"")</f>
        <v/>
      </c>
    </row>
    <row r="886" spans="5:5" ht="13.2">
      <c r="E886" s="1" t="str">
        <f ca="1">IFERROR(__xludf.DUMMYFUNCTION("""COMPUTED_VALUE"""),"")</f>
        <v/>
      </c>
    </row>
    <row r="887" spans="5:5" ht="13.2">
      <c r="E887" s="1" t="str">
        <f ca="1">IFERROR(__xludf.DUMMYFUNCTION("""COMPUTED_VALUE"""),"")</f>
        <v/>
      </c>
    </row>
    <row r="888" spans="5:5" ht="13.2">
      <c r="E888" s="1" t="str">
        <f ca="1">IFERROR(__xludf.DUMMYFUNCTION("""COMPUTED_VALUE"""),"")</f>
        <v/>
      </c>
    </row>
    <row r="889" spans="5:5" ht="13.2">
      <c r="E889" s="1" t="str">
        <f ca="1">IFERROR(__xludf.DUMMYFUNCTION("""COMPUTED_VALUE"""),"")</f>
        <v/>
      </c>
    </row>
    <row r="890" spans="5:5" ht="13.2">
      <c r="E890" s="1" t="str">
        <f ca="1">IFERROR(__xludf.DUMMYFUNCTION("""COMPUTED_VALUE"""),"")</f>
        <v/>
      </c>
    </row>
    <row r="891" spans="5:5" ht="13.2">
      <c r="E891" s="1" t="str">
        <f ca="1">IFERROR(__xludf.DUMMYFUNCTION("""COMPUTED_VALUE"""),"")</f>
        <v/>
      </c>
    </row>
    <row r="892" spans="5:5" ht="13.2">
      <c r="E892" s="1" t="str">
        <f ca="1">IFERROR(__xludf.DUMMYFUNCTION("""COMPUTED_VALUE"""),"")</f>
        <v/>
      </c>
    </row>
    <row r="893" spans="5:5" ht="13.2">
      <c r="E893" s="1" t="str">
        <f ca="1">IFERROR(__xludf.DUMMYFUNCTION("""COMPUTED_VALUE"""),"")</f>
        <v/>
      </c>
    </row>
    <row r="894" spans="5:5" ht="13.2">
      <c r="E894" s="1" t="str">
        <f ca="1">IFERROR(__xludf.DUMMYFUNCTION("""COMPUTED_VALUE"""),"")</f>
        <v/>
      </c>
    </row>
    <row r="895" spans="5:5" ht="13.2">
      <c r="E895" s="1" t="str">
        <f ca="1">IFERROR(__xludf.DUMMYFUNCTION("""COMPUTED_VALUE"""),"")</f>
        <v/>
      </c>
    </row>
    <row r="896" spans="5:5" ht="13.2">
      <c r="E896" s="1" t="str">
        <f ca="1">IFERROR(__xludf.DUMMYFUNCTION("""COMPUTED_VALUE"""),"")</f>
        <v/>
      </c>
    </row>
    <row r="897" spans="5:5" ht="13.2">
      <c r="E897" s="1" t="str">
        <f ca="1">IFERROR(__xludf.DUMMYFUNCTION("""COMPUTED_VALUE"""),"")</f>
        <v/>
      </c>
    </row>
    <row r="898" spans="5:5" ht="13.2">
      <c r="E898" s="1" t="str">
        <f ca="1">IFERROR(__xludf.DUMMYFUNCTION("""COMPUTED_VALUE"""),"")</f>
        <v/>
      </c>
    </row>
    <row r="899" spans="5:5" ht="13.2">
      <c r="E899" s="1" t="str">
        <f ca="1">IFERROR(__xludf.DUMMYFUNCTION("""COMPUTED_VALUE"""),"")</f>
        <v/>
      </c>
    </row>
    <row r="900" spans="5:5" ht="13.2">
      <c r="E900" s="1" t="str">
        <f ca="1">IFERROR(__xludf.DUMMYFUNCTION("""COMPUTED_VALUE"""),"")</f>
        <v/>
      </c>
    </row>
    <row r="901" spans="5:5" ht="13.2">
      <c r="E901" s="1" t="str">
        <f ca="1">IFERROR(__xludf.DUMMYFUNCTION("""COMPUTED_VALUE"""),"")</f>
        <v/>
      </c>
    </row>
    <row r="902" spans="5:5" ht="13.2">
      <c r="E902" s="1" t="str">
        <f ca="1">IFERROR(__xludf.DUMMYFUNCTION("""COMPUTED_VALUE"""),"")</f>
        <v/>
      </c>
    </row>
    <row r="903" spans="5:5" ht="13.2">
      <c r="E903" s="1" t="str">
        <f ca="1">IFERROR(__xludf.DUMMYFUNCTION("""COMPUTED_VALUE"""),"")</f>
        <v/>
      </c>
    </row>
    <row r="904" spans="5:5" ht="13.2">
      <c r="E904" s="1" t="str">
        <f ca="1">IFERROR(__xludf.DUMMYFUNCTION("""COMPUTED_VALUE"""),"")</f>
        <v/>
      </c>
    </row>
    <row r="905" spans="5:5" ht="13.2">
      <c r="E905" s="1" t="str">
        <f ca="1">IFERROR(__xludf.DUMMYFUNCTION("""COMPUTED_VALUE"""),"")</f>
        <v/>
      </c>
    </row>
    <row r="906" spans="5:5" ht="13.2">
      <c r="E906" s="1" t="str">
        <f ca="1">IFERROR(__xludf.DUMMYFUNCTION("""COMPUTED_VALUE"""),"")</f>
        <v/>
      </c>
    </row>
    <row r="907" spans="5:5" ht="13.2">
      <c r="E907" s="1" t="str">
        <f ca="1">IFERROR(__xludf.DUMMYFUNCTION("""COMPUTED_VALUE"""),"")</f>
        <v/>
      </c>
    </row>
    <row r="908" spans="5:5" ht="13.2">
      <c r="E908" s="1" t="str">
        <f ca="1">IFERROR(__xludf.DUMMYFUNCTION("""COMPUTED_VALUE"""),"")</f>
        <v/>
      </c>
    </row>
    <row r="909" spans="5:5" ht="13.2">
      <c r="E909" s="1" t="str">
        <f ca="1">IFERROR(__xludf.DUMMYFUNCTION("""COMPUTED_VALUE"""),"")</f>
        <v/>
      </c>
    </row>
    <row r="910" spans="5:5" ht="13.2">
      <c r="E910" s="1" t="str">
        <f ca="1">IFERROR(__xludf.DUMMYFUNCTION("""COMPUTED_VALUE"""),"")</f>
        <v/>
      </c>
    </row>
    <row r="911" spans="5:5" ht="13.2">
      <c r="E911" s="1" t="str">
        <f ca="1">IFERROR(__xludf.DUMMYFUNCTION("""COMPUTED_VALUE"""),"")</f>
        <v/>
      </c>
    </row>
    <row r="912" spans="5:5" ht="13.2">
      <c r="E912" s="1" t="str">
        <f ca="1">IFERROR(__xludf.DUMMYFUNCTION("""COMPUTED_VALUE"""),"")</f>
        <v/>
      </c>
    </row>
    <row r="913" spans="5:5" ht="13.2">
      <c r="E913" s="1" t="str">
        <f ca="1">IFERROR(__xludf.DUMMYFUNCTION("""COMPUTED_VALUE"""),"")</f>
        <v/>
      </c>
    </row>
    <row r="914" spans="5:5" ht="13.2">
      <c r="E914" s="1" t="str">
        <f ca="1">IFERROR(__xludf.DUMMYFUNCTION("""COMPUTED_VALUE"""),"")</f>
        <v/>
      </c>
    </row>
    <row r="915" spans="5:5" ht="13.2">
      <c r="E915" s="1" t="str">
        <f ca="1">IFERROR(__xludf.DUMMYFUNCTION("""COMPUTED_VALUE"""),"")</f>
        <v/>
      </c>
    </row>
    <row r="916" spans="5:5" ht="13.2">
      <c r="E916" s="1" t="str">
        <f ca="1">IFERROR(__xludf.DUMMYFUNCTION("""COMPUTED_VALUE"""),"")</f>
        <v/>
      </c>
    </row>
    <row r="917" spans="5:5" ht="13.2">
      <c r="E917" s="1" t="str">
        <f ca="1">IFERROR(__xludf.DUMMYFUNCTION("""COMPUTED_VALUE"""),"")</f>
        <v/>
      </c>
    </row>
    <row r="918" spans="5:5" ht="13.2">
      <c r="E918" s="1" t="str">
        <f ca="1">IFERROR(__xludf.DUMMYFUNCTION("""COMPUTED_VALUE"""),"")</f>
        <v/>
      </c>
    </row>
    <row r="919" spans="5:5" ht="13.2">
      <c r="E919" s="1" t="str">
        <f ca="1">IFERROR(__xludf.DUMMYFUNCTION("""COMPUTED_VALUE"""),"")</f>
        <v/>
      </c>
    </row>
    <row r="920" spans="5:5" ht="13.2">
      <c r="E920" s="1" t="str">
        <f ca="1">IFERROR(__xludf.DUMMYFUNCTION("""COMPUTED_VALUE"""),"")</f>
        <v/>
      </c>
    </row>
    <row r="921" spans="5:5" ht="13.2">
      <c r="E921" s="1" t="str">
        <f ca="1">IFERROR(__xludf.DUMMYFUNCTION("""COMPUTED_VALUE"""),"")</f>
        <v/>
      </c>
    </row>
    <row r="922" spans="5:5" ht="13.2">
      <c r="E922" s="1" t="str">
        <f ca="1">IFERROR(__xludf.DUMMYFUNCTION("""COMPUTED_VALUE"""),"")</f>
        <v/>
      </c>
    </row>
    <row r="923" spans="5:5" ht="13.2">
      <c r="E923" s="1" t="str">
        <f ca="1">IFERROR(__xludf.DUMMYFUNCTION("""COMPUTED_VALUE"""),"")</f>
        <v/>
      </c>
    </row>
    <row r="924" spans="5:5" ht="13.2">
      <c r="E924" s="1" t="str">
        <f ca="1">IFERROR(__xludf.DUMMYFUNCTION("""COMPUTED_VALUE"""),"")</f>
        <v/>
      </c>
    </row>
    <row r="925" spans="5:5" ht="13.2">
      <c r="E925" s="1" t="str">
        <f ca="1">IFERROR(__xludf.DUMMYFUNCTION("""COMPUTED_VALUE"""),"")</f>
        <v/>
      </c>
    </row>
    <row r="926" spans="5:5" ht="13.2">
      <c r="E926" s="1" t="str">
        <f ca="1">IFERROR(__xludf.DUMMYFUNCTION("""COMPUTED_VALUE"""),"")</f>
        <v/>
      </c>
    </row>
    <row r="927" spans="5:5" ht="13.2">
      <c r="E927" s="1" t="str">
        <f ca="1">IFERROR(__xludf.DUMMYFUNCTION("""COMPUTED_VALUE"""),"")</f>
        <v/>
      </c>
    </row>
    <row r="928" spans="5:5" ht="13.2">
      <c r="E928" s="1" t="str">
        <f ca="1">IFERROR(__xludf.DUMMYFUNCTION("""COMPUTED_VALUE"""),"")</f>
        <v/>
      </c>
    </row>
    <row r="929" spans="5:5" ht="13.2">
      <c r="E929" s="1" t="str">
        <f ca="1">IFERROR(__xludf.DUMMYFUNCTION("""COMPUTED_VALUE"""),"")</f>
        <v/>
      </c>
    </row>
    <row r="930" spans="5:5" ht="13.2">
      <c r="E930" s="1" t="str">
        <f ca="1">IFERROR(__xludf.DUMMYFUNCTION("""COMPUTED_VALUE"""),"")</f>
        <v/>
      </c>
    </row>
    <row r="931" spans="5:5" ht="13.2">
      <c r="E931" s="1" t="str">
        <f ca="1">IFERROR(__xludf.DUMMYFUNCTION("""COMPUTED_VALUE"""),"")</f>
        <v/>
      </c>
    </row>
    <row r="932" spans="5:5" ht="13.2">
      <c r="E932" s="1" t="str">
        <f ca="1">IFERROR(__xludf.DUMMYFUNCTION("""COMPUTED_VALUE"""),"")</f>
        <v/>
      </c>
    </row>
    <row r="933" spans="5:5" ht="13.2">
      <c r="E933" s="1" t="str">
        <f ca="1">IFERROR(__xludf.DUMMYFUNCTION("""COMPUTED_VALUE"""),"")</f>
        <v/>
      </c>
    </row>
    <row r="934" spans="5:5" ht="13.2">
      <c r="E934" s="1" t="str">
        <f ca="1">IFERROR(__xludf.DUMMYFUNCTION("""COMPUTED_VALUE"""),"")</f>
        <v/>
      </c>
    </row>
    <row r="935" spans="5:5" ht="13.2">
      <c r="E935" s="1" t="str">
        <f ca="1">IFERROR(__xludf.DUMMYFUNCTION("""COMPUTED_VALUE"""),"")</f>
        <v/>
      </c>
    </row>
    <row r="936" spans="5:5" ht="13.2">
      <c r="E936" s="1" t="str">
        <f ca="1">IFERROR(__xludf.DUMMYFUNCTION("""COMPUTED_VALUE"""),"")</f>
        <v/>
      </c>
    </row>
    <row r="937" spans="5:5" ht="13.2">
      <c r="E937" s="1" t="str">
        <f ca="1">IFERROR(__xludf.DUMMYFUNCTION("""COMPUTED_VALUE"""),"")</f>
        <v/>
      </c>
    </row>
    <row r="938" spans="5:5" ht="13.2">
      <c r="E938" s="1" t="str">
        <f ca="1">IFERROR(__xludf.DUMMYFUNCTION("""COMPUTED_VALUE"""),"")</f>
        <v/>
      </c>
    </row>
    <row r="939" spans="5:5" ht="13.2">
      <c r="E939" s="1" t="str">
        <f ca="1">IFERROR(__xludf.DUMMYFUNCTION("""COMPUTED_VALUE"""),"")</f>
        <v/>
      </c>
    </row>
    <row r="940" spans="5:5" ht="13.2">
      <c r="E940" s="1" t="str">
        <f ca="1">IFERROR(__xludf.DUMMYFUNCTION("""COMPUTED_VALUE"""),"")</f>
        <v/>
      </c>
    </row>
    <row r="941" spans="5:5" ht="13.2">
      <c r="E941" s="1" t="str">
        <f ca="1">IFERROR(__xludf.DUMMYFUNCTION("""COMPUTED_VALUE"""),"")</f>
        <v/>
      </c>
    </row>
    <row r="942" spans="5:5" ht="13.2">
      <c r="E942" s="1" t="str">
        <f ca="1">IFERROR(__xludf.DUMMYFUNCTION("""COMPUTED_VALUE"""),"")</f>
        <v/>
      </c>
    </row>
    <row r="943" spans="5:5" ht="13.2">
      <c r="E943" s="1" t="str">
        <f ca="1">IFERROR(__xludf.DUMMYFUNCTION("""COMPUTED_VALUE"""),"")</f>
        <v/>
      </c>
    </row>
    <row r="944" spans="5:5" ht="13.2">
      <c r="E944" s="1" t="str">
        <f ca="1">IFERROR(__xludf.DUMMYFUNCTION("""COMPUTED_VALUE"""),"")</f>
        <v/>
      </c>
    </row>
    <row r="945" spans="5:5" ht="13.2">
      <c r="E945" s="1" t="str">
        <f ca="1">IFERROR(__xludf.DUMMYFUNCTION("""COMPUTED_VALUE"""),"")</f>
        <v/>
      </c>
    </row>
    <row r="946" spans="5:5" ht="13.2">
      <c r="E946" s="1" t="str">
        <f ca="1">IFERROR(__xludf.DUMMYFUNCTION("""COMPUTED_VALUE"""),"")</f>
        <v/>
      </c>
    </row>
    <row r="947" spans="5:5" ht="13.2">
      <c r="E947" s="1" t="str">
        <f ca="1">IFERROR(__xludf.DUMMYFUNCTION("""COMPUTED_VALUE"""),"")</f>
        <v/>
      </c>
    </row>
    <row r="948" spans="5:5" ht="13.2">
      <c r="E948" s="1" t="str">
        <f ca="1">IFERROR(__xludf.DUMMYFUNCTION("""COMPUTED_VALUE"""),"")</f>
        <v/>
      </c>
    </row>
    <row r="949" spans="5:5" ht="13.2">
      <c r="E949" s="1" t="str">
        <f ca="1">IFERROR(__xludf.DUMMYFUNCTION("""COMPUTED_VALUE"""),"")</f>
        <v/>
      </c>
    </row>
    <row r="950" spans="5:5" ht="13.2">
      <c r="E950" s="1" t="str">
        <f ca="1">IFERROR(__xludf.DUMMYFUNCTION("""COMPUTED_VALUE"""),"")</f>
        <v/>
      </c>
    </row>
    <row r="951" spans="5:5" ht="13.2">
      <c r="E951" s="1" t="str">
        <f ca="1">IFERROR(__xludf.DUMMYFUNCTION("""COMPUTED_VALUE"""),"")</f>
        <v/>
      </c>
    </row>
    <row r="952" spans="5:5" ht="13.2">
      <c r="E952" s="1" t="str">
        <f ca="1">IFERROR(__xludf.DUMMYFUNCTION("""COMPUTED_VALUE"""),"")</f>
        <v/>
      </c>
    </row>
    <row r="953" spans="5:5" ht="13.2">
      <c r="E953" s="1" t="str">
        <f ca="1">IFERROR(__xludf.DUMMYFUNCTION("""COMPUTED_VALUE"""),"")</f>
        <v/>
      </c>
    </row>
    <row r="954" spans="5:5" ht="13.2">
      <c r="E954" s="1" t="str">
        <f ca="1">IFERROR(__xludf.DUMMYFUNCTION("""COMPUTED_VALUE"""),"")</f>
        <v/>
      </c>
    </row>
    <row r="955" spans="5:5" ht="13.2">
      <c r="E955" s="1" t="str">
        <f ca="1">IFERROR(__xludf.DUMMYFUNCTION("""COMPUTED_VALUE"""),"")</f>
        <v/>
      </c>
    </row>
    <row r="956" spans="5:5" ht="13.2">
      <c r="E956" s="1" t="str">
        <f ca="1">IFERROR(__xludf.DUMMYFUNCTION("""COMPUTED_VALUE"""),"")</f>
        <v/>
      </c>
    </row>
    <row r="957" spans="5:5" ht="13.2">
      <c r="E957" s="1" t="str">
        <f ca="1">IFERROR(__xludf.DUMMYFUNCTION("""COMPUTED_VALUE"""),"")</f>
        <v/>
      </c>
    </row>
    <row r="958" spans="5:5" ht="13.2">
      <c r="E958" s="1" t="str">
        <f ca="1">IFERROR(__xludf.DUMMYFUNCTION("""COMPUTED_VALUE"""),"")</f>
        <v/>
      </c>
    </row>
    <row r="959" spans="5:5" ht="13.2">
      <c r="E959" s="1" t="str">
        <f ca="1">IFERROR(__xludf.DUMMYFUNCTION("""COMPUTED_VALUE"""),"")</f>
        <v/>
      </c>
    </row>
    <row r="960" spans="5:5" ht="13.2">
      <c r="E960" s="1" t="str">
        <f ca="1">IFERROR(__xludf.DUMMYFUNCTION("""COMPUTED_VALUE"""),"")</f>
        <v/>
      </c>
    </row>
    <row r="961" spans="5:5" ht="13.2">
      <c r="E961" s="1" t="str">
        <f ca="1">IFERROR(__xludf.DUMMYFUNCTION("""COMPUTED_VALUE"""),"")</f>
        <v/>
      </c>
    </row>
    <row r="962" spans="5:5" ht="13.2">
      <c r="E962" s="1" t="str">
        <f ca="1">IFERROR(__xludf.DUMMYFUNCTION("""COMPUTED_VALUE"""),"")</f>
        <v/>
      </c>
    </row>
    <row r="963" spans="5:5" ht="13.2">
      <c r="E963" s="1" t="str">
        <f ca="1">IFERROR(__xludf.DUMMYFUNCTION("""COMPUTED_VALUE"""),"")</f>
        <v/>
      </c>
    </row>
    <row r="964" spans="5:5" ht="13.2">
      <c r="E964" s="1" t="str">
        <f ca="1">IFERROR(__xludf.DUMMYFUNCTION("""COMPUTED_VALUE"""),"")</f>
        <v/>
      </c>
    </row>
    <row r="965" spans="5:5" ht="13.2">
      <c r="E965" s="1" t="str">
        <f ca="1">IFERROR(__xludf.DUMMYFUNCTION("""COMPUTED_VALUE"""),"")</f>
        <v/>
      </c>
    </row>
    <row r="966" spans="5:5" ht="13.2">
      <c r="E966" s="1" t="str">
        <f ca="1">IFERROR(__xludf.DUMMYFUNCTION("""COMPUTED_VALUE"""),"")</f>
        <v/>
      </c>
    </row>
    <row r="967" spans="5:5" ht="13.2">
      <c r="E967" s="1" t="str">
        <f ca="1">IFERROR(__xludf.DUMMYFUNCTION("""COMPUTED_VALUE"""),"")</f>
        <v/>
      </c>
    </row>
    <row r="968" spans="5:5" ht="13.2">
      <c r="E968" s="1" t="str">
        <f ca="1">IFERROR(__xludf.DUMMYFUNCTION("""COMPUTED_VALUE"""),"")</f>
        <v/>
      </c>
    </row>
    <row r="969" spans="5:5" ht="13.2">
      <c r="E969" s="1" t="str">
        <f ca="1">IFERROR(__xludf.DUMMYFUNCTION("""COMPUTED_VALUE"""),"")</f>
        <v/>
      </c>
    </row>
    <row r="970" spans="5:5" ht="13.2">
      <c r="E970" s="1" t="str">
        <f ca="1">IFERROR(__xludf.DUMMYFUNCTION("""COMPUTED_VALUE"""),"")</f>
        <v/>
      </c>
    </row>
    <row r="971" spans="5:5" ht="13.2">
      <c r="E971" s="1" t="str">
        <f ca="1">IFERROR(__xludf.DUMMYFUNCTION("""COMPUTED_VALUE"""),"")</f>
        <v/>
      </c>
    </row>
    <row r="972" spans="5:5" ht="13.2">
      <c r="E972" s="1" t="str">
        <f ca="1">IFERROR(__xludf.DUMMYFUNCTION("""COMPUTED_VALUE"""),"")</f>
        <v/>
      </c>
    </row>
    <row r="973" spans="5:5" ht="13.2">
      <c r="E973" s="1" t="str">
        <f ca="1">IFERROR(__xludf.DUMMYFUNCTION("""COMPUTED_VALUE"""),"")</f>
        <v/>
      </c>
    </row>
    <row r="974" spans="5:5" ht="13.2">
      <c r="E974" s="1" t="str">
        <f ca="1">IFERROR(__xludf.DUMMYFUNCTION("""COMPUTED_VALUE"""),"")</f>
        <v/>
      </c>
    </row>
    <row r="975" spans="5:5" ht="13.2">
      <c r="E975" s="1" t="str">
        <f ca="1">IFERROR(__xludf.DUMMYFUNCTION("""COMPUTED_VALUE"""),"")</f>
        <v/>
      </c>
    </row>
    <row r="976" spans="5:5" ht="13.2">
      <c r="E976" s="1" t="str">
        <f ca="1">IFERROR(__xludf.DUMMYFUNCTION("""COMPUTED_VALUE"""),"")</f>
        <v/>
      </c>
    </row>
    <row r="977" spans="5:5" ht="13.2">
      <c r="E977" s="1" t="str">
        <f ca="1">IFERROR(__xludf.DUMMYFUNCTION("""COMPUTED_VALUE"""),"")</f>
        <v/>
      </c>
    </row>
    <row r="978" spans="5:5" ht="13.2">
      <c r="E978" s="1" t="str">
        <f ca="1">IFERROR(__xludf.DUMMYFUNCTION("""COMPUTED_VALUE"""),"")</f>
        <v/>
      </c>
    </row>
    <row r="979" spans="5:5" ht="13.2">
      <c r="E979" s="1" t="str">
        <f ca="1">IFERROR(__xludf.DUMMYFUNCTION("""COMPUTED_VALUE"""),"")</f>
        <v/>
      </c>
    </row>
    <row r="980" spans="5:5" ht="13.2">
      <c r="E980" s="1" t="str">
        <f ca="1">IFERROR(__xludf.DUMMYFUNCTION("""COMPUTED_VALUE"""),"")</f>
        <v/>
      </c>
    </row>
    <row r="981" spans="5:5" ht="13.2">
      <c r="E981" s="1" t="str">
        <f ca="1">IFERROR(__xludf.DUMMYFUNCTION("""COMPUTED_VALUE"""),"")</f>
        <v/>
      </c>
    </row>
    <row r="982" spans="5:5" ht="13.2">
      <c r="E982" s="1" t="str">
        <f ca="1">IFERROR(__xludf.DUMMYFUNCTION("""COMPUTED_VALUE"""),"")</f>
        <v/>
      </c>
    </row>
    <row r="983" spans="5:5" ht="13.2">
      <c r="E983" s="1" t="str">
        <f ca="1">IFERROR(__xludf.DUMMYFUNCTION("""COMPUTED_VALUE"""),"")</f>
        <v/>
      </c>
    </row>
    <row r="984" spans="5:5" ht="13.2">
      <c r="E984" s="1" t="str">
        <f ca="1">IFERROR(__xludf.DUMMYFUNCTION("""COMPUTED_VALUE"""),"")</f>
        <v/>
      </c>
    </row>
    <row r="985" spans="5:5" ht="13.2">
      <c r="E985" s="1" t="str">
        <f ca="1">IFERROR(__xludf.DUMMYFUNCTION("""COMPUTED_VALUE"""),"")</f>
        <v/>
      </c>
    </row>
    <row r="986" spans="5:5" ht="13.2">
      <c r="E986" s="1" t="str">
        <f ca="1">IFERROR(__xludf.DUMMYFUNCTION("""COMPUTED_VALUE"""),"")</f>
        <v/>
      </c>
    </row>
    <row r="987" spans="5:5" ht="13.2">
      <c r="E987" s="1" t="str">
        <f ca="1">IFERROR(__xludf.DUMMYFUNCTION("""COMPUTED_VALUE"""),"")</f>
        <v/>
      </c>
    </row>
    <row r="988" spans="5:5" ht="13.2">
      <c r="E988" s="1" t="str">
        <f ca="1">IFERROR(__xludf.DUMMYFUNCTION("""COMPUTED_VALUE"""),"")</f>
        <v/>
      </c>
    </row>
    <row r="989" spans="5:5" ht="13.2">
      <c r="E989" s="1" t="str">
        <f ca="1">IFERROR(__xludf.DUMMYFUNCTION("""COMPUTED_VALUE"""),"")</f>
        <v/>
      </c>
    </row>
    <row r="990" spans="5:5" ht="13.2">
      <c r="E990" s="1" t="str">
        <f ca="1">IFERROR(__xludf.DUMMYFUNCTION("""COMPUTED_VALUE"""),"")</f>
        <v/>
      </c>
    </row>
    <row r="991" spans="5:5" ht="13.2">
      <c r="E991" s="1" t="str">
        <f ca="1">IFERROR(__xludf.DUMMYFUNCTION("""COMPUTED_VALUE"""),"")</f>
        <v/>
      </c>
    </row>
    <row r="992" spans="5:5" ht="13.2">
      <c r="E992" s="1" t="str">
        <f ca="1">IFERROR(__xludf.DUMMYFUNCTION("""COMPUTED_VALUE"""),"")</f>
        <v/>
      </c>
    </row>
    <row r="993" spans="5:5" ht="13.2">
      <c r="E993" s="1" t="str">
        <f ca="1">IFERROR(__xludf.DUMMYFUNCTION("""COMPUTED_VALUE"""),"")</f>
        <v/>
      </c>
    </row>
    <row r="994" spans="5:5" ht="13.2">
      <c r="E994" s="1" t="str">
        <f ca="1">IFERROR(__xludf.DUMMYFUNCTION("""COMPUTED_VALUE"""),"")</f>
        <v/>
      </c>
    </row>
    <row r="995" spans="5:5" ht="13.2">
      <c r="E995" s="1" t="str">
        <f ca="1">IFERROR(__xludf.DUMMYFUNCTION("""COMPUTED_VALUE"""),"")</f>
        <v/>
      </c>
    </row>
    <row r="996" spans="5:5" ht="13.2">
      <c r="E996" s="1" t="str">
        <f ca="1">IFERROR(__xludf.DUMMYFUNCTION("""COMPUTED_VALUE"""),"")</f>
        <v/>
      </c>
    </row>
    <row r="997" spans="5:5" ht="13.2">
      <c r="E997" s="1" t="str">
        <f ca="1">IFERROR(__xludf.DUMMYFUNCTION("""COMPUTED_VALUE"""),"")</f>
        <v/>
      </c>
    </row>
    <row r="998" spans="5:5" ht="13.2">
      <c r="E998" s="1" t="str">
        <f ca="1">IFERROR(__xludf.DUMMYFUNCTION("""COMPUTED_VALUE"""),"")</f>
        <v/>
      </c>
    </row>
    <row r="999" spans="5:5" ht="13.2">
      <c r="E999" s="1" t="str">
        <f ca="1">IFERROR(__xludf.DUMMYFUNCTION("""COMPUTED_VALUE"""),"")</f>
        <v/>
      </c>
    </row>
    <row r="1000" spans="5:5" ht="13.2">
      <c r="E1000" s="1" t="str">
        <f ca="1">IFERROR(__xludf.DUMMYFUNCTION("""COMPUTED_VALUE"""),"")</f>
        <v/>
      </c>
    </row>
  </sheetData>
  <phoneticPr fontId="19"/>
  <hyperlinks>
    <hyperlink ref="G3" r:id="rId1" xr:uid="{EDE5B195-6514-4324-8F09-FABD80A08801}"/>
    <hyperlink ref="G4" r:id="rId2" xr:uid="{04252D0A-F7BC-42EC-9D00-2FF9ED9B532B}"/>
    <hyperlink ref="G6" r:id="rId3" xr:uid="{DB7D421F-91BA-40AF-8A97-F17B088E291A}"/>
    <hyperlink ref="G7" r:id="rId4" xr:uid="{70C73E7A-3F29-4ED2-9DCB-9AC808352DFC}"/>
    <hyperlink ref="G8" r:id="rId5" xr:uid="{2B564D7B-00D1-4CDD-992B-3E4BAE9E3349}"/>
    <hyperlink ref="G13" r:id="rId6" xr:uid="{BC4538C4-5291-4533-8E73-5AA48EA9D316}"/>
    <hyperlink ref="G14" r:id="rId7" xr:uid="{A6A3886D-8A43-4310-B03C-BA40502FDC9C}"/>
    <hyperlink ref="G15" r:id="rId8" xr:uid="{ABAD7EF3-68AC-4075-9F00-6C613B8389EE}"/>
    <hyperlink ref="G16" r:id="rId9" xr:uid="{CB141AE3-E298-42A4-95B6-8D67E0A79C0B}"/>
    <hyperlink ref="G17" r:id="rId10" xr:uid="{767C5492-E4A9-4A9E-B0F3-84885A0B9678}"/>
    <hyperlink ref="G18" r:id="rId11" xr:uid="{08BF5507-5A8D-4C07-A3AE-CF43DBD636EE}"/>
    <hyperlink ref="G20" r:id="rId12" xr:uid="{CE4684D2-F8C5-4A66-BD16-3DCAE2448088}"/>
    <hyperlink ref="G22" r:id="rId13" xr:uid="{9DA277B1-5BB9-43C1-AAFE-08CF8F11BBD4}"/>
    <hyperlink ref="G23" r:id="rId14" xr:uid="{228356F3-B53D-44E4-BF69-62340703217E}"/>
    <hyperlink ref="G24" r:id="rId15" xr:uid="{4B80F5BE-03F9-4D56-9568-8B9E6245CD69}"/>
    <hyperlink ref="G25" r:id="rId16" xr:uid="{03A79DCD-7820-4420-AC02-75143AFA380E}"/>
    <hyperlink ref="G27" r:id="rId17" xr:uid="{F9ADE7C7-AD72-4604-A832-AEC7ED167B71}"/>
    <hyperlink ref="G28" r:id="rId18" xr:uid="{4A1D6A22-8150-4CE9-BD32-434CC46469E1}"/>
    <hyperlink ref="G30" r:id="rId19" xr:uid="{6B07B5FD-1AA7-4F85-B663-9F046EC3888F}"/>
    <hyperlink ref="G31" r:id="rId20" xr:uid="{746E4432-7E85-432B-B4E1-FDB494F821A9}"/>
    <hyperlink ref="G33" r:id="rId21" xr:uid="{21D86516-CC27-4938-B744-3AE9F6A72763}"/>
    <hyperlink ref="G34" r:id="rId22" xr:uid="{8974A817-E9FA-42D1-A85E-AF2BC2765B3F}"/>
    <hyperlink ref="G35" r:id="rId23" xr:uid="{7E2EE0F9-04B8-4F85-9466-9D5BBD6EA2DE}"/>
    <hyperlink ref="G36" r:id="rId24" xr:uid="{E1712A55-E9A3-4BB7-BFDC-08CFE3BEBDF2}"/>
    <hyperlink ref="G37" r:id="rId25" xr:uid="{20B5C790-3937-4AB1-8856-43A8191FCBC1}"/>
    <hyperlink ref="G38" r:id="rId26" xr:uid="{9FBC2E27-EA74-447D-957A-1D4F98FA80CF}"/>
    <hyperlink ref="G39" r:id="rId27" xr:uid="{32058AC3-1B57-4B13-A768-A14C0C26BE5A}"/>
    <hyperlink ref="G40" r:id="rId28" xr:uid="{E214D801-5C7C-42FC-AF71-7AD7920DFC3F}"/>
    <hyperlink ref="G41" r:id="rId29" xr:uid="{0C63A5D7-CE78-41D9-B31D-7569E7B8CAE4}"/>
    <hyperlink ref="G42" r:id="rId30" xr:uid="{AC0D1362-BA5C-4C82-9864-EE66E55EB01D}"/>
    <hyperlink ref="G43" r:id="rId31" xr:uid="{B7F07EC8-0BCE-41F2-A7C6-21F7C6C0ED69}"/>
    <hyperlink ref="G44" r:id="rId32" xr:uid="{58E0D1A4-5DF6-44DD-92CF-EA6E9E4DB2F2}"/>
    <hyperlink ref="G45" r:id="rId33" xr:uid="{3309B4DE-33ED-43D7-AA58-DC8F30327FE2}"/>
    <hyperlink ref="G46" r:id="rId34" xr:uid="{FD58C0F4-A7D7-4BA2-922B-B431B1C622A8}"/>
    <hyperlink ref="G47" r:id="rId35" xr:uid="{1DB5A440-6E98-4096-BA18-930343DFD67F}"/>
    <hyperlink ref="G48" r:id="rId36" xr:uid="{730B40C8-9D2F-4290-85CC-18459D7593DC}"/>
    <hyperlink ref="G51" r:id="rId37" xr:uid="{1FEEC11D-B988-495C-9A59-B2E3ECABB489}"/>
    <hyperlink ref="G52" r:id="rId38" xr:uid="{AC16C139-68F2-4960-B6F6-EF355C7E6BF4}"/>
    <hyperlink ref="G53" r:id="rId39" xr:uid="{68D58912-4394-4263-9DE2-D83A130BE6B0}"/>
    <hyperlink ref="G54" r:id="rId40" xr:uid="{9FA1A05B-5A9D-440F-A345-2D98D44F367B}"/>
    <hyperlink ref="G55" r:id="rId41" xr:uid="{11B7A8A8-C4BC-4E2C-855E-63DDD247903F}"/>
    <hyperlink ref="G57" r:id="rId42" xr:uid="{E6573F17-52BF-4DD8-A57C-5365BF96D409}"/>
    <hyperlink ref="G58" r:id="rId43" xr:uid="{60C0C271-8654-41E0-94B1-E98365BB2067}"/>
    <hyperlink ref="G59" r:id="rId44" xr:uid="{86E94C5B-67B8-4437-8C03-25A0EDAA1887}"/>
    <hyperlink ref="G60" r:id="rId45" xr:uid="{646FD610-CC8A-46D8-AF92-AE50528AF484}"/>
    <hyperlink ref="G61" r:id="rId46" xr:uid="{7221C8EC-46EF-4DEA-BB8C-6A7757410FA6}"/>
    <hyperlink ref="G64" r:id="rId47" xr:uid="{47A967CF-87AF-49A5-8E20-2E8F10239ECD}"/>
    <hyperlink ref="G66" r:id="rId48" xr:uid="{489FFCC7-5641-4982-AE9B-AE41B8986E0E}"/>
    <hyperlink ref="G68" r:id="rId49" xr:uid="{7B5AFBC2-AA2E-44D9-8CEE-EB5AACCC0905}"/>
    <hyperlink ref="G69" r:id="rId50" xr:uid="{68DD7FE1-532C-4290-857C-C4A9B5329FE9}"/>
    <hyperlink ref="G70" r:id="rId51" xr:uid="{3B1C1956-28C7-4A88-9F60-7B9D92F3DEDF}"/>
    <hyperlink ref="G71" r:id="rId52" xr:uid="{C2F8C030-D4C1-4D52-88D7-9C9412337C7A}"/>
    <hyperlink ref="G72" r:id="rId53" xr:uid="{1BCF5AE7-2D21-4056-97E8-E882E49FCAD9}"/>
    <hyperlink ref="G73" r:id="rId54" xr:uid="{50ABF603-B7B2-4BCA-A09B-D52C5A378B60}"/>
    <hyperlink ref="G74" r:id="rId55" xr:uid="{84D1A454-E80C-441B-84DB-09165012C801}"/>
    <hyperlink ref="G75" r:id="rId56" xr:uid="{1AAD6F8E-21A0-4E03-8CAE-55982A5167D1}"/>
    <hyperlink ref="G76" r:id="rId57" xr:uid="{236B27DF-3C0F-4C2E-B440-EDEC85659071}"/>
    <hyperlink ref="G77" r:id="rId58" xr:uid="{0C0A29CA-6823-4510-A1B1-EB5ADADA4DC3}"/>
    <hyperlink ref="G78" r:id="rId59" xr:uid="{0844525B-23C7-450A-804A-973CEA29CEA9}"/>
    <hyperlink ref="G79" r:id="rId60" xr:uid="{9F139B1D-DDB3-4992-9D81-78CD4F7E69DE}"/>
    <hyperlink ref="G81" r:id="rId61" xr:uid="{E116A2D6-D9A1-4F1A-AF03-FF545D40D304}"/>
    <hyperlink ref="G82" r:id="rId62" xr:uid="{0CFD8865-32A1-4435-9FC7-E22CD915BE09}"/>
    <hyperlink ref="G83" r:id="rId63" xr:uid="{41518C41-355C-491D-855D-C9CDA6FA1D21}"/>
    <hyperlink ref="G84" r:id="rId64" xr:uid="{6C6136CE-EF0B-4C56-ABAD-AE71D9C57353}"/>
    <hyperlink ref="G85" r:id="rId65" xr:uid="{0C26907F-87D0-4F80-BA54-FF72FB63E1D9}"/>
    <hyperlink ref="G86" r:id="rId66" xr:uid="{1EEE2FFF-9100-4A6C-B891-6FF3162E1092}"/>
    <hyperlink ref="G87" r:id="rId67" xr:uid="{C72CA292-9577-41C7-9A50-541B98115308}"/>
    <hyperlink ref="G88" r:id="rId68" xr:uid="{D906E995-B354-455E-BEE3-AF1BD6CDBA75}"/>
    <hyperlink ref="G89" r:id="rId69" xr:uid="{9D0B3B43-6357-4207-B6FA-83AF249E418C}"/>
    <hyperlink ref="G90" r:id="rId70" xr:uid="{5DC783F5-B437-4ACF-927C-DACF727D28A0}"/>
    <hyperlink ref="G91" r:id="rId71" xr:uid="{73679661-AB9A-4F36-BA93-3CFB53690F67}"/>
    <hyperlink ref="G93" r:id="rId72" xr:uid="{9EB6CA3B-F0CA-4E81-834D-BC1BFC4E6E7C}"/>
    <hyperlink ref="G94" r:id="rId73" xr:uid="{438B4765-0144-4CA5-BDFC-FD1BBAF722E1}"/>
    <hyperlink ref="G95" r:id="rId74" xr:uid="{E320C0ED-D7F8-4A4A-85F4-170290E879E2}"/>
    <hyperlink ref="G96" r:id="rId75" xr:uid="{890D62DF-1267-46C2-B44A-4D2789282412}"/>
    <hyperlink ref="G97" r:id="rId76" xr:uid="{A566E633-9E52-4EA2-93EB-E5AF271FD15A}"/>
    <hyperlink ref="G98" r:id="rId77" xr:uid="{56E855B9-742A-4FD8-8078-240049373471}"/>
    <hyperlink ref="G99" r:id="rId78" xr:uid="{44AF0961-DB6E-41A3-A16A-8A8857962987}"/>
    <hyperlink ref="G101" r:id="rId79" xr:uid="{3C6E28B7-2B4D-4D34-A1AE-7E22846D613E}"/>
    <hyperlink ref="G102" r:id="rId80" xr:uid="{2585695D-99B0-4BF6-931B-3912C6ADB3D5}"/>
    <hyperlink ref="G103" r:id="rId81" xr:uid="{8FADC456-3343-4539-871B-B631E3820655}"/>
    <hyperlink ref="G104" r:id="rId82" xr:uid="{BACF261F-A33E-41FA-89FA-4982FA27A8E7}"/>
    <hyperlink ref="G105" r:id="rId83" xr:uid="{57900B5D-C1CF-44A4-88B8-5EDAE620F16E}"/>
    <hyperlink ref="G106" r:id="rId84" xr:uid="{961C92AF-E952-4D67-9E2B-F6C1DC8DE207}"/>
    <hyperlink ref="G108" r:id="rId85" xr:uid="{CBD1F45E-06BD-4DC0-90BA-AE0A4782AE71}"/>
    <hyperlink ref="G109" r:id="rId86" xr:uid="{3A76F72A-293C-4781-A2C5-EC398EF86D0A}"/>
    <hyperlink ref="G110" r:id="rId87" xr:uid="{A9222DC0-7883-4B22-B1F5-24536E105FE5}"/>
    <hyperlink ref="G111" r:id="rId88" xr:uid="{379FC99F-2C89-4C9E-BDCF-DE779E2607AC}"/>
    <hyperlink ref="G113" r:id="rId89" xr:uid="{CC723696-E648-4D39-8977-F1490B8DA4F9}"/>
    <hyperlink ref="G114" r:id="rId90" xr:uid="{3119655A-AC85-4907-8DF1-FC97C138D864}"/>
    <hyperlink ref="G115" r:id="rId91" xr:uid="{42463667-2EFC-4D42-9A9E-2C832DAE45EB}"/>
    <hyperlink ref="G116" r:id="rId92" xr:uid="{535AE773-C5C7-4E57-858C-3E1316C89BCA}"/>
    <hyperlink ref="G117" r:id="rId93" xr:uid="{9EFF304E-5CE5-4FD3-AC56-3F6A01A7C0F0}"/>
    <hyperlink ref="G118" r:id="rId94" xr:uid="{C5B319B2-FA82-4992-A413-323DC857F12C}"/>
    <hyperlink ref="G119" r:id="rId95" xr:uid="{328CE627-48E0-47D5-9B55-3B419F0A5B55}"/>
    <hyperlink ref="G120" r:id="rId96" xr:uid="{196968D6-76EC-427E-9BD5-A53543FBFD28}"/>
    <hyperlink ref="G121" r:id="rId97" location="profile" display="https://tsudaken.jp/ - profile" xr:uid="{1402932C-9177-408F-8C9E-BC94DDFF8D7A}"/>
    <hyperlink ref="G122" r:id="rId98" xr:uid="{011556F3-1D5F-4187-ADF0-49BF2ED70D10}"/>
    <hyperlink ref="G123" r:id="rId99" xr:uid="{7EEC8BCA-2D19-4F22-BF55-EE831D1D3730}"/>
    <hyperlink ref="G124" r:id="rId100" location="works" display="https://simbatsuchiya.studio.site/ - works" xr:uid="{3408F1A3-64A9-4E19-B315-EB57B2D004E3}"/>
    <hyperlink ref="G125" r:id="rId101" xr:uid="{1ACD7ABA-5647-4328-AF07-3985FC0060F2}"/>
    <hyperlink ref="G126" r:id="rId102" xr:uid="{2032F650-690B-4EE3-94AA-6338004DB546}"/>
    <hyperlink ref="G127" r:id="rId103" xr:uid="{91F76332-2259-4BC7-B4C9-0012A26922A5}"/>
    <hyperlink ref="G128" r:id="rId104" xr:uid="{76470B51-92DA-4928-A9CF-892B48935CAF}"/>
    <hyperlink ref="G129" r:id="rId105" xr:uid="{09D7B713-0649-4FD9-B808-E0D712FE5476}"/>
    <hyperlink ref="G130" r:id="rId106" xr:uid="{DAF15E84-24BB-4A01-9161-DBEA75D359B7}"/>
    <hyperlink ref="G131" r:id="rId107" xr:uid="{217C6980-8E84-49DA-BFDC-CDC746697F49}"/>
    <hyperlink ref="G133" r:id="rId108" xr:uid="{193425B7-DD9B-42EC-827E-C61BEB59385E}"/>
    <hyperlink ref="G134" r:id="rId109" xr:uid="{F22BCE51-3B3A-4C5E-BA29-0558C1D7FDFF}"/>
    <hyperlink ref="G135" r:id="rId110" xr:uid="{1FC78716-56A0-4C0D-90D9-539892E93B61}"/>
    <hyperlink ref="G136" r:id="rId111" xr:uid="{33141782-3399-4043-86CF-30F79A619803}"/>
    <hyperlink ref="G137" r:id="rId112" xr:uid="{8C64CDB3-09F3-4726-BD92-86D7F3081F8B}"/>
    <hyperlink ref="G138" r:id="rId113" xr:uid="{56A621BA-A1BE-4B23-AB55-C462103341AB}"/>
    <hyperlink ref="G140" r:id="rId114" xr:uid="{CC373A07-8110-45EE-91D0-96FFEFE1E994}"/>
    <hyperlink ref="G142" r:id="rId115" xr:uid="{E485ED39-5510-4BD9-B82F-00A94F63BB97}"/>
    <hyperlink ref="G143" r:id="rId116" xr:uid="{7683E7A8-99DC-41DB-8278-3D8E392D94ED}"/>
    <hyperlink ref="G144" r:id="rId117" xr:uid="{0CCE35FA-616F-4D99-AAE7-843029738C16}"/>
    <hyperlink ref="G145" r:id="rId118" xr:uid="{25574721-A6F3-4829-AEB0-8F8CD28F636F}"/>
    <hyperlink ref="G146" r:id="rId119" xr:uid="{AA64E451-5B57-4F30-A984-B682EE0F3F4E}"/>
    <hyperlink ref="G147" r:id="rId120" xr:uid="{F1690E9D-DBE8-47BE-8076-0273955302AF}"/>
    <hyperlink ref="G148" r:id="rId121" xr:uid="{3AEB6A2C-EE70-4F5D-88FF-3D7FC4823376}"/>
    <hyperlink ref="G149" r:id="rId122" xr:uid="{AE55491F-DEDE-41C6-9FD8-81BA1CFF6F6D}"/>
    <hyperlink ref="G150" r:id="rId123" xr:uid="{517D9E73-C15F-41F0-93CF-D0F1551D9D10}"/>
    <hyperlink ref="G151" r:id="rId124" xr:uid="{2A9970C3-52CF-48AD-AA92-D350142F7872}"/>
    <hyperlink ref="G152" r:id="rId125" xr:uid="{F7D893F4-B0F8-4E2C-988D-7B284F59B9C6}"/>
    <hyperlink ref="G153" r:id="rId126" xr:uid="{F456CA72-43E3-429F-93B6-3894E436C803}"/>
    <hyperlink ref="G154" r:id="rId127" xr:uid="{412D402E-3297-4FD3-917D-A71BBDFC000F}"/>
    <hyperlink ref="G155" r:id="rId128" xr:uid="{E7FDB5FB-D43E-4332-8933-B499320715D0}"/>
    <hyperlink ref="G156" r:id="rId129" xr:uid="{AEDE1493-CF39-45EE-A60A-CB151B18F9E3}"/>
    <hyperlink ref="G157" r:id="rId130" xr:uid="{3C8DDAEE-4AAB-47DA-B678-61CF98EE235C}"/>
    <hyperlink ref="G159" r:id="rId131" xr:uid="{E40678FA-49D0-4B7A-BCB8-99C0BF6CE54C}"/>
    <hyperlink ref="G160" r:id="rId132" xr:uid="{93751BB9-47B5-4BFA-BF12-7DCA6B0D0DB7}"/>
    <hyperlink ref="G161" r:id="rId133" xr:uid="{F96176ED-D069-476A-954F-9AB929CE25C4}"/>
    <hyperlink ref="G162" r:id="rId134" xr:uid="{AD48BB7B-772F-4B1B-9C79-8E487D74CB85}"/>
    <hyperlink ref="G163" r:id="rId135" xr:uid="{949882D0-E18A-4720-B22E-A4F96AC35D09}"/>
    <hyperlink ref="G165" r:id="rId136" xr:uid="{B28146FD-B735-4866-BA22-6675C58A2A36}"/>
    <hyperlink ref="G166" r:id="rId137" xr:uid="{E8211F45-B302-41B9-9F10-4040F29598E2}"/>
    <hyperlink ref="G167" r:id="rId138" xr:uid="{C51972E1-D752-4BBD-9F55-0BBDCFB9CEBE}"/>
    <hyperlink ref="G168" r:id="rId139" xr:uid="{D5E9588A-30DB-4814-A0C9-EEADA6660815}"/>
    <hyperlink ref="G169" r:id="rId140" xr:uid="{64AC4881-12C9-46C2-8652-C87D3BB494B0}"/>
    <hyperlink ref="G170" r:id="rId141" xr:uid="{43BE3C46-BA24-4FC0-BE0A-1D9B7462E0BF}"/>
    <hyperlink ref="G171" r:id="rId142" xr:uid="{C7A7FBC1-A59C-4E9F-AF2A-945DCC63F1E8}"/>
    <hyperlink ref="G172" r:id="rId143" xr:uid="{782EC5C0-9944-4C70-980D-24576164F73D}"/>
    <hyperlink ref="G173" r:id="rId144" xr:uid="{F13674CD-383B-4DB5-AEAE-1C14AE3EF516}"/>
    <hyperlink ref="G174" r:id="rId145" xr:uid="{27A482FA-CD4B-48F6-94B3-C92A61949763}"/>
    <hyperlink ref="G175" r:id="rId146" xr:uid="{3D8A94FB-F855-43AB-8CE3-CCB7823904DD}"/>
    <hyperlink ref="G176" r:id="rId147" xr:uid="{8CB20FC3-E480-4BA1-A8EE-7D0B9B7DCC7F}"/>
    <hyperlink ref="G177" r:id="rId148" xr:uid="{C7521160-531E-43EE-9BFF-2867B4701007}"/>
    <hyperlink ref="G178" r:id="rId149" xr:uid="{E7B8398D-717D-45D2-AF5D-69FA2880CA19}"/>
    <hyperlink ref="G180" r:id="rId150" xr:uid="{CDAEFE70-5F70-4D6F-8C59-CE303666227E}"/>
    <hyperlink ref="G181" r:id="rId151" xr:uid="{599C8E2D-E432-4C14-BB1E-C4EE142540A1}"/>
    <hyperlink ref="G182" r:id="rId152" xr:uid="{55F41999-173F-458C-9DA3-B8436A44AC8A}"/>
    <hyperlink ref="G183" r:id="rId153" xr:uid="{D62FC96D-4A5B-4D17-A912-E4D036ABFB1F}"/>
    <hyperlink ref="G184" r:id="rId154" xr:uid="{EA8FA090-CA79-48D5-8D44-3E73DC1F5742}"/>
    <hyperlink ref="G185" r:id="rId155" xr:uid="{3011BBE8-B370-4BA4-AC81-001FB89FDCA8}"/>
    <hyperlink ref="G187" r:id="rId156" xr:uid="{5FE070BD-37D0-4B5F-92A0-0DC6918E77F7}"/>
    <hyperlink ref="G189" r:id="rId157" xr:uid="{6B8452C4-5AFD-4284-B387-C899B144046D}"/>
    <hyperlink ref="G190" r:id="rId158" xr:uid="{568FCC21-0A02-4C35-8F07-B4AC48D0EF6F}"/>
    <hyperlink ref="G191" r:id="rId159" xr:uid="{777D43FB-9791-477C-A6FB-CADC7B49A89C}"/>
    <hyperlink ref="G192" r:id="rId160" xr:uid="{9F83799C-9F6A-42AB-B2BA-1C097A88990C}"/>
    <hyperlink ref="G193" r:id="rId161" xr:uid="{866A99D5-11C0-4F93-9DF2-EBEE8BBC1738}"/>
    <hyperlink ref="G194" r:id="rId162" xr:uid="{60886DCA-D766-45EE-84C5-718CDBC824BB}"/>
    <hyperlink ref="G195" r:id="rId163" xr:uid="{5575BAB7-8030-463F-BF65-FCC25B4B87EA}"/>
    <hyperlink ref="G196" r:id="rId164" xr:uid="{58CDD22A-E2C1-4A0B-88F4-A84E612293DB}"/>
    <hyperlink ref="G198" r:id="rId165" xr:uid="{7090B7AA-6D6B-4EDD-864F-D73441497DE3}"/>
    <hyperlink ref="G199" r:id="rId166" xr:uid="{E86F4841-881C-4DD5-91C4-6ED2BB00F8E2}"/>
    <hyperlink ref="G200" r:id="rId167" xr:uid="{346632D9-1A92-4B97-AB53-5D2E00881766}"/>
    <hyperlink ref="G201" r:id="rId168" xr:uid="{235BD6B3-0B13-4B53-95C6-FFE34B67E934}"/>
    <hyperlink ref="G202" r:id="rId169" xr:uid="{B75FC876-902A-42CB-AC50-646773E7F6A6}"/>
    <hyperlink ref="G203" r:id="rId170" xr:uid="{4C2010DD-FE76-40D9-B57C-AE5A048FC2DF}"/>
    <hyperlink ref="G204" r:id="rId171" xr:uid="{DDD59D4B-1F15-40B6-AF91-AE77765C512B}"/>
    <hyperlink ref="G205" r:id="rId172" xr:uid="{766DC66B-0CEE-49F2-AA6A-1E3D17594E86}"/>
    <hyperlink ref="G206" r:id="rId173" xr:uid="{B4C88B4F-0E44-4ECA-B70A-1F8104FCA3E9}"/>
    <hyperlink ref="G209" r:id="rId174" xr:uid="{D321FD94-08B4-48D4-95DD-5046DC3749E9}"/>
    <hyperlink ref="G210" r:id="rId175" xr:uid="{95023E40-A324-4F3E-846C-1D132A8A629B}"/>
    <hyperlink ref="G211" r:id="rId176" xr:uid="{45B5006F-E39E-4DFF-9C56-88203AE2F8F4}"/>
    <hyperlink ref="G212" r:id="rId177" xr:uid="{100B4177-C978-4A6B-A5B3-32B6734A37A7}"/>
    <hyperlink ref="G213" r:id="rId178" xr:uid="{CBBDCBCE-7681-451B-9D5B-0F3E80A14648}"/>
    <hyperlink ref="G214" r:id="rId179" xr:uid="{B4937E41-A06B-4854-A039-50FAC0C418F4}"/>
    <hyperlink ref="G215" r:id="rId180" xr:uid="{606A7107-E480-4C07-B169-5E4EA9BD8E08}"/>
    <hyperlink ref="G216" r:id="rId181" xr:uid="{89245D07-DA6C-4243-B6D3-0DB12000953D}"/>
    <hyperlink ref="G217" r:id="rId182" xr:uid="{6541AA4A-C57C-4F2B-BF79-CCA992AA4431}"/>
    <hyperlink ref="G218" r:id="rId183" xr:uid="{9EA84A7F-2FA6-455B-BD32-E673390D0CE1}"/>
    <hyperlink ref="G219" r:id="rId184" xr:uid="{DC12B92E-B988-427C-89EC-ECAD62A4667A}"/>
    <hyperlink ref="G220" r:id="rId185" xr:uid="{71B38EC2-6A2C-4BAF-B05D-FB06C57BB896}"/>
    <hyperlink ref="G222" r:id="rId186" xr:uid="{E4985178-0B49-42C8-A723-45739881D18A}"/>
    <hyperlink ref="G224" r:id="rId187" xr:uid="{35B71833-92FE-449F-A7CE-0F21B6D32336}"/>
    <hyperlink ref="G225" r:id="rId188" xr:uid="{7DCBD63C-8C5B-4056-A65A-9D213F85FCD1}"/>
    <hyperlink ref="G226" r:id="rId189" xr:uid="{45E92B71-E6AA-40D8-B4A6-25D5EB5282C7}"/>
    <hyperlink ref="G227" r:id="rId190" xr:uid="{BFA26069-2440-43FC-A354-63BC5A44A69C}"/>
    <hyperlink ref="G228" r:id="rId191" xr:uid="{EB0E767E-814E-41A9-8B84-03AACADD7E33}"/>
    <hyperlink ref="G229" r:id="rId192" xr:uid="{3EE25E54-416A-4487-BE04-D9049312D22E}"/>
    <hyperlink ref="G230" r:id="rId193" xr:uid="{4E979C80-9FF4-4A89-85E5-0663149027CD}"/>
    <hyperlink ref="G231" r:id="rId194" xr:uid="{BBFC59CB-4582-4F7E-81FF-FB9BB6E55B67}"/>
    <hyperlink ref="G232" r:id="rId195" xr:uid="{4CB1348C-12DE-48CA-AC85-A92F0087C1A1}"/>
    <hyperlink ref="G233" r:id="rId196" xr:uid="{B047BA61-3980-4350-ABF1-1CBBFF0DC52C}"/>
    <hyperlink ref="G234" r:id="rId197" xr:uid="{59374A63-9B01-4568-A377-ACEF616FB262}"/>
    <hyperlink ref="G238" r:id="rId198" xr:uid="{32F16C16-A405-45B2-90E8-6FF03B292AE7}"/>
    <hyperlink ref="G239" r:id="rId199" xr:uid="{AF9CAFEE-F726-4AE6-A61B-33A98A212C2B}"/>
    <hyperlink ref="G240" r:id="rId200" xr:uid="{BA1B323D-F981-474C-AAEE-84B083F6750C}"/>
    <hyperlink ref="G243" r:id="rId201" xr:uid="{3A345F6F-C62A-4E10-BDDC-CF07FF47D884}"/>
    <hyperlink ref="G244" r:id="rId202" xr:uid="{2363E5C1-8528-42F8-97D4-2B1348F4CAB6}"/>
    <hyperlink ref="G246" r:id="rId203" xr:uid="{A8D5E87C-E253-44DA-8CBB-93F2ADF14D4F}"/>
    <hyperlink ref="G247" r:id="rId204" xr:uid="{8C48623D-5823-47D7-A2F0-11AA4E7F268F}"/>
    <hyperlink ref="G248" r:id="rId205" xr:uid="{574AD520-525D-4201-B35C-6408E47E663D}"/>
    <hyperlink ref="G249" r:id="rId206" xr:uid="{827019A7-B1B7-4CB4-9D8F-E4265732236E}"/>
    <hyperlink ref="G250" r:id="rId207" xr:uid="{34A3B9EF-ABD6-46A1-B51A-094CE2F9A7EE}"/>
    <hyperlink ref="G251" r:id="rId208" xr:uid="{068D638A-4E30-4418-9970-A8F42AC3D0DC}"/>
    <hyperlink ref="G252" r:id="rId209" xr:uid="{6CB08B76-60D7-40DA-BBE0-62BCEA32BCE3}"/>
    <hyperlink ref="G253" r:id="rId210" xr:uid="{557E381A-5135-447F-9539-7EA3B955CAE8}"/>
    <hyperlink ref="G254" r:id="rId211" xr:uid="{D9B8119B-024C-4B06-BC4F-3FE024E343CC}"/>
    <hyperlink ref="G255" r:id="rId212" xr:uid="{B20CF086-5957-49DC-944A-592A3C086E5B}"/>
    <hyperlink ref="G256" r:id="rId213" xr:uid="{6DF04CC0-888F-4290-B730-8A1F08619207}"/>
    <hyperlink ref="G258" r:id="rId214" xr:uid="{2D778428-98EF-4C76-AFB4-5E9D4EDCCBF5}"/>
    <hyperlink ref="G259" r:id="rId215" xr:uid="{F0BC5A0B-BBFF-4956-BF8A-5E801F4DC40F}"/>
    <hyperlink ref="G260" r:id="rId216" xr:uid="{32D95CE5-F6B5-480D-BA3B-6435F63F69DE}"/>
    <hyperlink ref="G261" r:id="rId217" xr:uid="{B40511B0-C2BB-4FF5-AE50-0150F6175726}"/>
    <hyperlink ref="G262" r:id="rId218" xr:uid="{B2020BB5-59CD-477A-AA93-0B2141A39A8A}"/>
    <hyperlink ref="G263" r:id="rId219" xr:uid="{71BA41A2-CFB5-4C1A-B16B-485028C18B55}"/>
    <hyperlink ref="G264" r:id="rId220" xr:uid="{D4F4D62F-39AF-49A9-BE6E-659267FA8743}"/>
    <hyperlink ref="G265" r:id="rId221" xr:uid="{8ACFFC3D-F8F9-4693-B886-AA192DEB5CE0}"/>
    <hyperlink ref="G266" r:id="rId222" xr:uid="{3EBF8430-1D03-407C-B4B4-916BF79E527D}"/>
    <hyperlink ref="G267" r:id="rId223" xr:uid="{F8293021-3825-4212-A6F2-09B06F18315D}"/>
    <hyperlink ref="G269" r:id="rId224" xr:uid="{F4D50919-EFD0-4813-AC10-44FECB78DA83}"/>
    <hyperlink ref="G271" r:id="rId225" xr:uid="{82953068-85DD-4758-B482-031E157914E5}"/>
    <hyperlink ref="G272" r:id="rId226" xr:uid="{87F76198-86BF-4143-92B4-689EA1EFB0AC}"/>
    <hyperlink ref="G274" r:id="rId227" xr:uid="{84CC860A-2500-4A07-AD0C-007D15E88F87}"/>
    <hyperlink ref="G275" r:id="rId228" xr:uid="{0A358736-3331-4A75-9DB7-6FF31CD1059C}"/>
    <hyperlink ref="G276" r:id="rId229" xr:uid="{F644F654-B121-4830-874C-7A63C0F11C7B}"/>
    <hyperlink ref="G277" r:id="rId230" xr:uid="{5B72A102-87F7-4B0F-A1C9-D76F20FB806F}"/>
    <hyperlink ref="G279" r:id="rId231" xr:uid="{DCE4A6DC-8F6D-4F42-802A-76CE41C9A0E4}"/>
    <hyperlink ref="G280" r:id="rId232" xr:uid="{9F248B21-1064-4A28-AA2A-B7DEC36AE357}"/>
    <hyperlink ref="G281" r:id="rId233" xr:uid="{1A9211EE-55DF-430B-A920-4540E210710B}"/>
    <hyperlink ref="G282" r:id="rId234" xr:uid="{405A7016-C4EB-4C9A-81CB-3163113BAE43}"/>
    <hyperlink ref="G283" r:id="rId235" xr:uid="{DF24978D-77CC-4F8A-94D0-B512D4C2AC03}"/>
    <hyperlink ref="G284" r:id="rId236" xr:uid="{2C2FEEE1-1963-4847-ABA5-71E4BD30094C}"/>
    <hyperlink ref="G286" r:id="rId237" xr:uid="{C985B0F6-F980-4782-8C5D-553318E3F372}"/>
    <hyperlink ref="G287" r:id="rId238" xr:uid="{DBC74E9B-36FE-4394-9D0A-7E5CD9E70144}"/>
    <hyperlink ref="G288" r:id="rId239" xr:uid="{1286D14B-1C58-436F-A7EA-E8208A2A5174}"/>
    <hyperlink ref="G289" r:id="rId240" xr:uid="{DF14EBA6-7BCE-4A22-A9BE-569B9A8028D5}"/>
    <hyperlink ref="G290" r:id="rId241" xr:uid="{48C54916-CF94-46C2-AF24-8B3B80D315DA}"/>
    <hyperlink ref="G291" r:id="rId242" xr:uid="{A5DB7BDB-EDA3-4802-8DAA-7EAD61A66D93}"/>
    <hyperlink ref="G294" r:id="rId243" xr:uid="{113F1D95-E015-4EC5-AC53-E7ABDABD8086}"/>
    <hyperlink ref="G296" r:id="rId244" xr:uid="{81817E9D-BFF1-4773-8DDB-B987D35995F7}"/>
    <hyperlink ref="G297" r:id="rId245" xr:uid="{78BD110A-6558-492F-A42B-7AEC8710955A}"/>
    <hyperlink ref="G298" r:id="rId246" xr:uid="{F3C0CD11-9B45-4366-9F3F-B273A0BF1D60}"/>
    <hyperlink ref="G299" r:id="rId247" xr:uid="{71B91DAC-0612-45C1-BB71-848A00AF0FE1}"/>
    <hyperlink ref="G300" r:id="rId248" xr:uid="{62126CEA-FE0B-46E8-8808-6C5542968242}"/>
    <hyperlink ref="G301" r:id="rId249" xr:uid="{A6A04B2C-004D-4005-B8DB-5CDCDE0DCD52}"/>
    <hyperlink ref="G302" r:id="rId250" xr:uid="{45F48066-B2A8-44C1-9271-60F8DCE1328D}"/>
    <hyperlink ref="G303" r:id="rId251" xr:uid="{8897BC88-3B95-4C6F-8D24-DA8A1D0606D7}"/>
    <hyperlink ref="G304" r:id="rId252" xr:uid="{54D0C7A4-C751-4072-80B5-64E8F8F7A95E}"/>
    <hyperlink ref="G306" r:id="rId253" xr:uid="{0D081E5F-43B7-4FCA-B9CF-09681DA12715}"/>
    <hyperlink ref="G308" r:id="rId254" xr:uid="{B8430DF8-ED9F-4DA5-8A9A-5BEA6488E1EE}"/>
    <hyperlink ref="G309" r:id="rId255" xr:uid="{4D864100-036A-4B05-9D7D-87D7846E42E0}"/>
    <hyperlink ref="G311" r:id="rId256" xr:uid="{BD9E348D-35C8-4CFA-B5A1-15EE07AD255F}"/>
    <hyperlink ref="G313" r:id="rId257" xr:uid="{2F847639-F82C-48E2-AD87-AD4F6726F040}"/>
    <hyperlink ref="G319" r:id="rId258" xr:uid="{A487F489-C66E-49AB-B42E-6496BED53C61}"/>
    <hyperlink ref="G320" r:id="rId259" xr:uid="{453B1A2E-E095-4838-9A06-03016E1C7349}"/>
    <hyperlink ref="G323" r:id="rId260" xr:uid="{6616CAE9-1560-424C-A0CB-C0CA0F6BC552}"/>
    <hyperlink ref="G324" r:id="rId261" xr:uid="{CD45DE01-363C-4032-83F3-FC6F7373B62C}"/>
    <hyperlink ref="G325" r:id="rId262" xr:uid="{E527677F-6B3B-4E05-BEF4-942FB15CDDC6}"/>
    <hyperlink ref="G330" r:id="rId263" xr:uid="{ECB4547F-EE08-4461-AE5A-ED612D071FC0}"/>
    <hyperlink ref="G331" r:id="rId264" xr:uid="{25165C84-88ED-4CFA-B188-66E55EBF980F}"/>
    <hyperlink ref="G332" r:id="rId265" xr:uid="{888F4BCA-E793-4AB8-B32D-15EA0AB3F703}"/>
    <hyperlink ref="G333" r:id="rId266" xr:uid="{BD4C24B5-653A-4703-97DA-A828CD712E31}"/>
    <hyperlink ref="G334" r:id="rId267" xr:uid="{D6BE90C9-A586-4A17-B48E-C7F7BAB5459F}"/>
    <hyperlink ref="G335" r:id="rId268" xr:uid="{015E241B-A5D6-402C-B697-52C0D62B223E}"/>
    <hyperlink ref="G336" r:id="rId269" xr:uid="{E9A2C446-EF06-4E4C-98F8-76196DCD1FC0}"/>
    <hyperlink ref="G338" r:id="rId270" xr:uid="{26A2ED65-D1B8-4705-828E-E540245AF506}"/>
    <hyperlink ref="G339" r:id="rId271" xr:uid="{7AD55A1D-3EC9-4B49-8784-F0B77EBE19A1}"/>
    <hyperlink ref="G341" r:id="rId272" xr:uid="{6EFE70D4-DA53-4206-BA2D-C3001997192E}"/>
    <hyperlink ref="G342" r:id="rId273" xr:uid="{30B03D47-CB66-456D-A121-BE73892F2DBD}"/>
    <hyperlink ref="G344" r:id="rId274" xr:uid="{37D5E979-4B8B-4E31-9C62-1DA2C0D1292C}"/>
    <hyperlink ref="G346" r:id="rId275" xr:uid="{9F890EED-FC52-4EFA-B8FC-617854830F41}"/>
    <hyperlink ref="G347" r:id="rId276" xr:uid="{2DB7EA53-8D53-49E3-9217-50B0FD11E751}"/>
    <hyperlink ref="G348" r:id="rId277" xr:uid="{DFE52C6E-D2E0-49F3-A3E3-6CB82F2F1FEE}"/>
    <hyperlink ref="G349" r:id="rId278" xr:uid="{F335259C-095F-4337-BFBA-2DE426B2CE36}"/>
    <hyperlink ref="G350" r:id="rId279" xr:uid="{8FD88BBA-4C37-4C97-B42A-F965A66C5228}"/>
    <hyperlink ref="G351" r:id="rId280" xr:uid="{B2778ACF-2331-4F3A-AF5F-C764BABDAE88}"/>
    <hyperlink ref="G353" r:id="rId281" xr:uid="{282F9523-61C9-472B-9EAA-424CDC27B49F}"/>
    <hyperlink ref="G355" r:id="rId282" xr:uid="{42EA043C-0EE8-4D00-ACD3-128B81CE0E2D}"/>
    <hyperlink ref="G356" r:id="rId283" xr:uid="{7D7564CA-DE29-4D6B-B958-21E19F2BC7AB}"/>
    <hyperlink ref="G357" r:id="rId284" xr:uid="{F04D8AF4-8397-4542-A579-69DCE106ECD5}"/>
    <hyperlink ref="G358" r:id="rId285" xr:uid="{78DDAFCE-D35F-4EE1-B1A4-BED5B2DC495C}"/>
    <hyperlink ref="G359" r:id="rId286" xr:uid="{94FF26EB-B4AF-4ABE-986B-BDB16EEDF2B5}"/>
    <hyperlink ref="G360" r:id="rId287" xr:uid="{1E435127-D500-4D87-B4DF-7713AB8CD3EB}"/>
    <hyperlink ref="G367" r:id="rId288" xr:uid="{4D02408F-C2FE-41B0-AABA-563F4BD42A3B}"/>
    <hyperlink ref="G369" r:id="rId289" xr:uid="{802EF16E-8F8A-4EA1-9014-FA90DDE23C40}"/>
    <hyperlink ref="G370" r:id="rId290" xr:uid="{EFFA4182-1CC5-4E35-894E-0E94485E3954}"/>
    <hyperlink ref="G371" r:id="rId291" xr:uid="{95ACF497-B288-42E2-AE55-DA60A3C0CB69}"/>
    <hyperlink ref="G372" r:id="rId292" xr:uid="{84AFB828-AAB4-4E3D-AA48-F0D44E84F5C5}"/>
    <hyperlink ref="G375" r:id="rId293" xr:uid="{59698824-2230-4101-AE43-FC8F23CE0238}"/>
    <hyperlink ref="G376" r:id="rId294" xr:uid="{6A43B3F2-C127-44CE-BA6D-EA9CC4FC3BA5}"/>
    <hyperlink ref="G379" r:id="rId295" xr:uid="{E9302729-244F-4193-BF8E-2CCDA1E6099E}"/>
    <hyperlink ref="G380" r:id="rId296" xr:uid="{66EF9EEF-1039-4209-B9D7-11D6F53DF06E}"/>
    <hyperlink ref="G381" r:id="rId297" xr:uid="{E110EF0B-3ACF-4648-B244-1713BB204A8B}"/>
    <hyperlink ref="G382" r:id="rId298" xr:uid="{8BD9A2B1-05D2-4C42-9EF1-79CF3A395E55}"/>
    <hyperlink ref="G383" r:id="rId299" xr:uid="{09F72FE0-92F2-4B80-910A-4358714FA424}"/>
    <hyperlink ref="G384" r:id="rId300" xr:uid="{B0378FFB-3B77-4C03-BB03-4BDFF0F6F2A6}"/>
    <hyperlink ref="G385" r:id="rId301" xr:uid="{99A824A5-C65A-40F7-830B-BEAAC4F385D6}"/>
    <hyperlink ref="G389" r:id="rId302" xr:uid="{AB63356B-0022-4561-886C-8FF7607D5DDF}"/>
    <hyperlink ref="G391" r:id="rId303" xr:uid="{F1FE46C9-B184-4044-B26F-6C642FA729E6}"/>
    <hyperlink ref="G392" r:id="rId304" xr:uid="{7045B7EB-BE1C-48AE-891C-F59BD10D668A}"/>
    <hyperlink ref="G393" r:id="rId305" xr:uid="{185793BE-833A-4EE2-9AE1-FC3BE2F451C9}"/>
    <hyperlink ref="G394" r:id="rId306" xr:uid="{5F810400-8524-44E8-A0DC-7183155D1104}"/>
    <hyperlink ref="G398" r:id="rId307" xr:uid="{30BC8F79-66B2-44F8-8989-6A5A1AB34B38}"/>
    <hyperlink ref="G400" r:id="rId308" xr:uid="{81947D83-33BB-40E3-A6C8-B710893F610D}"/>
    <hyperlink ref="G401" r:id="rId309" xr:uid="{E24C3471-0316-4861-A955-D27BE206CF7E}"/>
    <hyperlink ref="G402" r:id="rId310" xr:uid="{DA4EA994-20AA-492D-954D-68EA30570ECC}"/>
    <hyperlink ref="G403" r:id="rId311" xr:uid="{249510CE-6F55-46E5-AF3A-54564CABAEF3}"/>
    <hyperlink ref="G404" r:id="rId312" xr:uid="{3A2FE8AB-7E57-4071-B259-9B01C359A728}"/>
    <hyperlink ref="G405" r:id="rId313" xr:uid="{5C7646FA-0D84-431C-BEE3-98AA8047D82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1B488-4A14-41D7-AD02-57961D0ECF65}">
  <dimension ref="A1:B360"/>
  <sheetViews>
    <sheetView tabSelected="1" topLeftCell="A22" workbookViewId="0">
      <selection activeCell="B1" sqref="B1:B1000"/>
    </sheetView>
  </sheetViews>
  <sheetFormatPr defaultRowHeight="13.2"/>
  <sheetData>
    <row r="1" spans="1:2">
      <c r="A1" t="s">
        <v>2</v>
      </c>
      <c r="B1" t="s">
        <v>8</v>
      </c>
    </row>
    <row r="2" spans="1:2">
      <c r="A2" t="s">
        <v>75</v>
      </c>
      <c r="B2" t="s">
        <v>3306</v>
      </c>
    </row>
    <row r="3" spans="1:2">
      <c r="A3" t="s">
        <v>88</v>
      </c>
      <c r="B3" t="s">
        <v>3307</v>
      </c>
    </row>
    <row r="4" spans="1:2">
      <c r="A4" t="s">
        <v>97</v>
      </c>
      <c r="B4" t="s">
        <v>3308</v>
      </c>
    </row>
    <row r="5" spans="1:2">
      <c r="A5" t="s">
        <v>106</v>
      </c>
      <c r="B5" t="s">
        <v>3309</v>
      </c>
    </row>
    <row r="6" spans="1:2">
      <c r="A6" t="s">
        <v>117</v>
      </c>
      <c r="B6" t="s">
        <v>3310</v>
      </c>
    </row>
    <row r="7" spans="1:2">
      <c r="A7" t="s">
        <v>126</v>
      </c>
      <c r="B7" t="s">
        <v>3311</v>
      </c>
    </row>
    <row r="8" spans="1:2">
      <c r="A8" t="s">
        <v>137</v>
      </c>
      <c r="B8" t="s">
        <v>3312</v>
      </c>
    </row>
    <row r="9" spans="1:2">
      <c r="A9" t="s">
        <v>141</v>
      </c>
      <c r="B9" t="s">
        <v>3313</v>
      </c>
    </row>
    <row r="10" spans="1:2">
      <c r="A10" t="s">
        <v>144</v>
      </c>
      <c r="B10" t="s">
        <v>3314</v>
      </c>
    </row>
    <row r="11" spans="1:2">
      <c r="A11" t="s">
        <v>150</v>
      </c>
      <c r="B11" t="s">
        <v>3315</v>
      </c>
    </row>
    <row r="12" spans="1:2">
      <c r="A12" t="s">
        <v>158</v>
      </c>
      <c r="B12" t="s">
        <v>3316</v>
      </c>
    </row>
    <row r="13" spans="1:2">
      <c r="A13" t="s">
        <v>166</v>
      </c>
      <c r="B13" t="s">
        <v>3317</v>
      </c>
    </row>
    <row r="14" spans="1:2">
      <c r="A14" t="s">
        <v>177</v>
      </c>
      <c r="B14" t="s">
        <v>3318</v>
      </c>
    </row>
    <row r="15" spans="1:2">
      <c r="A15" t="s">
        <v>187</v>
      </c>
      <c r="B15" t="s">
        <v>3319</v>
      </c>
    </row>
    <row r="16" spans="1:2">
      <c r="A16" t="s">
        <v>201</v>
      </c>
      <c r="B16" t="s">
        <v>3320</v>
      </c>
    </row>
    <row r="17" spans="1:2">
      <c r="A17" t="s">
        <v>209</v>
      </c>
      <c r="B17" t="s">
        <v>3321</v>
      </c>
    </row>
    <row r="18" spans="1:2">
      <c r="A18" t="s">
        <v>217</v>
      </c>
      <c r="B18" t="s">
        <v>3322</v>
      </c>
    </row>
    <row r="19" spans="1:2">
      <c r="A19" t="s">
        <v>226</v>
      </c>
      <c r="B19" t="s">
        <v>3323</v>
      </c>
    </row>
    <row r="20" spans="1:2">
      <c r="A20" t="s">
        <v>235</v>
      </c>
      <c r="B20" t="s">
        <v>3324</v>
      </c>
    </row>
    <row r="21" spans="1:2">
      <c r="A21" t="s">
        <v>243</v>
      </c>
      <c r="B21" t="s">
        <v>3325</v>
      </c>
    </row>
    <row r="22" spans="1:2">
      <c r="A22" t="s">
        <v>250</v>
      </c>
      <c r="B22" t="s">
        <v>3326</v>
      </c>
    </row>
    <row r="23" spans="1:2">
      <c r="A23" t="s">
        <v>260</v>
      </c>
      <c r="B23" t="s">
        <v>3327</v>
      </c>
    </row>
    <row r="24" spans="1:2">
      <c r="A24" t="s">
        <v>268</v>
      </c>
      <c r="B24" t="s">
        <v>3328</v>
      </c>
    </row>
    <row r="25" spans="1:2">
      <c r="A25" t="s">
        <v>277</v>
      </c>
      <c r="B25" t="s">
        <v>3329</v>
      </c>
    </row>
    <row r="26" spans="1:2">
      <c r="A26" t="s">
        <v>284</v>
      </c>
      <c r="B26" t="s">
        <v>3330</v>
      </c>
    </row>
    <row r="27" spans="1:2">
      <c r="A27" t="s">
        <v>289</v>
      </c>
      <c r="B27" t="s">
        <v>3331</v>
      </c>
    </row>
    <row r="28" spans="1:2">
      <c r="A28" t="s">
        <v>291</v>
      </c>
      <c r="B28" t="s">
        <v>3332</v>
      </c>
    </row>
    <row r="29" spans="1:2">
      <c r="A29" t="s">
        <v>293</v>
      </c>
      <c r="B29" t="s">
        <v>3333</v>
      </c>
    </row>
    <row r="30" spans="1:2">
      <c r="A30" t="s">
        <v>295</v>
      </c>
      <c r="B30" t="s">
        <v>3334</v>
      </c>
    </row>
    <row r="31" spans="1:2">
      <c r="A31" t="s">
        <v>297</v>
      </c>
      <c r="B31" t="s">
        <v>3335</v>
      </c>
    </row>
    <row r="32" spans="1:2">
      <c r="A32" t="s">
        <v>299</v>
      </c>
      <c r="B32" t="s">
        <v>3336</v>
      </c>
    </row>
    <row r="33" spans="1:2">
      <c r="A33" t="s">
        <v>301</v>
      </c>
      <c r="B33" t="s">
        <v>3337</v>
      </c>
    </row>
    <row r="34" spans="1:2">
      <c r="A34" t="s">
        <v>303</v>
      </c>
      <c r="B34" t="s">
        <v>3338</v>
      </c>
    </row>
    <row r="35" spans="1:2">
      <c r="A35" t="s">
        <v>305</v>
      </c>
      <c r="B35" t="s">
        <v>3339</v>
      </c>
    </row>
    <row r="36" spans="1:2">
      <c r="A36" t="s">
        <v>307</v>
      </c>
      <c r="B36" t="s">
        <v>3340</v>
      </c>
    </row>
    <row r="37" spans="1:2">
      <c r="A37" t="s">
        <v>309</v>
      </c>
      <c r="B37" t="s">
        <v>3341</v>
      </c>
    </row>
    <row r="38" spans="1:2">
      <c r="A38" t="s">
        <v>311</v>
      </c>
      <c r="B38" t="s">
        <v>3342</v>
      </c>
    </row>
    <row r="39" spans="1:2">
      <c r="A39" t="s">
        <v>313</v>
      </c>
      <c r="B39" t="s">
        <v>3343</v>
      </c>
    </row>
    <row r="40" spans="1:2">
      <c r="A40" t="s">
        <v>315</v>
      </c>
      <c r="B40" t="s">
        <v>3344</v>
      </c>
    </row>
    <row r="41" spans="1:2">
      <c r="A41" t="s">
        <v>317</v>
      </c>
      <c r="B41" t="s">
        <v>3345</v>
      </c>
    </row>
    <row r="42" spans="1:2">
      <c r="A42" t="s">
        <v>319</v>
      </c>
      <c r="B42" t="s">
        <v>3346</v>
      </c>
    </row>
    <row r="43" spans="1:2">
      <c r="A43" t="s">
        <v>321</v>
      </c>
      <c r="B43" t="s">
        <v>3347</v>
      </c>
    </row>
    <row r="44" spans="1:2">
      <c r="A44" t="s">
        <v>324</v>
      </c>
      <c r="B44" t="s">
        <v>3348</v>
      </c>
    </row>
    <row r="45" spans="1:2">
      <c r="A45" t="s">
        <v>326</v>
      </c>
      <c r="B45" t="s">
        <v>3349</v>
      </c>
    </row>
    <row r="46" spans="1:2">
      <c r="A46" t="s">
        <v>328</v>
      </c>
      <c r="B46" t="s">
        <v>3350</v>
      </c>
    </row>
    <row r="47" spans="1:2">
      <c r="A47" t="s">
        <v>330</v>
      </c>
      <c r="B47" t="s">
        <v>3351</v>
      </c>
    </row>
    <row r="48" spans="1:2">
      <c r="A48" t="s">
        <v>332</v>
      </c>
      <c r="B48" t="s">
        <v>3352</v>
      </c>
    </row>
    <row r="49" spans="1:2">
      <c r="A49" t="s">
        <v>334</v>
      </c>
      <c r="B49" t="s">
        <v>3353</v>
      </c>
    </row>
    <row r="50" spans="1:2">
      <c r="A50" t="s">
        <v>336</v>
      </c>
      <c r="B50" t="s">
        <v>3354</v>
      </c>
    </row>
    <row r="51" spans="1:2">
      <c r="A51" t="s">
        <v>338</v>
      </c>
      <c r="B51" t="s">
        <v>3355</v>
      </c>
    </row>
    <row r="52" spans="1:2">
      <c r="A52" t="s">
        <v>340</v>
      </c>
      <c r="B52" t="s">
        <v>3356</v>
      </c>
    </row>
    <row r="53" spans="1:2">
      <c r="A53" t="s">
        <v>342</v>
      </c>
      <c r="B53" t="s">
        <v>3357</v>
      </c>
    </row>
    <row r="54" spans="1:2">
      <c r="A54" t="s">
        <v>344</v>
      </c>
      <c r="B54" t="s">
        <v>3358</v>
      </c>
    </row>
    <row r="55" spans="1:2">
      <c r="A55" t="s">
        <v>348</v>
      </c>
      <c r="B55" t="s">
        <v>3359</v>
      </c>
    </row>
    <row r="56" spans="1:2">
      <c r="A56" t="s">
        <v>350</v>
      </c>
      <c r="B56" t="s">
        <v>3360</v>
      </c>
    </row>
    <row r="57" spans="1:2">
      <c r="A57" t="s">
        <v>352</v>
      </c>
      <c r="B57" t="s">
        <v>3361</v>
      </c>
    </row>
    <row r="58" spans="1:2">
      <c r="A58" t="s">
        <v>354</v>
      </c>
      <c r="B58" t="s">
        <v>3362</v>
      </c>
    </row>
    <row r="59" spans="1:2">
      <c r="A59" t="s">
        <v>356</v>
      </c>
      <c r="B59" t="s">
        <v>3363</v>
      </c>
    </row>
    <row r="60" spans="1:2">
      <c r="A60" t="s">
        <v>358</v>
      </c>
      <c r="B60" t="s">
        <v>3364</v>
      </c>
    </row>
    <row r="61" spans="1:2">
      <c r="A61" t="s">
        <v>360</v>
      </c>
      <c r="B61" t="s">
        <v>3365</v>
      </c>
    </row>
    <row r="62" spans="1:2">
      <c r="A62" t="s">
        <v>362</v>
      </c>
      <c r="B62" t="s">
        <v>3366</v>
      </c>
    </row>
    <row r="63" spans="1:2">
      <c r="A63" t="s">
        <v>364</v>
      </c>
      <c r="B63" t="s">
        <v>3367</v>
      </c>
    </row>
    <row r="64" spans="1:2">
      <c r="A64" t="s">
        <v>366</v>
      </c>
      <c r="B64" t="s">
        <v>3368</v>
      </c>
    </row>
    <row r="65" spans="1:2">
      <c r="A65" t="s">
        <v>368</v>
      </c>
      <c r="B65" t="s">
        <v>3369</v>
      </c>
    </row>
    <row r="66" spans="1:2">
      <c r="A66" t="s">
        <v>370</v>
      </c>
      <c r="B66" t="s">
        <v>3370</v>
      </c>
    </row>
    <row r="67" spans="1:2">
      <c r="A67" t="s">
        <v>372</v>
      </c>
      <c r="B67" t="s">
        <v>3371</v>
      </c>
    </row>
    <row r="68" spans="1:2">
      <c r="A68" t="s">
        <v>375</v>
      </c>
      <c r="B68" t="s">
        <v>3372</v>
      </c>
    </row>
    <row r="69" spans="1:2">
      <c r="A69" t="s">
        <v>377</v>
      </c>
      <c r="B69" t="s">
        <v>3373</v>
      </c>
    </row>
    <row r="70" spans="1:2">
      <c r="A70" t="s">
        <v>379</v>
      </c>
      <c r="B70" t="s">
        <v>3374</v>
      </c>
    </row>
    <row r="71" spans="1:2">
      <c r="A71" t="s">
        <v>382</v>
      </c>
      <c r="B71" t="s">
        <v>3375</v>
      </c>
    </row>
    <row r="72" spans="1:2">
      <c r="A72" t="s">
        <v>384</v>
      </c>
      <c r="B72" t="s">
        <v>3376</v>
      </c>
    </row>
    <row r="73" spans="1:2">
      <c r="A73" t="s">
        <v>386</v>
      </c>
      <c r="B73" t="s">
        <v>3377</v>
      </c>
    </row>
    <row r="74" spans="1:2">
      <c r="A74" t="s">
        <v>388</v>
      </c>
      <c r="B74" t="s">
        <v>3378</v>
      </c>
    </row>
    <row r="75" spans="1:2">
      <c r="A75" t="s">
        <v>391</v>
      </c>
      <c r="B75" t="s">
        <v>3379</v>
      </c>
    </row>
    <row r="76" spans="1:2">
      <c r="A76" t="s">
        <v>393</v>
      </c>
      <c r="B76" t="s">
        <v>3380</v>
      </c>
    </row>
    <row r="77" spans="1:2">
      <c r="A77" t="s">
        <v>395</v>
      </c>
      <c r="B77" t="s">
        <v>3381</v>
      </c>
    </row>
    <row r="78" spans="1:2">
      <c r="A78" t="s">
        <v>398</v>
      </c>
      <c r="B78" t="s">
        <v>3382</v>
      </c>
    </row>
    <row r="79" spans="1:2">
      <c r="A79" t="s">
        <v>400</v>
      </c>
      <c r="B79" t="s">
        <v>3383</v>
      </c>
    </row>
    <row r="80" spans="1:2">
      <c r="A80" t="s">
        <v>402</v>
      </c>
      <c r="B80" t="s">
        <v>3384</v>
      </c>
    </row>
    <row r="81" spans="1:2">
      <c r="A81" t="s">
        <v>404</v>
      </c>
      <c r="B81" t="s">
        <v>3385</v>
      </c>
    </row>
    <row r="82" spans="1:2">
      <c r="A82" t="s">
        <v>406</v>
      </c>
      <c r="B82" t="s">
        <v>3386</v>
      </c>
    </row>
    <row r="83" spans="1:2">
      <c r="A83" t="s">
        <v>409</v>
      </c>
      <c r="B83" t="s">
        <v>3387</v>
      </c>
    </row>
    <row r="84" spans="1:2">
      <c r="A84" t="s">
        <v>411</v>
      </c>
      <c r="B84" t="s">
        <v>3388</v>
      </c>
    </row>
    <row r="85" spans="1:2">
      <c r="A85" t="s">
        <v>413</v>
      </c>
      <c r="B85" t="s">
        <v>3389</v>
      </c>
    </row>
    <row r="86" spans="1:2">
      <c r="A86" t="s">
        <v>415</v>
      </c>
      <c r="B86" t="s">
        <v>3390</v>
      </c>
    </row>
    <row r="87" spans="1:2">
      <c r="A87" t="s">
        <v>418</v>
      </c>
      <c r="B87" t="s">
        <v>3391</v>
      </c>
    </row>
    <row r="88" spans="1:2">
      <c r="A88" t="s">
        <v>420</v>
      </c>
      <c r="B88" t="s">
        <v>3392</v>
      </c>
    </row>
    <row r="89" spans="1:2">
      <c r="A89" t="s">
        <v>422</v>
      </c>
      <c r="B89" t="s">
        <v>3393</v>
      </c>
    </row>
    <row r="90" spans="1:2">
      <c r="A90" t="s">
        <v>424</v>
      </c>
      <c r="B90" t="s">
        <v>3394</v>
      </c>
    </row>
    <row r="91" spans="1:2">
      <c r="A91" t="s">
        <v>426</v>
      </c>
      <c r="B91" t="s">
        <v>3395</v>
      </c>
    </row>
    <row r="92" spans="1:2">
      <c r="A92" t="s">
        <v>428</v>
      </c>
      <c r="B92" t="s">
        <v>3396</v>
      </c>
    </row>
    <row r="93" spans="1:2">
      <c r="A93" t="s">
        <v>430</v>
      </c>
      <c r="B93" t="s">
        <v>3397</v>
      </c>
    </row>
    <row r="94" spans="1:2">
      <c r="A94" t="s">
        <v>432</v>
      </c>
      <c r="B94" t="s">
        <v>3398</v>
      </c>
    </row>
    <row r="95" spans="1:2">
      <c r="A95" t="s">
        <v>434</v>
      </c>
      <c r="B95" t="s">
        <v>3399</v>
      </c>
    </row>
    <row r="96" spans="1:2">
      <c r="A96" t="s">
        <v>437</v>
      </c>
      <c r="B96" t="s">
        <v>3400</v>
      </c>
    </row>
    <row r="97" spans="1:2">
      <c r="A97" t="s">
        <v>440</v>
      </c>
      <c r="B97" t="s">
        <v>3401</v>
      </c>
    </row>
    <row r="98" spans="1:2">
      <c r="A98" t="s">
        <v>442</v>
      </c>
      <c r="B98" t="s">
        <v>3402</v>
      </c>
    </row>
    <row r="99" spans="1:2">
      <c r="A99" t="s">
        <v>445</v>
      </c>
      <c r="B99" t="s">
        <v>3403</v>
      </c>
    </row>
    <row r="100" spans="1:2">
      <c r="A100" t="s">
        <v>443</v>
      </c>
      <c r="B100" t="s">
        <v>3404</v>
      </c>
    </row>
    <row r="101" spans="1:2">
      <c r="A101" t="s">
        <v>448</v>
      </c>
      <c r="B101" t="s">
        <v>3405</v>
      </c>
    </row>
    <row r="102" spans="1:2">
      <c r="A102" t="s">
        <v>451</v>
      </c>
      <c r="B102" t="s">
        <v>3406</v>
      </c>
    </row>
    <row r="103" spans="1:2">
      <c r="A103" t="s">
        <v>453</v>
      </c>
      <c r="B103" t="s">
        <v>3407</v>
      </c>
    </row>
    <row r="104" spans="1:2">
      <c r="A104" t="s">
        <v>455</v>
      </c>
      <c r="B104" t="s">
        <v>3408</v>
      </c>
    </row>
    <row r="105" spans="1:2">
      <c r="A105" t="s">
        <v>457</v>
      </c>
      <c r="B105" t="s">
        <v>3409</v>
      </c>
    </row>
    <row r="106" spans="1:2">
      <c r="A106" t="s">
        <v>460</v>
      </c>
      <c r="B106" t="s">
        <v>3410</v>
      </c>
    </row>
    <row r="107" spans="1:2">
      <c r="A107" t="s">
        <v>462</v>
      </c>
      <c r="B107" t="s">
        <v>3411</v>
      </c>
    </row>
    <row r="108" spans="1:2">
      <c r="A108" t="s">
        <v>464</v>
      </c>
      <c r="B108" t="s">
        <v>3412</v>
      </c>
    </row>
    <row r="109" spans="1:2">
      <c r="A109" t="s">
        <v>466</v>
      </c>
      <c r="B109" t="s">
        <v>3413</v>
      </c>
    </row>
    <row r="110" spans="1:2">
      <c r="A110" t="s">
        <v>469</v>
      </c>
      <c r="B110" t="s">
        <v>3414</v>
      </c>
    </row>
    <row r="111" spans="1:2">
      <c r="A111" t="s">
        <v>471</v>
      </c>
      <c r="B111" t="s">
        <v>3415</v>
      </c>
    </row>
    <row r="112" spans="1:2">
      <c r="A112" t="s">
        <v>473</v>
      </c>
      <c r="B112" t="s">
        <v>3416</v>
      </c>
    </row>
    <row r="113" spans="1:2">
      <c r="A113" t="s">
        <v>475</v>
      </c>
      <c r="B113" t="s">
        <v>3417</v>
      </c>
    </row>
    <row r="114" spans="1:2">
      <c r="A114" t="s">
        <v>478</v>
      </c>
      <c r="B114" t="s">
        <v>3418</v>
      </c>
    </row>
    <row r="115" spans="1:2">
      <c r="A115" t="s">
        <v>480</v>
      </c>
      <c r="B115" t="s">
        <v>3419</v>
      </c>
    </row>
    <row r="116" spans="1:2">
      <c r="A116" t="s">
        <v>483</v>
      </c>
      <c r="B116" t="s">
        <v>3420</v>
      </c>
    </row>
    <row r="117" spans="1:2">
      <c r="A117" t="s">
        <v>485</v>
      </c>
      <c r="B117" t="s">
        <v>3421</v>
      </c>
    </row>
    <row r="118" spans="1:2">
      <c r="A118" t="s">
        <v>487</v>
      </c>
      <c r="B118" t="s">
        <v>3422</v>
      </c>
    </row>
    <row r="119" spans="1:2">
      <c r="A119" t="s">
        <v>489</v>
      </c>
      <c r="B119" t="s">
        <v>3423</v>
      </c>
    </row>
    <row r="120" spans="1:2">
      <c r="A120" t="s">
        <v>492</v>
      </c>
      <c r="B120" t="s">
        <v>3424</v>
      </c>
    </row>
    <row r="121" spans="1:2">
      <c r="A121" t="s">
        <v>494</v>
      </c>
      <c r="B121" t="s">
        <v>3425</v>
      </c>
    </row>
    <row r="122" spans="1:2">
      <c r="A122" t="s">
        <v>407</v>
      </c>
      <c r="B122" t="s">
        <v>3426</v>
      </c>
    </row>
    <row r="123" spans="1:2">
      <c r="A123" t="s">
        <v>497</v>
      </c>
      <c r="B123" t="s">
        <v>3427</v>
      </c>
    </row>
    <row r="124" spans="1:2">
      <c r="A124" t="s">
        <v>500</v>
      </c>
      <c r="B124" t="s">
        <v>3428</v>
      </c>
    </row>
    <row r="125" spans="1:2">
      <c r="A125" t="s">
        <v>502</v>
      </c>
      <c r="B125" t="s">
        <v>3429</v>
      </c>
    </row>
    <row r="126" spans="1:2">
      <c r="A126" t="s">
        <v>504</v>
      </c>
      <c r="B126" t="s">
        <v>3430</v>
      </c>
    </row>
    <row r="127" spans="1:2">
      <c r="A127" t="s">
        <v>389</v>
      </c>
      <c r="B127" t="s">
        <v>3431</v>
      </c>
    </row>
    <row r="128" spans="1:2">
      <c r="A128" t="s">
        <v>490</v>
      </c>
      <c r="B128" t="s">
        <v>3432</v>
      </c>
    </row>
    <row r="129" spans="1:2">
      <c r="A129" t="s">
        <v>508</v>
      </c>
      <c r="B129" t="s">
        <v>3433</v>
      </c>
    </row>
    <row r="130" spans="1:2">
      <c r="A130" t="s">
        <v>511</v>
      </c>
      <c r="B130" t="s">
        <v>3434</v>
      </c>
    </row>
    <row r="131" spans="1:2">
      <c r="A131" t="s">
        <v>514</v>
      </c>
      <c r="B131" t="s">
        <v>3435</v>
      </c>
    </row>
    <row r="132" spans="1:2">
      <c r="A132" t="s">
        <v>516</v>
      </c>
      <c r="B132" t="s">
        <v>3436</v>
      </c>
    </row>
    <row r="133" spans="1:2">
      <c r="A133" t="s">
        <v>518</v>
      </c>
      <c r="B133" t="s">
        <v>3437</v>
      </c>
    </row>
    <row r="134" spans="1:2">
      <c r="A134" t="s">
        <v>520</v>
      </c>
      <c r="B134" t="s">
        <v>3438</v>
      </c>
    </row>
    <row r="135" spans="1:2">
      <c r="A135" t="s">
        <v>522</v>
      </c>
      <c r="B135" t="s">
        <v>3439</v>
      </c>
    </row>
    <row r="136" spans="1:2">
      <c r="A136" t="s">
        <v>524</v>
      </c>
      <c r="B136" t="s">
        <v>3440</v>
      </c>
    </row>
    <row r="137" spans="1:2">
      <c r="A137" t="s">
        <v>527</v>
      </c>
      <c r="B137" t="s">
        <v>3441</v>
      </c>
    </row>
    <row r="138" spans="1:2">
      <c r="A138" t="s">
        <v>529</v>
      </c>
      <c r="B138" t="s">
        <v>3442</v>
      </c>
    </row>
    <row r="139" spans="1:2">
      <c r="A139" t="s">
        <v>532</v>
      </c>
      <c r="B139" t="s">
        <v>3443</v>
      </c>
    </row>
    <row r="140" spans="1:2">
      <c r="A140" t="s">
        <v>534</v>
      </c>
      <c r="B140" t="s">
        <v>3444</v>
      </c>
    </row>
    <row r="141" spans="1:2">
      <c r="A141" t="s">
        <v>536</v>
      </c>
      <c r="B141" t="s">
        <v>3445</v>
      </c>
    </row>
    <row r="142" spans="1:2">
      <c r="A142" t="s">
        <v>539</v>
      </c>
      <c r="B142" t="s">
        <v>3446</v>
      </c>
    </row>
    <row r="143" spans="1:2">
      <c r="A143" t="s">
        <v>541</v>
      </c>
      <c r="B143" t="s">
        <v>3447</v>
      </c>
    </row>
    <row r="144" spans="1:2">
      <c r="A144" t="s">
        <v>543</v>
      </c>
      <c r="B144" t="s">
        <v>3448</v>
      </c>
    </row>
    <row r="145" spans="1:2">
      <c r="A145" t="s">
        <v>546</v>
      </c>
      <c r="B145" t="s">
        <v>3449</v>
      </c>
    </row>
    <row r="146" spans="1:2">
      <c r="A146" t="s">
        <v>548</v>
      </c>
      <c r="B146" t="s">
        <v>3450</v>
      </c>
    </row>
    <row r="147" spans="1:2">
      <c r="A147" t="s">
        <v>550</v>
      </c>
      <c r="B147" t="s">
        <v>3451</v>
      </c>
    </row>
    <row r="148" spans="1:2">
      <c r="A148" t="s">
        <v>552</v>
      </c>
      <c r="B148" t="s">
        <v>3452</v>
      </c>
    </row>
    <row r="149" spans="1:2">
      <c r="A149" t="s">
        <v>555</v>
      </c>
      <c r="B149" t="s">
        <v>3453</v>
      </c>
    </row>
    <row r="150" spans="1:2">
      <c r="A150" t="s">
        <v>557</v>
      </c>
      <c r="B150" t="s">
        <v>3454</v>
      </c>
    </row>
    <row r="151" spans="1:2">
      <c r="A151" t="s">
        <v>559</v>
      </c>
      <c r="B151" t="s">
        <v>3455</v>
      </c>
    </row>
    <row r="152" spans="1:2">
      <c r="A152" t="s">
        <v>563</v>
      </c>
      <c r="B152" t="s">
        <v>3456</v>
      </c>
    </row>
    <row r="153" spans="1:2">
      <c r="A153" t="s">
        <v>565</v>
      </c>
      <c r="B153" t="s">
        <v>3457</v>
      </c>
    </row>
    <row r="154" spans="1:2">
      <c r="A154" t="s">
        <v>567</v>
      </c>
      <c r="B154" t="s">
        <v>3458</v>
      </c>
    </row>
    <row r="155" spans="1:2">
      <c r="A155" t="s">
        <v>569</v>
      </c>
      <c r="B155" t="s">
        <v>3459</v>
      </c>
    </row>
    <row r="156" spans="1:2">
      <c r="A156" t="s">
        <v>571</v>
      </c>
      <c r="B156" t="s">
        <v>3460</v>
      </c>
    </row>
    <row r="157" spans="1:2">
      <c r="A157" t="s">
        <v>574</v>
      </c>
      <c r="B157" t="s">
        <v>3461</v>
      </c>
    </row>
    <row r="158" spans="1:2">
      <c r="A158" t="s">
        <v>576</v>
      </c>
      <c r="B158" t="s">
        <v>3462</v>
      </c>
    </row>
    <row r="159" spans="1:2">
      <c r="A159" t="s">
        <v>537</v>
      </c>
      <c r="B159" t="s">
        <v>3463</v>
      </c>
    </row>
    <row r="160" spans="1:2">
      <c r="A160" t="s">
        <v>579</v>
      </c>
      <c r="B160" t="s">
        <v>3464</v>
      </c>
    </row>
    <row r="161" spans="1:2">
      <c r="A161" t="s">
        <v>581</v>
      </c>
      <c r="B161" t="s">
        <v>3465</v>
      </c>
    </row>
    <row r="162" spans="1:2">
      <c r="A162" t="s">
        <v>583</v>
      </c>
      <c r="B162" t="s">
        <v>3466</v>
      </c>
    </row>
    <row r="163" spans="1:2">
      <c r="A163" t="s">
        <v>585</v>
      </c>
      <c r="B163" t="s">
        <v>3467</v>
      </c>
    </row>
    <row r="164" spans="1:2">
      <c r="A164" t="s">
        <v>588</v>
      </c>
      <c r="B164" t="s">
        <v>3468</v>
      </c>
    </row>
    <row r="165" spans="1:2">
      <c r="A165" t="s">
        <v>590</v>
      </c>
      <c r="B165" t="s">
        <v>3469</v>
      </c>
    </row>
    <row r="166" spans="1:2">
      <c r="A166" t="s">
        <v>592</v>
      </c>
      <c r="B166" t="s">
        <v>3470</v>
      </c>
    </row>
    <row r="167" spans="1:2">
      <c r="A167" t="s">
        <v>594</v>
      </c>
      <c r="B167" t="s">
        <v>3471</v>
      </c>
    </row>
    <row r="168" spans="1:2">
      <c r="A168" t="s">
        <v>525</v>
      </c>
      <c r="B168" t="s">
        <v>3472</v>
      </c>
    </row>
    <row r="169" spans="1:2">
      <c r="A169" t="s">
        <v>459</v>
      </c>
      <c r="B169" t="s">
        <v>3473</v>
      </c>
    </row>
    <row r="170" spans="1:2">
      <c r="A170" t="s">
        <v>598</v>
      </c>
      <c r="B170" t="s">
        <v>3474</v>
      </c>
    </row>
    <row r="171" spans="1:2">
      <c r="A171" t="s">
        <v>600</v>
      </c>
      <c r="B171" t="s">
        <v>3475</v>
      </c>
    </row>
    <row r="172" spans="1:2">
      <c r="A172" t="s">
        <v>603</v>
      </c>
      <c r="B172" t="s">
        <v>3476</v>
      </c>
    </row>
    <row r="173" spans="1:2">
      <c r="A173" t="s">
        <v>605</v>
      </c>
      <c r="B173" t="s">
        <v>3477</v>
      </c>
    </row>
    <row r="174" spans="1:2">
      <c r="A174" t="s">
        <v>553</v>
      </c>
      <c r="B174" t="s">
        <v>3478</v>
      </c>
    </row>
    <row r="175" spans="1:2">
      <c r="A175" t="s">
        <v>609</v>
      </c>
      <c r="B175" t="s">
        <v>3479</v>
      </c>
    </row>
    <row r="176" spans="1:2">
      <c r="A176" t="s">
        <v>611</v>
      </c>
      <c r="B176" t="s">
        <v>3480</v>
      </c>
    </row>
    <row r="177" spans="1:2">
      <c r="A177" t="s">
        <v>613</v>
      </c>
      <c r="B177" t="s">
        <v>3481</v>
      </c>
    </row>
    <row r="178" spans="1:2">
      <c r="A178" t="s">
        <v>615</v>
      </c>
      <c r="B178" t="s">
        <v>3482</v>
      </c>
    </row>
    <row r="179" spans="1:2">
      <c r="A179" t="s">
        <v>617</v>
      </c>
      <c r="B179" t="s">
        <v>3483</v>
      </c>
    </row>
    <row r="180" spans="1:2">
      <c r="A180" t="s">
        <v>476</v>
      </c>
      <c r="B180" t="s">
        <v>3484</v>
      </c>
    </row>
    <row r="181" spans="1:2">
      <c r="A181" t="s">
        <v>620</v>
      </c>
      <c r="B181" t="s">
        <v>3485</v>
      </c>
    </row>
    <row r="182" spans="1:2">
      <c r="A182" t="s">
        <v>623</v>
      </c>
      <c r="B182" t="s">
        <v>3486</v>
      </c>
    </row>
    <row r="183" spans="1:2">
      <c r="A183" t="s">
        <v>625</v>
      </c>
      <c r="B183" t="s">
        <v>3487</v>
      </c>
    </row>
    <row r="184" spans="1:2">
      <c r="A184" t="s">
        <v>627</v>
      </c>
      <c r="B184" t="s">
        <v>3488</v>
      </c>
    </row>
    <row r="185" spans="1:2">
      <c r="A185" t="s">
        <v>629</v>
      </c>
      <c r="B185" t="s">
        <v>3489</v>
      </c>
    </row>
    <row r="186" spans="1:2">
      <c r="A186" t="s">
        <v>631</v>
      </c>
      <c r="B186" t="s">
        <v>3490</v>
      </c>
    </row>
    <row r="187" spans="1:2">
      <c r="A187" t="s">
        <v>633</v>
      </c>
      <c r="B187" t="s">
        <v>3491</v>
      </c>
    </row>
    <row r="188" spans="1:2">
      <c r="A188" t="s">
        <v>635</v>
      </c>
      <c r="B188" t="s">
        <v>3492</v>
      </c>
    </row>
    <row r="189" spans="1:2">
      <c r="A189" t="s">
        <v>637</v>
      </c>
      <c r="B189" t="s">
        <v>3493</v>
      </c>
    </row>
    <row r="190" spans="1:2">
      <c r="A190" t="s">
        <v>639</v>
      </c>
      <c r="B190" t="s">
        <v>3494</v>
      </c>
    </row>
    <row r="191" spans="1:2">
      <c r="A191" t="s">
        <v>641</v>
      </c>
      <c r="B191" t="s">
        <v>3495</v>
      </c>
    </row>
    <row r="192" spans="1:2">
      <c r="A192" t="s">
        <v>644</v>
      </c>
      <c r="B192" t="s">
        <v>3496</v>
      </c>
    </row>
    <row r="193" spans="1:2">
      <c r="A193" t="s">
        <v>646</v>
      </c>
      <c r="B193" t="s">
        <v>3497</v>
      </c>
    </row>
    <row r="194" spans="1:2">
      <c r="A194" t="s">
        <v>648</v>
      </c>
      <c r="B194" t="s">
        <v>3498</v>
      </c>
    </row>
    <row r="195" spans="1:2">
      <c r="A195" t="s">
        <v>650</v>
      </c>
      <c r="B195" t="s">
        <v>3499</v>
      </c>
    </row>
    <row r="196" spans="1:2">
      <c r="A196" t="s">
        <v>652</v>
      </c>
      <c r="B196" t="s">
        <v>3500</v>
      </c>
    </row>
    <row r="197" spans="1:2">
      <c r="A197" t="s">
        <v>654</v>
      </c>
      <c r="B197" t="s">
        <v>3501</v>
      </c>
    </row>
    <row r="198" spans="1:2">
      <c r="A198" t="s">
        <v>656</v>
      </c>
      <c r="B198" t="s">
        <v>3502</v>
      </c>
    </row>
    <row r="199" spans="1:2">
      <c r="A199" t="s">
        <v>659</v>
      </c>
      <c r="B199" t="s">
        <v>3503</v>
      </c>
    </row>
    <row r="200" spans="1:2">
      <c r="A200" t="s">
        <v>661</v>
      </c>
      <c r="B200" t="s">
        <v>3504</v>
      </c>
    </row>
    <row r="201" spans="1:2">
      <c r="A201" t="s">
        <v>663</v>
      </c>
      <c r="B201" t="s">
        <v>3505</v>
      </c>
    </row>
    <row r="202" spans="1:2">
      <c r="A202" t="s">
        <v>665</v>
      </c>
      <c r="B202" t="s">
        <v>3506</v>
      </c>
    </row>
    <row r="203" spans="1:2">
      <c r="A203" t="s">
        <v>667</v>
      </c>
      <c r="B203" t="s">
        <v>3507</v>
      </c>
    </row>
    <row r="204" spans="1:2">
      <c r="A204" t="s">
        <v>669</v>
      </c>
      <c r="B204" t="s">
        <v>3508</v>
      </c>
    </row>
    <row r="205" spans="1:2">
      <c r="A205" t="s">
        <v>671</v>
      </c>
      <c r="B205" t="s">
        <v>3509</v>
      </c>
    </row>
    <row r="206" spans="1:2">
      <c r="A206" t="s">
        <v>674</v>
      </c>
      <c r="B206" t="s">
        <v>3510</v>
      </c>
    </row>
    <row r="207" spans="1:2">
      <c r="A207" t="s">
        <v>677</v>
      </c>
      <c r="B207" t="s">
        <v>3511</v>
      </c>
    </row>
    <row r="208" spans="1:2">
      <c r="A208" t="s">
        <v>680</v>
      </c>
      <c r="B208" t="s">
        <v>3512</v>
      </c>
    </row>
    <row r="209" spans="1:2">
      <c r="A209" t="s">
        <v>682</v>
      </c>
      <c r="B209" t="s">
        <v>3513</v>
      </c>
    </row>
    <row r="210" spans="1:2">
      <c r="A210" t="s">
        <v>684</v>
      </c>
      <c r="B210" t="s">
        <v>3514</v>
      </c>
    </row>
    <row r="211" spans="1:2">
      <c r="A211" t="s">
        <v>3157</v>
      </c>
      <c r="B211" t="s">
        <v>3515</v>
      </c>
    </row>
    <row r="212" spans="1:2">
      <c r="A212" t="s">
        <v>3158</v>
      </c>
      <c r="B212" t="s">
        <v>3516</v>
      </c>
    </row>
    <row r="213" spans="1:2">
      <c r="A213" t="s">
        <v>3159</v>
      </c>
      <c r="B213" t="s">
        <v>3517</v>
      </c>
    </row>
    <row r="214" spans="1:2">
      <c r="A214" t="s">
        <v>3160</v>
      </c>
      <c r="B214" t="s">
        <v>3518</v>
      </c>
    </row>
    <row r="215" spans="1:2">
      <c r="A215" t="s">
        <v>3161</v>
      </c>
      <c r="B215" t="s">
        <v>3519</v>
      </c>
    </row>
    <row r="216" spans="1:2">
      <c r="A216" t="s">
        <v>3162</v>
      </c>
      <c r="B216" t="s">
        <v>3520</v>
      </c>
    </row>
    <row r="217" spans="1:2">
      <c r="A217" t="s">
        <v>3163</v>
      </c>
      <c r="B217" t="s">
        <v>3521</v>
      </c>
    </row>
    <row r="218" spans="1:2">
      <c r="A218" t="s">
        <v>3164</v>
      </c>
      <c r="B218" t="s">
        <v>3522</v>
      </c>
    </row>
    <row r="219" spans="1:2">
      <c r="A219" t="s">
        <v>3165</v>
      </c>
      <c r="B219" t="s">
        <v>3523</v>
      </c>
    </row>
    <row r="220" spans="1:2">
      <c r="A220" t="s">
        <v>3166</v>
      </c>
      <c r="B220" t="s">
        <v>3524</v>
      </c>
    </row>
    <row r="221" spans="1:2">
      <c r="A221" t="s">
        <v>3167</v>
      </c>
      <c r="B221" t="s">
        <v>3525</v>
      </c>
    </row>
    <row r="222" spans="1:2">
      <c r="A222" t="s">
        <v>3168</v>
      </c>
      <c r="B222" t="s">
        <v>3526</v>
      </c>
    </row>
    <row r="223" spans="1:2">
      <c r="A223" t="s">
        <v>3169</v>
      </c>
      <c r="B223" t="s">
        <v>3527</v>
      </c>
    </row>
    <row r="224" spans="1:2">
      <c r="A224" t="s">
        <v>3170</v>
      </c>
      <c r="B224" t="s">
        <v>3528</v>
      </c>
    </row>
    <row r="225" spans="1:2">
      <c r="A225" t="s">
        <v>3171</v>
      </c>
      <c r="B225" t="s">
        <v>3529</v>
      </c>
    </row>
    <row r="226" spans="1:2">
      <c r="A226" t="s">
        <v>3172</v>
      </c>
      <c r="B226" t="s">
        <v>3530</v>
      </c>
    </row>
    <row r="227" spans="1:2">
      <c r="A227" t="s">
        <v>3173</v>
      </c>
      <c r="B227" t="s">
        <v>3531</v>
      </c>
    </row>
    <row r="228" spans="1:2">
      <c r="A228" t="s">
        <v>3174</v>
      </c>
      <c r="B228" t="s">
        <v>3532</v>
      </c>
    </row>
    <row r="229" spans="1:2">
      <c r="A229" t="s">
        <v>3175</v>
      </c>
      <c r="B229" t="s">
        <v>3533</v>
      </c>
    </row>
    <row r="230" spans="1:2">
      <c r="A230" t="s">
        <v>3176</v>
      </c>
      <c r="B230" t="s">
        <v>3534</v>
      </c>
    </row>
    <row r="231" spans="1:2">
      <c r="A231" t="s">
        <v>3177</v>
      </c>
      <c r="B231" t="s">
        <v>3535</v>
      </c>
    </row>
    <row r="232" spans="1:2">
      <c r="A232" t="s">
        <v>3178</v>
      </c>
      <c r="B232" t="s">
        <v>3536</v>
      </c>
    </row>
    <row r="233" spans="1:2">
      <c r="A233" t="s">
        <v>3179</v>
      </c>
      <c r="B233" t="s">
        <v>3537</v>
      </c>
    </row>
    <row r="234" spans="1:2">
      <c r="A234" t="s">
        <v>3180</v>
      </c>
      <c r="B234" t="s">
        <v>3538</v>
      </c>
    </row>
    <row r="235" spans="1:2">
      <c r="A235" t="s">
        <v>3181</v>
      </c>
      <c r="B235" t="s">
        <v>3539</v>
      </c>
    </row>
    <row r="236" spans="1:2">
      <c r="A236" t="s">
        <v>3182</v>
      </c>
      <c r="B236" t="s">
        <v>3540</v>
      </c>
    </row>
    <row r="237" spans="1:2">
      <c r="A237" t="s">
        <v>3183</v>
      </c>
      <c r="B237" t="s">
        <v>3541</v>
      </c>
    </row>
    <row r="238" spans="1:2">
      <c r="A238" t="s">
        <v>3184</v>
      </c>
      <c r="B238" t="s">
        <v>3542</v>
      </c>
    </row>
    <row r="239" spans="1:2">
      <c r="A239" t="s">
        <v>3185</v>
      </c>
      <c r="B239" t="s">
        <v>3543</v>
      </c>
    </row>
    <row r="240" spans="1:2">
      <c r="A240" t="s">
        <v>3186</v>
      </c>
      <c r="B240" t="s">
        <v>3544</v>
      </c>
    </row>
    <row r="241" spans="1:2">
      <c r="A241" t="s">
        <v>3187</v>
      </c>
      <c r="B241" t="s">
        <v>3545</v>
      </c>
    </row>
    <row r="242" spans="1:2">
      <c r="A242" t="s">
        <v>3188</v>
      </c>
      <c r="B242" t="s">
        <v>3546</v>
      </c>
    </row>
    <row r="243" spans="1:2">
      <c r="A243" t="s">
        <v>3189</v>
      </c>
      <c r="B243" t="s">
        <v>3547</v>
      </c>
    </row>
    <row r="244" spans="1:2">
      <c r="A244" t="s">
        <v>3190</v>
      </c>
      <c r="B244" t="s">
        <v>3548</v>
      </c>
    </row>
    <row r="245" spans="1:2">
      <c r="A245" t="s">
        <v>3191</v>
      </c>
      <c r="B245" t="s">
        <v>3549</v>
      </c>
    </row>
    <row r="246" spans="1:2">
      <c r="A246" t="s">
        <v>3192</v>
      </c>
      <c r="B246" t="s">
        <v>3550</v>
      </c>
    </row>
    <row r="247" spans="1:2">
      <c r="A247" t="s">
        <v>3193</v>
      </c>
      <c r="B247" t="s">
        <v>3551</v>
      </c>
    </row>
    <row r="248" spans="1:2">
      <c r="A248" t="s">
        <v>3194</v>
      </c>
      <c r="B248" t="s">
        <v>3552</v>
      </c>
    </row>
    <row r="249" spans="1:2">
      <c r="A249" t="s">
        <v>3195</v>
      </c>
      <c r="B249" t="s">
        <v>3553</v>
      </c>
    </row>
    <row r="250" spans="1:2">
      <c r="A250" t="s">
        <v>3196</v>
      </c>
      <c r="B250" t="s">
        <v>3554</v>
      </c>
    </row>
    <row r="251" spans="1:2">
      <c r="A251" t="s">
        <v>3197</v>
      </c>
      <c r="B251" t="s">
        <v>3555</v>
      </c>
    </row>
    <row r="252" spans="1:2">
      <c r="A252" t="s">
        <v>3198</v>
      </c>
      <c r="B252" t="s">
        <v>3556</v>
      </c>
    </row>
    <row r="253" spans="1:2">
      <c r="A253" t="s">
        <v>3199</v>
      </c>
      <c r="B253" t="s">
        <v>3557</v>
      </c>
    </row>
    <row r="254" spans="1:2">
      <c r="A254" t="s">
        <v>3200</v>
      </c>
      <c r="B254" t="s">
        <v>3200</v>
      </c>
    </row>
    <row r="255" spans="1:2">
      <c r="A255" t="s">
        <v>3201</v>
      </c>
      <c r="B255" t="s">
        <v>3558</v>
      </c>
    </row>
    <row r="256" spans="1:2">
      <c r="A256" t="s">
        <v>3202</v>
      </c>
      <c r="B256" t="s">
        <v>3559</v>
      </c>
    </row>
    <row r="257" spans="1:2">
      <c r="A257" t="s">
        <v>3203</v>
      </c>
      <c r="B257" t="s">
        <v>3560</v>
      </c>
    </row>
    <row r="258" spans="1:2">
      <c r="A258" t="s">
        <v>3204</v>
      </c>
      <c r="B258" t="s">
        <v>3561</v>
      </c>
    </row>
    <row r="259" spans="1:2">
      <c r="A259" t="s">
        <v>3205</v>
      </c>
      <c r="B259" t="s">
        <v>3562</v>
      </c>
    </row>
    <row r="260" spans="1:2">
      <c r="A260" t="s">
        <v>3206</v>
      </c>
      <c r="B260" t="s">
        <v>3563</v>
      </c>
    </row>
    <row r="261" spans="1:2">
      <c r="A261" t="s">
        <v>3207</v>
      </c>
      <c r="B261" t="s">
        <v>3564</v>
      </c>
    </row>
    <row r="262" spans="1:2">
      <c r="A262" t="s">
        <v>3208</v>
      </c>
      <c r="B262" t="s">
        <v>3565</v>
      </c>
    </row>
    <row r="263" spans="1:2">
      <c r="A263" t="s">
        <v>3209</v>
      </c>
      <c r="B263" t="s">
        <v>3566</v>
      </c>
    </row>
    <row r="264" spans="1:2">
      <c r="A264" t="s">
        <v>3210</v>
      </c>
      <c r="B264" t="s">
        <v>3567</v>
      </c>
    </row>
    <row r="265" spans="1:2">
      <c r="A265" t="s">
        <v>3211</v>
      </c>
      <c r="B265" t="s">
        <v>3568</v>
      </c>
    </row>
    <row r="266" spans="1:2">
      <c r="A266" t="s">
        <v>3212</v>
      </c>
      <c r="B266" t="s">
        <v>3569</v>
      </c>
    </row>
    <row r="267" spans="1:2">
      <c r="A267" t="s">
        <v>3213</v>
      </c>
      <c r="B267" t="s">
        <v>3570</v>
      </c>
    </row>
    <row r="268" spans="1:2">
      <c r="A268" t="s">
        <v>3214</v>
      </c>
      <c r="B268" t="s">
        <v>3571</v>
      </c>
    </row>
    <row r="269" spans="1:2">
      <c r="A269" t="s">
        <v>3215</v>
      </c>
      <c r="B269" t="s">
        <v>3572</v>
      </c>
    </row>
    <row r="270" spans="1:2">
      <c r="A270" t="s">
        <v>3216</v>
      </c>
      <c r="B270" t="s">
        <v>3573</v>
      </c>
    </row>
    <row r="271" spans="1:2">
      <c r="A271" t="s">
        <v>3217</v>
      </c>
      <c r="B271" t="s">
        <v>3574</v>
      </c>
    </row>
    <row r="272" spans="1:2">
      <c r="A272" t="s">
        <v>3218</v>
      </c>
      <c r="B272" t="s">
        <v>3575</v>
      </c>
    </row>
    <row r="273" spans="1:2">
      <c r="A273" t="s">
        <v>3219</v>
      </c>
      <c r="B273" t="s">
        <v>3576</v>
      </c>
    </row>
    <row r="274" spans="1:2">
      <c r="A274" t="s">
        <v>3220</v>
      </c>
      <c r="B274" t="s">
        <v>3577</v>
      </c>
    </row>
    <row r="275" spans="1:2">
      <c r="A275" t="s">
        <v>3084</v>
      </c>
      <c r="B275" t="s">
        <v>3578</v>
      </c>
    </row>
    <row r="276" spans="1:2">
      <c r="A276" t="s">
        <v>3221</v>
      </c>
      <c r="B276" t="s">
        <v>3579</v>
      </c>
    </row>
    <row r="277" spans="1:2">
      <c r="A277" t="s">
        <v>3222</v>
      </c>
      <c r="B277" t="s">
        <v>3580</v>
      </c>
    </row>
    <row r="278" spans="1:2">
      <c r="A278" t="s">
        <v>3223</v>
      </c>
      <c r="B278" t="s">
        <v>3581</v>
      </c>
    </row>
    <row r="279" spans="1:2">
      <c r="A279" t="s">
        <v>3224</v>
      </c>
      <c r="B279" t="s">
        <v>3582</v>
      </c>
    </row>
    <row r="280" spans="1:2">
      <c r="A280" t="s">
        <v>3225</v>
      </c>
      <c r="B280" t="s">
        <v>3583</v>
      </c>
    </row>
    <row r="281" spans="1:2">
      <c r="A281" t="s">
        <v>3226</v>
      </c>
      <c r="B281" t="s">
        <v>3584</v>
      </c>
    </row>
    <row r="282" spans="1:2">
      <c r="A282" t="s">
        <v>3227</v>
      </c>
      <c r="B282" t="s">
        <v>3585</v>
      </c>
    </row>
    <row r="283" spans="1:2">
      <c r="A283" t="s">
        <v>3228</v>
      </c>
      <c r="B283" t="s">
        <v>3586</v>
      </c>
    </row>
    <row r="284" spans="1:2">
      <c r="A284" t="s">
        <v>3229</v>
      </c>
      <c r="B284" t="s">
        <v>3587</v>
      </c>
    </row>
    <row r="285" spans="1:2">
      <c r="A285" t="s">
        <v>3230</v>
      </c>
      <c r="B285" t="s">
        <v>3588</v>
      </c>
    </row>
    <row r="286" spans="1:2">
      <c r="A286" t="s">
        <v>3231</v>
      </c>
      <c r="B286" t="s">
        <v>3589</v>
      </c>
    </row>
    <row r="287" spans="1:2">
      <c r="A287" t="s">
        <v>3232</v>
      </c>
      <c r="B287" t="s">
        <v>3590</v>
      </c>
    </row>
    <row r="288" spans="1:2">
      <c r="A288" t="s">
        <v>3233</v>
      </c>
      <c r="B288" t="s">
        <v>3591</v>
      </c>
    </row>
    <row r="289" spans="1:2">
      <c r="A289" t="s">
        <v>3234</v>
      </c>
      <c r="B289" t="s">
        <v>3592</v>
      </c>
    </row>
    <row r="290" spans="1:2">
      <c r="A290" t="s">
        <v>3235</v>
      </c>
      <c r="B290" t="s">
        <v>3593</v>
      </c>
    </row>
    <row r="291" spans="1:2">
      <c r="A291" t="s">
        <v>3236</v>
      </c>
      <c r="B291" t="s">
        <v>3594</v>
      </c>
    </row>
    <row r="292" spans="1:2">
      <c r="A292" t="s">
        <v>3237</v>
      </c>
      <c r="B292" t="s">
        <v>3595</v>
      </c>
    </row>
    <row r="293" spans="1:2">
      <c r="A293" t="s">
        <v>3238</v>
      </c>
      <c r="B293" t="s">
        <v>3596</v>
      </c>
    </row>
    <row r="294" spans="1:2">
      <c r="A294" t="s">
        <v>3239</v>
      </c>
      <c r="B294" t="s">
        <v>3597</v>
      </c>
    </row>
    <row r="295" spans="1:2">
      <c r="A295" t="s">
        <v>3240</v>
      </c>
      <c r="B295" t="s">
        <v>3598</v>
      </c>
    </row>
    <row r="296" spans="1:2">
      <c r="A296" t="s">
        <v>3241</v>
      </c>
      <c r="B296" t="s">
        <v>3599</v>
      </c>
    </row>
    <row r="297" spans="1:2">
      <c r="A297" t="s">
        <v>3242</v>
      </c>
      <c r="B297" t="s">
        <v>3600</v>
      </c>
    </row>
    <row r="298" spans="1:2">
      <c r="A298" t="s">
        <v>3243</v>
      </c>
      <c r="B298" t="s">
        <v>3601</v>
      </c>
    </row>
    <row r="299" spans="1:2">
      <c r="A299" t="s">
        <v>3244</v>
      </c>
      <c r="B299" t="s">
        <v>3602</v>
      </c>
    </row>
    <row r="300" spans="1:2">
      <c r="A300" t="s">
        <v>3245</v>
      </c>
      <c r="B300" t="s">
        <v>3603</v>
      </c>
    </row>
    <row r="301" spans="1:2">
      <c r="A301" t="s">
        <v>3246</v>
      </c>
      <c r="B301" t="s">
        <v>3604</v>
      </c>
    </row>
    <row r="302" spans="1:2">
      <c r="A302" t="s">
        <v>3247</v>
      </c>
      <c r="B302" t="s">
        <v>3605</v>
      </c>
    </row>
    <row r="303" spans="1:2">
      <c r="A303" t="s">
        <v>3248</v>
      </c>
      <c r="B303" t="s">
        <v>3606</v>
      </c>
    </row>
    <row r="304" spans="1:2">
      <c r="A304" t="s">
        <v>3249</v>
      </c>
      <c r="B304" t="s">
        <v>3607</v>
      </c>
    </row>
    <row r="305" spans="1:2">
      <c r="A305" t="s">
        <v>3250</v>
      </c>
      <c r="B305" t="s">
        <v>3608</v>
      </c>
    </row>
    <row r="306" spans="1:2">
      <c r="A306" t="s">
        <v>3251</v>
      </c>
      <c r="B306" t="s">
        <v>3609</v>
      </c>
    </row>
    <row r="307" spans="1:2">
      <c r="A307" t="s">
        <v>3252</v>
      </c>
      <c r="B307" t="s">
        <v>3610</v>
      </c>
    </row>
    <row r="308" spans="1:2">
      <c r="A308" t="s">
        <v>3253</v>
      </c>
      <c r="B308" t="s">
        <v>3611</v>
      </c>
    </row>
    <row r="309" spans="1:2">
      <c r="A309" t="s">
        <v>3254</v>
      </c>
      <c r="B309" t="s">
        <v>3612</v>
      </c>
    </row>
    <row r="310" spans="1:2">
      <c r="A310" t="s">
        <v>3255</v>
      </c>
      <c r="B310" t="s">
        <v>3613</v>
      </c>
    </row>
    <row r="311" spans="1:2">
      <c r="A311" t="s">
        <v>3256</v>
      </c>
      <c r="B311" t="s">
        <v>3614</v>
      </c>
    </row>
    <row r="312" spans="1:2">
      <c r="A312" t="s">
        <v>3257</v>
      </c>
      <c r="B312" t="s">
        <v>3615</v>
      </c>
    </row>
    <row r="313" spans="1:2">
      <c r="A313" t="s">
        <v>3258</v>
      </c>
      <c r="B313" t="s">
        <v>3616</v>
      </c>
    </row>
    <row r="314" spans="1:2">
      <c r="A314" t="s">
        <v>3259</v>
      </c>
      <c r="B314" t="s">
        <v>3617</v>
      </c>
    </row>
    <row r="315" spans="1:2">
      <c r="A315" t="s">
        <v>3260</v>
      </c>
      <c r="B315" t="s">
        <v>3618</v>
      </c>
    </row>
    <row r="316" spans="1:2">
      <c r="A316" t="s">
        <v>3261</v>
      </c>
      <c r="B316" t="s">
        <v>3619</v>
      </c>
    </row>
    <row r="317" spans="1:2">
      <c r="A317" t="s">
        <v>3262</v>
      </c>
      <c r="B317" t="s">
        <v>3620</v>
      </c>
    </row>
    <row r="318" spans="1:2">
      <c r="A318" t="s">
        <v>3263</v>
      </c>
      <c r="B318" t="s">
        <v>3621</v>
      </c>
    </row>
    <row r="319" spans="1:2">
      <c r="A319" t="s">
        <v>3264</v>
      </c>
      <c r="B319" t="s">
        <v>3622</v>
      </c>
    </row>
    <row r="320" spans="1:2">
      <c r="A320" t="s">
        <v>3265</v>
      </c>
      <c r="B320" t="s">
        <v>3623</v>
      </c>
    </row>
    <row r="321" spans="1:2">
      <c r="A321" t="s">
        <v>3266</v>
      </c>
      <c r="B321" t="s">
        <v>3624</v>
      </c>
    </row>
    <row r="322" spans="1:2">
      <c r="A322" t="s">
        <v>3267</v>
      </c>
      <c r="B322" t="s">
        <v>3625</v>
      </c>
    </row>
    <row r="323" spans="1:2">
      <c r="A323" t="s">
        <v>3268</v>
      </c>
      <c r="B323" t="s">
        <v>3626</v>
      </c>
    </row>
    <row r="324" spans="1:2">
      <c r="A324" t="s">
        <v>3269</v>
      </c>
      <c r="B324" t="s">
        <v>3627</v>
      </c>
    </row>
    <row r="325" spans="1:2">
      <c r="A325" t="s">
        <v>3270</v>
      </c>
      <c r="B325" t="s">
        <v>3628</v>
      </c>
    </row>
    <row r="326" spans="1:2">
      <c r="A326" t="s">
        <v>3271</v>
      </c>
      <c r="B326" t="s">
        <v>3629</v>
      </c>
    </row>
    <row r="327" spans="1:2">
      <c r="A327" t="s">
        <v>3272</v>
      </c>
      <c r="B327" t="s">
        <v>3630</v>
      </c>
    </row>
    <row r="328" spans="1:2">
      <c r="A328" t="s">
        <v>3273</v>
      </c>
      <c r="B328" t="s">
        <v>3631</v>
      </c>
    </row>
    <row r="329" spans="1:2">
      <c r="A329" t="s">
        <v>3274</v>
      </c>
      <c r="B329" t="s">
        <v>3632</v>
      </c>
    </row>
    <row r="330" spans="1:2">
      <c r="A330" t="s">
        <v>3275</v>
      </c>
      <c r="B330" t="s">
        <v>3633</v>
      </c>
    </row>
    <row r="331" spans="1:2">
      <c r="A331" t="s">
        <v>3276</v>
      </c>
      <c r="B331" t="s">
        <v>3634</v>
      </c>
    </row>
    <row r="332" spans="1:2">
      <c r="A332" t="s">
        <v>3277</v>
      </c>
      <c r="B332" t="s">
        <v>3635</v>
      </c>
    </row>
    <row r="333" spans="1:2">
      <c r="A333" t="s">
        <v>3278</v>
      </c>
      <c r="B333" t="s">
        <v>3636</v>
      </c>
    </row>
    <row r="334" spans="1:2">
      <c r="A334" t="s">
        <v>3279</v>
      </c>
      <c r="B334" t="s">
        <v>3637</v>
      </c>
    </row>
    <row r="335" spans="1:2">
      <c r="A335" t="s">
        <v>3280</v>
      </c>
      <c r="B335" t="s">
        <v>3638</v>
      </c>
    </row>
    <row r="336" spans="1:2">
      <c r="A336" t="s">
        <v>3281</v>
      </c>
      <c r="B336" t="s">
        <v>3639</v>
      </c>
    </row>
    <row r="337" spans="1:2">
      <c r="A337" t="s">
        <v>3282</v>
      </c>
      <c r="B337" t="s">
        <v>3640</v>
      </c>
    </row>
    <row r="338" spans="1:2">
      <c r="A338" t="s">
        <v>3283</v>
      </c>
      <c r="B338" t="s">
        <v>3641</v>
      </c>
    </row>
    <row r="339" spans="1:2">
      <c r="A339" t="s">
        <v>3284</v>
      </c>
      <c r="B339" t="s">
        <v>3642</v>
      </c>
    </row>
    <row r="340" spans="1:2">
      <c r="A340" t="s">
        <v>3285</v>
      </c>
      <c r="B340" t="s">
        <v>3643</v>
      </c>
    </row>
    <row r="341" spans="1:2">
      <c r="A341" t="s">
        <v>3286</v>
      </c>
      <c r="B341" t="s">
        <v>3644</v>
      </c>
    </row>
    <row r="342" spans="1:2">
      <c r="A342" t="s">
        <v>3287</v>
      </c>
      <c r="B342" t="s">
        <v>3645</v>
      </c>
    </row>
    <row r="343" spans="1:2">
      <c r="A343" t="s">
        <v>3288</v>
      </c>
      <c r="B343" t="s">
        <v>3646</v>
      </c>
    </row>
    <row r="344" spans="1:2">
      <c r="A344" t="s">
        <v>3289</v>
      </c>
      <c r="B344" t="s">
        <v>3647</v>
      </c>
    </row>
    <row r="345" spans="1:2">
      <c r="A345" t="s">
        <v>3290</v>
      </c>
      <c r="B345" t="s">
        <v>3648</v>
      </c>
    </row>
    <row r="346" spans="1:2">
      <c r="A346" t="s">
        <v>3291</v>
      </c>
      <c r="B346" t="s">
        <v>3649</v>
      </c>
    </row>
    <row r="347" spans="1:2">
      <c r="A347" t="s">
        <v>3292</v>
      </c>
      <c r="B347" t="s">
        <v>3650</v>
      </c>
    </row>
    <row r="348" spans="1:2">
      <c r="A348" t="s">
        <v>3293</v>
      </c>
      <c r="B348" t="s">
        <v>3651</v>
      </c>
    </row>
    <row r="349" spans="1:2">
      <c r="A349" t="s">
        <v>3294</v>
      </c>
      <c r="B349" t="s">
        <v>3652</v>
      </c>
    </row>
    <row r="350" spans="1:2">
      <c r="A350" t="s">
        <v>3295</v>
      </c>
      <c r="B350" t="s">
        <v>3653</v>
      </c>
    </row>
    <row r="351" spans="1:2">
      <c r="A351" t="s">
        <v>3296</v>
      </c>
      <c r="B351" t="s">
        <v>3654</v>
      </c>
    </row>
    <row r="352" spans="1:2">
      <c r="A352" t="s">
        <v>3297</v>
      </c>
      <c r="B352" t="s">
        <v>3655</v>
      </c>
    </row>
    <row r="353" spans="1:2">
      <c r="A353" t="s">
        <v>3298</v>
      </c>
      <c r="B353" t="s">
        <v>3656</v>
      </c>
    </row>
    <row r="354" spans="1:2">
      <c r="A354" t="s">
        <v>3299</v>
      </c>
      <c r="B354" t="s">
        <v>3657</v>
      </c>
    </row>
    <row r="355" spans="1:2">
      <c r="A355" t="s">
        <v>3300</v>
      </c>
      <c r="B355" t="s">
        <v>3658</v>
      </c>
    </row>
    <row r="356" spans="1:2">
      <c r="A356" t="s">
        <v>3301</v>
      </c>
      <c r="B356" t="s">
        <v>3659</v>
      </c>
    </row>
    <row r="357" spans="1:2">
      <c r="A357" t="s">
        <v>3302</v>
      </c>
      <c r="B357" t="s">
        <v>3660</v>
      </c>
    </row>
    <row r="358" spans="1:2">
      <c r="A358" t="s">
        <v>3303</v>
      </c>
      <c r="B358" t="s">
        <v>3661</v>
      </c>
    </row>
    <row r="359" spans="1:2">
      <c r="A359" t="s">
        <v>3304</v>
      </c>
      <c r="B359" t="s">
        <v>3662</v>
      </c>
    </row>
    <row r="360" spans="1:2">
      <c r="A360" t="s">
        <v>3305</v>
      </c>
      <c r="B360" t="s">
        <v>3663</v>
      </c>
    </row>
  </sheetData>
  <phoneticPr fontId="1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179"/>
  <sheetViews>
    <sheetView topLeftCell="A46" workbookViewId="0"/>
  </sheetViews>
  <sheetFormatPr defaultColWidth="12.6640625" defaultRowHeight="15.75" customHeight="1"/>
  <sheetData>
    <row r="1" spans="1:6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</row>
    <row r="2" spans="1:6">
      <c r="A2" s="1" t="str">
        <f ca="1">IFERROR(__xludf.DUMMYFUNCTION("SORT(FILTER('声優一覧'!A2:F1001, ( ('声優一覧'!D2:D1001=""表示"") * ('声優一覧'!C2:C1001&lt;&gt;""F"") ) + ISNUMBER(MATCH('声優一覧'!B2:B1001, {}, 0))), 5, FALSE)
"),"va_083")</f>
        <v>va_083</v>
      </c>
      <c r="B2" s="1" t="str">
        <f ca="1">IFERROR(__xludf.DUMMYFUNCTION("""COMPUTED_VALUE"""),"斉藤壮馬")</f>
        <v>斉藤壮馬</v>
      </c>
      <c r="C2" s="1" t="str">
        <f ca="1">IFERROR(__xludf.DUMMYFUNCTION("""COMPUTED_VALUE"""),"T")</f>
        <v>T</v>
      </c>
      <c r="D2" s="1" t="str">
        <f ca="1">IFERROR(__xludf.DUMMYFUNCTION("""COMPUTED_VALUE"""),"表示")</f>
        <v>表示</v>
      </c>
      <c r="E2" s="1">
        <f ca="1">IFERROR(__xludf.DUMMYFUNCTION("""COMPUTED_VALUE"""),27)</f>
        <v>27</v>
      </c>
      <c r="F2" s="1" t="str">
        <f ca="1">IFERROR(__xludf.DUMMYFUNCTION("""COMPUTED_VALUE"""),"•  『ヒプノシスマイク』：夢野幻太郎
•  『アイドリッシュセブン』：九条天
•  『るろうに剣心 -明治剣客浪漫譚-』：緋村剣心
•  『ブルーロック』：千切豹馬
•  『ハイキュー!!』：山口忠
•  『刀剣乱舞』：鶴丸国永
•  『あんさんぶるスターズ！』：葵ひなた／葵ゆうた")</f>
        <v>•  『ヒプノシスマイク』：夢野幻太郎
•  『アイドリッシュセブン』：九条天
•  『るろうに剣心 -明治剣客浪漫譚-』：緋村剣心
•  『ブルーロック』：千切豹馬
•  『ハイキュー!!』：山口忠
•  『刀剣乱舞』：鶴丸国永
•  『あんさんぶるスターズ！』：葵ひなた／葵ゆうた</v>
      </c>
    </row>
    <row r="3" spans="1:6">
      <c r="A3" s="1" t="str">
        <f ca="1">IFERROR(__xludf.DUMMYFUNCTION("""COMPUTED_VALUE"""),"va_161")</f>
        <v>va_161</v>
      </c>
      <c r="B3" s="1" t="str">
        <f ca="1">IFERROR(__xludf.DUMMYFUNCTION("""COMPUTED_VALUE"""),"古川慎")</f>
        <v>古川慎</v>
      </c>
      <c r="C3" s="1" t="str">
        <f ca="1">IFERROR(__xludf.DUMMYFUNCTION("""COMPUTED_VALUE"""),"T")</f>
        <v>T</v>
      </c>
      <c r="D3" s="1" t="str">
        <f ca="1">IFERROR(__xludf.DUMMYFUNCTION("""COMPUTED_VALUE"""),"表示")</f>
        <v>表示</v>
      </c>
      <c r="E3" s="1">
        <f ca="1">IFERROR(__xludf.DUMMYFUNCTION("""COMPUTED_VALUE"""),25)</f>
        <v>25</v>
      </c>
      <c r="F3" s="1" t="str">
        <f ca="1">IFERROR(__xludf.DUMMYFUNCTION("""COMPUTED_VALUE"""),"•  『ワンパンマン』： サイタマ
•  『かぐや様は告らせたい〜天才たちの恋愛頭脳戦〜』： 白銀御行
•  『転生したらスライムだった件』： ベニマル
•  『憂国のモリアーティ』： シャーロック・ホームズ
•  『ゴールデンタイム』： 多田万里
•  『吸血鬼すぐ死ぬ』： ロナルド
•  『機動戦士ガンダム 水星の魔女』： シャディク・ゼネリ")</f>
        <v>•  『ワンパンマン』： サイタマ
•  『かぐや様は告らせたい〜天才たちの恋愛頭脳戦〜』： 白銀御行
•  『転生したらスライムだった件』： ベニマル
•  『憂国のモリアーティ』： シャーロック・ホームズ
•  『ゴールデンタイム』： 多田万里
•  『吸血鬼すぐ死ぬ』： ロナルド
•  『機動戦士ガンダム 水星の魔女』： シャディク・ゼネリ</v>
      </c>
    </row>
    <row r="4" spans="1:6">
      <c r="A4" s="1" t="str">
        <f ca="1">IFERROR(__xludf.DUMMYFUNCTION("""COMPUTED_VALUE"""),"va_048")</f>
        <v>va_048</v>
      </c>
      <c r="B4" s="1" t="str">
        <f ca="1">IFERROR(__xludf.DUMMYFUNCTION("""COMPUTED_VALUE"""),"柿原徹也")</f>
        <v>柿原徹也</v>
      </c>
      <c r="C4" s="1" t="str">
        <f ca="1">IFERROR(__xludf.DUMMYFUNCTION("""COMPUTED_VALUE"""),"T")</f>
        <v>T</v>
      </c>
      <c r="D4" s="1" t="str">
        <f ca="1">IFERROR(__xludf.DUMMYFUNCTION("""COMPUTED_VALUE"""),"表示")</f>
        <v>表示</v>
      </c>
      <c r="E4" s="1">
        <f ca="1">IFERROR(__xludf.DUMMYFUNCTION("""COMPUTED_VALUE"""),23)</f>
        <v>23</v>
      </c>
      <c r="F4" s="1" t="str">
        <f ca="1">IFERROR(__xludf.DUMMYFUNCTION("""COMPUTED_VALUE"""),"•  『FAIRY TAIL』：ナツ・ドラグニル
•  『天元突破グレンラガン』：シモン
•  『弱虫ペダル』：東堂尽八
•  『青の祓魔師』：アマイモン
•  『B-PROJECT』：音済百太郎
•  『ツキウタ。』：葉月陽")</f>
        <v>•  『FAIRY TAIL』：ナツ・ドラグニル
•  『天元突破グレンラガン』：シモン
•  『弱虫ペダル』：東堂尽八
•  『青の祓魔師』：アマイモン
•  『B-PROJECT』：音済百太郎
•  『ツキウタ。』：葉月陽</v>
      </c>
    </row>
    <row r="5" spans="1:6">
      <c r="A5" s="1" t="str">
        <f ca="1">IFERROR(__xludf.DUMMYFUNCTION("""COMPUTED_VALUE"""),"va_169")</f>
        <v>va_169</v>
      </c>
      <c r="B5" s="1" t="str">
        <f ca="1">IFERROR(__xludf.DUMMYFUNCTION("""COMPUTED_VALUE"""),"前野智昭")</f>
        <v>前野智昭</v>
      </c>
      <c r="C5" s="1" t="str">
        <f ca="1">IFERROR(__xludf.DUMMYFUNCTION("""COMPUTED_VALUE"""),"T")</f>
        <v>T</v>
      </c>
      <c r="D5" s="1" t="str">
        <f ca="1">IFERROR(__xludf.DUMMYFUNCTION("""COMPUTED_VALUE"""),"表示")</f>
        <v>表示</v>
      </c>
      <c r="E5" s="1">
        <f ca="1">IFERROR(__xludf.DUMMYFUNCTION("""COMPUTED_VALUE"""),23)</f>
        <v>23</v>
      </c>
      <c r="F5" s="1" t="str">
        <f ca="1">IFERROR(__xludf.DUMMYFUNCTION("""COMPUTED_VALUE"""),"•  『図書館戦争』：堂上篤
•  『うたの☆プリンスさまっ♪』：カミュ
•  『KING OF PRISM』：速水ヒロ
•  『はたらく細胞』：白血球（好中球）
•  『転生したらスライムだった件』：ヴェルドラ
•  『原神』：鍾離
•  『暁のヨナ』：ソン・ハク
•  『刀剣乱舞』：山姥切国広")</f>
        <v>•  『図書館戦争』：堂上篤
•  『うたの☆プリンスさまっ♪』：カミュ
•  『KING OF PRISM』：速水ヒロ
•  『はたらく細胞』：白血球（好中球）
•  『転生したらスライムだった件』：ヴェルドラ
•  『原神』：鍾離
•  『暁のヨナ』：ソン・ハク
•  『刀剣乱舞』：山姥切国広</v>
      </c>
    </row>
    <row r="6" spans="1:6">
      <c r="A6" s="1" t="str">
        <f ca="1">IFERROR(__xludf.DUMMYFUNCTION("""COMPUTED_VALUE"""),"va_030")</f>
        <v>va_030</v>
      </c>
      <c r="B6" s="1" t="str">
        <f ca="1">IFERROR(__xludf.DUMMYFUNCTION("""COMPUTED_VALUE"""),"内田雄馬")</f>
        <v>内田雄馬</v>
      </c>
      <c r="C6" s="1" t="str">
        <f ca="1">IFERROR(__xludf.DUMMYFUNCTION("""COMPUTED_VALUE"""),"T")</f>
        <v>T</v>
      </c>
      <c r="D6" s="1" t="str">
        <f ca="1">IFERROR(__xludf.DUMMYFUNCTION("""COMPUTED_VALUE"""),"表示")</f>
        <v>表示</v>
      </c>
      <c r="E6" s="1">
        <f ca="1">IFERROR(__xludf.DUMMYFUNCTION("""COMPUTED_VALUE"""),21)</f>
        <v>21</v>
      </c>
      <c r="F6" s="1" t="str">
        <f ca="1">IFERROR(__xludf.DUMMYFUNCTION("""COMPUTED_VALUE"""),"•  『呪術廻戦』：伏黒恵
•  『BANANA FISH』：アッシュ・リンクス
•  『ブルーロック』：御影玲王
•  『WIND BREAKER』：桜遥
•  『フルーツバスケット』：草摩夾
•  『マクロスΔ』：ハヤテ・インメルマン
•  『りゅうおうのおしごと！』：九頭竜八一")</f>
        <v>•  『呪術廻戦』：伏黒恵
•  『BANANA FISH』：アッシュ・リンクス
•  『ブルーロック』：御影玲王
•  『WIND BREAKER』：桜遥
•  『フルーツバスケット』：草摩夾
•  『マクロスΔ』：ハヤテ・インメルマン
•  『りゅうおうのおしごと！』：九頭竜八一</v>
      </c>
    </row>
    <row r="7" spans="1:6">
      <c r="A7" s="1" t="str">
        <f ca="1">IFERROR(__xludf.DUMMYFUNCTION("""COMPUTED_VALUE"""),"va_033")</f>
        <v>va_033</v>
      </c>
      <c r="B7" s="1" t="str">
        <f ca="1">IFERROR(__xludf.DUMMYFUNCTION("""COMPUTED_VALUE"""),"梅原裕一郎")</f>
        <v>梅原裕一郎</v>
      </c>
      <c r="C7" s="1" t="str">
        <f ca="1">IFERROR(__xludf.DUMMYFUNCTION("""COMPUTED_VALUE"""),"T")</f>
        <v>T</v>
      </c>
      <c r="D7" s="1" t="str">
        <f ca="1">IFERROR(__xludf.DUMMYFUNCTION("""COMPUTED_VALUE"""),"表示")</f>
        <v>表示</v>
      </c>
      <c r="E7" s="1">
        <f ca="1">IFERROR(__xludf.DUMMYFUNCTION("""COMPUTED_VALUE"""),21)</f>
        <v>21</v>
      </c>
      <c r="F7" s="1" t="str">
        <f ca="1">IFERROR(__xludf.DUMMYFUNCTION("""COMPUTED_VALUE"""),"•  『ゴブリンスレイヤー』：ゴブリンスレイヤー
•  『美男高校地球防衛部LOVE!』：由布院煙
•  『あんさんぶるスターズ！』：蓮巳敬人
•  『アイドルマスター SideM』：鷹城恭二
•  『魔王学院の不適合者』：アノス・ヴォルディゴード
•  『WIND BREAKER』：十亀条
•  『ディズニー ツイステッドワンダーランド』：レオナ・キングスカラー")</f>
        <v>•  『ゴブリンスレイヤー』：ゴブリンスレイヤー
•  『美男高校地球防衛部LOVE!』：由布院煙
•  『あんさんぶるスターズ！』：蓮巳敬人
•  『アイドルマスター SideM』：鷹城恭二
•  『魔王学院の不適合者』：アノス・ヴォルディゴード
•  『WIND BREAKER』：十亀条
•  『ディズニー ツイステッドワンダーランド』：レオナ・キングスカラー</v>
      </c>
    </row>
    <row r="8" spans="1:6">
      <c r="A8" s="1" t="str">
        <f ca="1">IFERROR(__xludf.DUMMYFUNCTION("""COMPUTED_VALUE"""),"va_042")</f>
        <v>va_042</v>
      </c>
      <c r="B8" s="1" t="str">
        <f ca="1">IFERROR(__xludf.DUMMYFUNCTION("""COMPUTED_VALUE"""),"岡本信彦")</f>
        <v>岡本信彦</v>
      </c>
      <c r="C8" s="1" t="str">
        <f ca="1">IFERROR(__xludf.DUMMYFUNCTION("""COMPUTED_VALUE"""),"T")</f>
        <v>T</v>
      </c>
      <c r="D8" s="1" t="str">
        <f ca="1">IFERROR(__xludf.DUMMYFUNCTION("""COMPUTED_VALUE"""),"表示")</f>
        <v>表示</v>
      </c>
      <c r="E8" s="1">
        <f ca="1">IFERROR(__xludf.DUMMYFUNCTION("""COMPUTED_VALUE"""),21)</f>
        <v>21</v>
      </c>
      <c r="F8" s="1" t="str">
        <f ca="1">IFERROR(__xludf.DUMMYFUNCTION("""COMPUTED_VALUE"""),"•  『僕のヒーローアカデミア』：爆豪勝己
•  『青の祓魔師』：奥村燐
•  『とある魔術の禁書目録』：一方通行（アクセラレータ）
•  『ハイキュー!!』：西谷夕
•  『暗殺教室』：赤羽業
•  『葬送のフリーレン』：ヒンメル
•  『鬼滅の刃』：不死川玄弥")</f>
        <v>•  『僕のヒーローアカデミア』：爆豪勝己
•  『青の祓魔師』：奥村燐
•  『とある魔術の禁書目録』：一方通行（アクセラレータ）
•  『ハイキュー!!』：西谷夕
•  『暗殺教室』：赤羽業
•  『葬送のフリーレン』：ヒンメル
•  『鬼滅の刃』：不死川玄弥</v>
      </c>
    </row>
    <row r="9" spans="1:6">
      <c r="A9" s="1" t="str">
        <f ca="1">IFERROR(__xludf.DUMMYFUNCTION("""COMPUTED_VALUE"""),"va_075")</f>
        <v>va_075</v>
      </c>
      <c r="B9" s="1" t="str">
        <f ca="1">IFERROR(__xludf.DUMMYFUNCTION("""COMPUTED_VALUE"""),"小林裕介")</f>
        <v>小林裕介</v>
      </c>
      <c r="C9" s="1" t="str">
        <f ca="1">IFERROR(__xludf.DUMMYFUNCTION("""COMPUTED_VALUE"""),"T")</f>
        <v>T</v>
      </c>
      <c r="D9" s="1" t="str">
        <f ca="1">IFERROR(__xludf.DUMMYFUNCTION("""COMPUTED_VALUE"""),"表示")</f>
        <v>表示</v>
      </c>
      <c r="E9" s="1">
        <f ca="1">IFERROR(__xludf.DUMMYFUNCTION("""COMPUTED_VALUE"""),21)</f>
        <v>21</v>
      </c>
      <c r="F9" s="1" t="str">
        <f ca="1">IFERROR(__xludf.DUMMYFUNCTION("""COMPUTED_VALUE"""),"•  『Re:ゼロから始める異世界生活』：ナツキ・スバル
•  『Dr.STONE』：石神千空
•  『炎炎ノ消防隊』：アーサー・ボイル
•  『アルスラーン戦記』：アルスラーン
•  『ファイアーエムブレム 風花雪月』：ベレト
•  『Paradox Live』：矢戸乃上珂波汰")</f>
        <v>•  『Re:ゼロから始める異世界生活』：ナツキ・スバル
•  『Dr.STONE』：石神千空
•  『炎炎ノ消防隊』：アーサー・ボイル
•  『アルスラーン戦記』：アルスラーン
•  『ファイアーエムブレム 風花雪月』：ベレト
•  『Paradox Live』：矢戸乃上珂波汰</v>
      </c>
    </row>
    <row r="10" spans="1:6">
      <c r="A10" s="1" t="str">
        <f ca="1">IFERROR(__xludf.DUMMYFUNCTION("""COMPUTED_VALUE"""),"va_131")</f>
        <v>va_131</v>
      </c>
      <c r="B10" s="1" t="str">
        <f ca="1">IFERROR(__xludf.DUMMYFUNCTION("""COMPUTED_VALUE"""),"豊永利行")</f>
        <v>豊永利行</v>
      </c>
      <c r="C10" s="1" t="str">
        <f ca="1">IFERROR(__xludf.DUMMYFUNCTION("""COMPUTED_VALUE"""),"T")</f>
        <v>T</v>
      </c>
      <c r="D10" s="1" t="str">
        <f ca="1">IFERROR(__xludf.DUMMYFUNCTION("""COMPUTED_VALUE"""),"表示")</f>
        <v>表示</v>
      </c>
      <c r="E10" s="1">
        <f ca="1">IFERROR(__xludf.DUMMYFUNCTION("""COMPUTED_VALUE"""),21)</f>
        <v>21</v>
      </c>
      <c r="F10" s="1" t="str">
        <f ca="1">IFERROR(__xludf.DUMMYFUNCTION("""COMPUTED_VALUE"""),"•  『デュラララ!!』：竜ヶ峰帝人
•  『ユーリ!!! on ICE』：勝生勇利
•  『Free!』：椎名旭
•  『文豪ストレイドッグス』：谷崎潤一郎
•  『ハイキュー!!』：白布賢二郎
•  『ドラゴンクエスト ダイの大冒険』：ポップ
•  『東京喰種トーキョーグール』：永近英良")</f>
        <v>•  『デュラララ!!』：竜ヶ峰帝人
•  『ユーリ!!! on ICE』：勝生勇利
•  『Free!』：椎名旭
•  『文豪ストレイドッグス』：谷崎潤一郎
•  『ハイキュー!!』：白布賢二郎
•  『ドラゴンクエスト ダイの大冒険』：ポップ
•  『東京喰種トーキョーグール』：永近英良</v>
      </c>
    </row>
    <row r="11" spans="1:6">
      <c r="A11" s="1" t="str">
        <f ca="1">IFERROR(__xludf.DUMMYFUNCTION("""COMPUTED_VALUE"""),"va_188")</f>
        <v>va_188</v>
      </c>
      <c r="B11" s="1" t="str">
        <f ca="1">IFERROR(__xludf.DUMMYFUNCTION("""COMPUTED_VALUE"""),"八代拓")</f>
        <v>八代拓</v>
      </c>
      <c r="C11" s="1" t="str">
        <f ca="1">IFERROR(__xludf.DUMMYFUNCTION("""COMPUTED_VALUE"""),"T")</f>
        <v>T</v>
      </c>
      <c r="D11" s="1" t="str">
        <f ca="1">IFERROR(__xludf.DUMMYFUNCTION("""COMPUTED_VALUE"""),"表示")</f>
        <v>表示</v>
      </c>
      <c r="E11" s="1">
        <f ca="1">IFERROR(__xludf.DUMMYFUNCTION("""COMPUTED_VALUE"""),21)</f>
        <v>21</v>
      </c>
      <c r="F11" s="1" t="str">
        <f ca="1">IFERROR(__xludf.DUMMYFUNCTION("""COMPUTED_VALUE"""),"•  『KING OF PRISM』：十王院カケル
•  『タイガーマスクW』：東ナオト／タイガーマスク
•  『炎炎ノ消防隊』：ヴァルカン・ジョゼフ
•  『アイドルマスター SideM』：柏木翼
•  『ドメスティックな彼女』：藤井夏生
•  『るろうに剣心 －明治剣客浪漫譚－』：相楽左之助
•  『ポケットモンスター』（2023年版）：フリード
•  『千銃士』：ブラウン・ベス")</f>
        <v>•  『KING OF PRISM』：十王院カケル
•  『タイガーマスクW』：東ナオト／タイガーマスク
•  『炎炎ノ消防隊』：ヴァルカン・ジョゼフ
•  『アイドルマスター SideM』：柏木翼
•  『ドメスティックな彼女』：藤井夏生
•  『るろうに剣心 －明治剣客浪漫譚－』：相楽左之助
•  『ポケットモンスター』（2023年版）：フリード
•  『千銃士』：ブラウン・ベス</v>
      </c>
    </row>
    <row r="12" spans="1:6">
      <c r="A12" s="1" t="str">
        <f ca="1">IFERROR(__xludf.DUMMYFUNCTION("""COMPUTED_VALUE"""),"va_035")</f>
        <v>va_035</v>
      </c>
      <c r="B12" s="1" t="str">
        <f ca="1">IFERROR(__xludf.DUMMYFUNCTION("""COMPUTED_VALUE"""),"江口拓也")</f>
        <v>江口拓也</v>
      </c>
      <c r="C12" s="1" t="str">
        <f ca="1">IFERROR(__xludf.DUMMYFUNCTION("""COMPUTED_VALUE"""),"T")</f>
        <v>T</v>
      </c>
      <c r="D12" s="1" t="str">
        <f ca="1">IFERROR(__xludf.DUMMYFUNCTION("""COMPUTED_VALUE"""),"表示")</f>
        <v>表示</v>
      </c>
      <c r="E12" s="1">
        <f ca="1">IFERROR(__xludf.DUMMYFUNCTION("""COMPUTED_VALUE"""),20)</f>
        <v>20</v>
      </c>
      <c r="F12" s="1" t="str">
        <f ca="1">IFERROR(__xludf.DUMMYFUNCTION("""COMPUTED_VALUE"""),"•  『SPY×FAMILY』：ロイド・フォージャー
•  『やはり俺の青春ラブコメはまちがっている。』：比企谷八幡
•  『アイドリッシュセブン』：六弥ナギ
•  『東京リベンジャーズ』：半間修二
•  『転生したらスライムだった件』：ソウエイ
•  『マッシュル-MASHLE-』：ドット・バレット
•  『あんさんぶるスターズ！』：日々樹渉")</f>
        <v>•  『SPY×FAMILY』：ロイド・フォージャー
•  『やはり俺の青春ラブコメはまちがっている。』：比企谷八幡
•  『アイドリッシュセブン』：六弥ナギ
•  『東京リベンジャーズ』：半間修二
•  『転生したらスライムだった件』：ソウエイ
•  『マッシュル-MASHLE-』：ドット・バレット
•  『あんさんぶるスターズ！』：日々樹渉</v>
      </c>
    </row>
    <row r="13" spans="1:6">
      <c r="A13" s="1" t="str">
        <f ca="1">IFERROR(__xludf.DUMMYFUNCTION("""COMPUTED_VALUE"""),"va_046")</f>
        <v>va_046</v>
      </c>
      <c r="B13" s="1" t="str">
        <f ca="1">IFERROR(__xludf.DUMMYFUNCTION("""COMPUTED_VALUE"""),"小野友樹")</f>
        <v>小野友樹</v>
      </c>
      <c r="C13" s="1" t="str">
        <f ca="1">IFERROR(__xludf.DUMMYFUNCTION("""COMPUTED_VALUE"""),"T")</f>
        <v>T</v>
      </c>
      <c r="D13" s="1" t="str">
        <f ca="1">IFERROR(__xludf.DUMMYFUNCTION("""COMPUTED_VALUE"""),"表示")</f>
        <v>表示</v>
      </c>
      <c r="E13" s="1">
        <f ca="1">IFERROR(__xludf.DUMMYFUNCTION("""COMPUTED_VALUE"""),20)</f>
        <v>20</v>
      </c>
      <c r="F13" s="1" t="str">
        <f ca="1">IFERROR(__xludf.DUMMYFUNCTION("""COMPUTED_VALUE"""),"•  『黒子のバスケ』：火神大我
•  『ジョジョの奇妙な冒険 ダイヤモンドは砕けない』：東方仗助
•  『あんさんぶるスターズ！』：大神晃牙
•  『抱かれたい男1位に脅されています。』：東谷准太
•  『ブルーロック』：國神錬介")</f>
        <v>•  『黒子のバスケ』：火神大我
•  『ジョジョの奇妙な冒険 ダイヤモンドは砕けない』：東方仗助
•  『あんさんぶるスターズ！』：大神晃牙
•  『抱かれたい男1位に脅されています。』：東谷准太
•  『ブルーロック』：國神錬介</v>
      </c>
    </row>
    <row r="14" spans="1:6">
      <c r="A14" s="1" t="str">
        <f ca="1">IFERROR(__xludf.DUMMYFUNCTION("""COMPUTED_VALUE"""),"va_090")</f>
        <v>va_090</v>
      </c>
      <c r="B14" s="1" t="str">
        <f ca="1">IFERROR(__xludf.DUMMYFUNCTION("""COMPUTED_VALUE"""),"佐藤拓也")</f>
        <v>佐藤拓也</v>
      </c>
      <c r="C14" s="1" t="str">
        <f ca="1">IFERROR(__xludf.DUMMYFUNCTION("""COMPUTED_VALUE"""),"T")</f>
        <v>T</v>
      </c>
      <c r="D14" s="1" t="str">
        <f ca="1">IFERROR(__xludf.DUMMYFUNCTION("""COMPUTED_VALUE"""),"表示")</f>
        <v>表示</v>
      </c>
      <c r="E14" s="1">
        <f ca="1">IFERROR(__xludf.DUMMYFUNCTION("""COMPUTED_VALUE"""),20)</f>
        <v>20</v>
      </c>
      <c r="F14" s="1" t="str">
        <f ca="1">IFERROR(__xludf.DUMMYFUNCTION("""COMPUTED_VALUE"""),"•  『アイドリッシュセブン』：十龍之介
•  『カードファイト!! ヴァンガード』：櫂トシキ
•  『ジョジョの奇妙な冒険』：シーザー・アントニオ・ツェペリ
•  『憂国のモリアーティ』：アルバート・ジェームズ・モリアーティ
•  『刀剣乱舞』：燭台切光忠
•  『魔入りました！入間くん』：サブノック・サブロ
•  『キャプテン翼』：日向小次郎")</f>
        <v>•  『アイドリッシュセブン』：十龍之介
•  『カードファイト!! ヴァンガード』：櫂トシキ
•  『ジョジョの奇妙な冒険』：シーザー・アントニオ・ツェペリ
•  『憂国のモリアーティ』：アルバート・ジェームズ・モリアーティ
•  『刀剣乱舞』：燭台切光忠
•  『魔入りました！入間くん』：サブノック・サブロ
•  『キャプテン翼』：日向小次郎</v>
      </c>
    </row>
    <row r="15" spans="1:6">
      <c r="A15" s="1" t="str">
        <f ca="1">IFERROR(__xludf.DUMMYFUNCTION("""COMPUTED_VALUE"""),"va_117")</f>
        <v>va_117</v>
      </c>
      <c r="B15" s="1" t="str">
        <f ca="1">IFERROR(__xludf.DUMMYFUNCTION("""COMPUTED_VALUE"""),"田丸篤志")</f>
        <v>田丸篤志</v>
      </c>
      <c r="C15" s="1" t="str">
        <f ca="1">IFERROR(__xludf.DUMMYFUNCTION("""COMPUTED_VALUE"""),"T")</f>
        <v>T</v>
      </c>
      <c r="D15" s="1" t="str">
        <f ca="1">IFERROR(__xludf.DUMMYFUNCTION("""COMPUTED_VALUE"""),"表示")</f>
        <v>表示</v>
      </c>
      <c r="E15" s="1">
        <f ca="1">IFERROR(__xludf.DUMMYFUNCTION("""COMPUTED_VALUE"""),20)</f>
        <v>20</v>
      </c>
      <c r="F15" s="1" t="str">
        <f ca="1">IFERROR(__xludf.DUMMYFUNCTION("""COMPUTED_VALUE"""),"•  『A3!』：月岡紬
•  『ディズニー ツイステッドワンダーランド』：アズール・アーシェングロット
•  『刀剣乱舞』：一期一振
•  『七つの魔剣が支配する』：オリバー＝ホーン
•  『魔法科高校の劣等生』：吉田幹比古
•  『ハイキュー!!』：国見英
•  『月がきれい』：比良拓海")</f>
        <v>•  『A3!』：月岡紬
•  『ディズニー ツイステッドワンダーランド』：アズール・アーシェングロット
•  『刀剣乱舞』：一期一振
•  『七つの魔剣が支配する』：オリバー＝ホーン
•  『魔法科高校の劣等生』：吉田幹比古
•  『ハイキュー!!』：国見英
•  『月がきれい』：比良拓海</v>
      </c>
    </row>
    <row r="16" spans="1:6">
      <c r="A16" s="1" t="str">
        <f ca="1">IFERROR(__xludf.DUMMYFUNCTION("""COMPUTED_VALUE"""),"va_150")</f>
        <v>va_150</v>
      </c>
      <c r="B16" s="1" t="str">
        <f ca="1">IFERROR(__xludf.DUMMYFUNCTION("""COMPUTED_VALUE"""),"花江夏樹")</f>
        <v>花江夏樹</v>
      </c>
      <c r="C16" s="1" t="str">
        <f ca="1">IFERROR(__xludf.DUMMYFUNCTION("""COMPUTED_VALUE"""),"T")</f>
        <v>T</v>
      </c>
      <c r="D16" s="1" t="str">
        <f ca="1">IFERROR(__xludf.DUMMYFUNCTION("""COMPUTED_VALUE"""),"表示")</f>
        <v>表示</v>
      </c>
      <c r="E16" s="1">
        <f ca="1">IFERROR(__xludf.DUMMYFUNCTION("""COMPUTED_VALUE"""),20)</f>
        <v>20</v>
      </c>
      <c r="F16" s="1" t="str">
        <f ca="1">IFERROR(__xludf.DUMMYFUNCTION("""COMPUTED_VALUE"""),"•  『鬼滅の刃』： 竈門炭治郎
•  『東京喰種トーキョーグール』： 金木研／佐々木琲世
•  『四月は君の嘘』： 有馬公生
•  『ヴァニタスの手記』： ヴァニタス
•  『サマータイムレンダ』： 網代慎平
•  『ALDNOAH.ZERO』： 界塚伊奈帆
•  『ダイヤのA』： 小湊春市")</f>
        <v>•  『鬼滅の刃』： 竈門炭治郎
•  『東京喰種トーキョーグール』： 金木研／佐々木琲世
•  『四月は君の嘘』： 有馬公生
•  『ヴァニタスの手記』： ヴァニタス
•  『サマータイムレンダ』： 網代慎平
•  『ALDNOAH.ZERO』： 界塚伊奈帆
•  『ダイヤのA』： 小湊春市</v>
      </c>
    </row>
    <row r="17" spans="1:6">
      <c r="A17" s="1" t="str">
        <f ca="1">IFERROR(__xludf.DUMMYFUNCTION("""COMPUTED_VALUE"""),"va_066")</f>
        <v>va_066</v>
      </c>
      <c r="B17" s="1" t="str">
        <f ca="1">IFERROR(__xludf.DUMMYFUNCTION("""COMPUTED_VALUE"""),"木村良平")</f>
        <v>木村良平</v>
      </c>
      <c r="C17" s="1" t="str">
        <f ca="1">IFERROR(__xludf.DUMMYFUNCTION("""COMPUTED_VALUE"""),"T")</f>
        <v>T</v>
      </c>
      <c r="D17" s="1" t="str">
        <f ca="1">IFERROR(__xludf.DUMMYFUNCTION("""COMPUTED_VALUE"""),"表示")</f>
        <v>表示</v>
      </c>
      <c r="E17" s="1">
        <f ca="1">IFERROR(__xludf.DUMMYFUNCTION("""COMPUTED_VALUE"""),19)</f>
        <v>19</v>
      </c>
      <c r="F17" s="1" t="str">
        <f ca="1">IFERROR(__xludf.DUMMYFUNCTION("""COMPUTED_VALUE"""),"•  『黒子のバスケ』：黄瀬涼太
•  『ハイキュー!!』：木兎光太郎
•  『魔道祖師』：魏無羨
•  『原神』：タルタリヤ
•  『DIABOLIK LOVERS』：無神コウ
•  『ツキウタ。』：霜月隼
•  『東のエデン』：滝沢朗")</f>
        <v>•  『黒子のバスケ』：黄瀬涼太
•  『ハイキュー!!』：木兎光太郎
•  『魔道祖師』：魏無羨
•  『原神』：タルタリヤ
•  『DIABOLIK LOVERS』：無神コウ
•  『ツキウタ。』：霜月隼
•  『東のエデン』：滝沢朗</v>
      </c>
    </row>
    <row r="18" spans="1:6">
      <c r="A18" s="1" t="str">
        <f ca="1">IFERROR(__xludf.DUMMYFUNCTION("""COMPUTED_VALUE"""),"va_094")</f>
        <v>va_094</v>
      </c>
      <c r="B18" s="1" t="str">
        <f ca="1">IFERROR(__xludf.DUMMYFUNCTION("""COMPUTED_VALUE"""),"島﨑信長")</f>
        <v>島﨑信長</v>
      </c>
      <c r="C18" s="1" t="str">
        <f ca="1">IFERROR(__xludf.DUMMYFUNCTION("""COMPUTED_VALUE"""),"T")</f>
        <v>T</v>
      </c>
      <c r="D18" s="1" t="str">
        <f ca="1">IFERROR(__xludf.DUMMYFUNCTION("""COMPUTED_VALUE"""),"表示")</f>
        <v>表示</v>
      </c>
      <c r="E18" s="1">
        <f ca="1">IFERROR(__xludf.DUMMYFUNCTION("""COMPUTED_VALUE"""),19)</f>
        <v>19</v>
      </c>
      <c r="F18" s="1" t="str">
        <f ca="1">IFERROR(__xludf.DUMMYFUNCTION("""COMPUTED_VALUE"""),"•  『Free!』：七瀬遙
•  『ブルーロック』：凪誠士郎
•  『フルーツバスケット』：草摩由希
•  『呪術廻戦』：真人
•  『ダイヤのA』：降谷暁
•  『デート・ア・ライブ』：五河士道
•  『ブラッククローバー』：ユノ
•  『WIND BREAKER』：蘇枋隼飛")</f>
        <v>•  『Free!』：七瀬遙
•  『ブルーロック』：凪誠士郎
•  『フルーツバスケット』：草摩由希
•  『呪術廻戦』：真人
•  『ダイヤのA』：降谷暁
•  『デート・ア・ライブ』：五河士道
•  『ブラッククローバー』：ユノ
•  『WIND BREAKER』：蘇枋隼飛</v>
      </c>
    </row>
    <row r="19" spans="1:6">
      <c r="A19" s="1" t="str">
        <f ca="1">IFERROR(__xludf.DUMMYFUNCTION("""COMPUTED_VALUE"""),"va_112")</f>
        <v>va_112</v>
      </c>
      <c r="B19" s="1" t="str">
        <f ca="1">IFERROR(__xludf.DUMMYFUNCTION("""COMPUTED_VALUE"""),"武内駿輔")</f>
        <v>武内駿輔</v>
      </c>
      <c r="C19" s="1" t="str">
        <f ca="1">IFERROR(__xludf.DUMMYFUNCTION("""COMPUTED_VALUE"""),"T")</f>
        <v>T</v>
      </c>
      <c r="D19" s="1" t="str">
        <f ca="1">IFERROR(__xludf.DUMMYFUNCTION("""COMPUTED_VALUE"""),"表示")</f>
        <v>表示</v>
      </c>
      <c r="E19" s="1">
        <f ca="1">IFERROR(__xludf.DUMMYFUNCTION("""COMPUTED_VALUE"""),19)</f>
        <v>19</v>
      </c>
      <c r="F19" s="1" t="str">
        <f ca="1">IFERROR(__xludf.DUMMYFUNCTION("""COMPUTED_VALUE"""),"•  『遊☆戯☆王VRAINS』：鴻上了見／リボルバー
•  『THE FIRST SLAM DUNK』：沢北栄治
•  『KING OF PRISM』：大和アレクサンダー
•  『アイドルマスター シンデレラガールズ』：プロデューサー
•  『アナと雪の女王2』：オラフ
•  『機動戦士ガンダム ククルス・ドアンの島』：ククルス・ドアン")</f>
        <v>•  『遊☆戯☆王VRAINS』：鴻上了見／リボルバー
•  『THE FIRST SLAM DUNK』：沢北栄治
•  『KING OF PRISM』：大和アレクサンダー
•  『アイドルマスター シンデレラガールズ』：プロデューサー
•  『アナと雪の女王2』：オラフ
•  『機動戦士ガンダム ククルス・ドアンの島』：ククルス・ドアン</v>
      </c>
    </row>
    <row r="20" spans="1:6">
      <c r="A20" s="1" t="str">
        <f ca="1">IFERROR(__xludf.DUMMYFUNCTION("""COMPUTED_VALUE"""),"va_102")</f>
        <v>va_102</v>
      </c>
      <c r="B20" s="1" t="str">
        <f ca="1">IFERROR(__xludf.DUMMYFUNCTION("""COMPUTED_VALUE"""),"諏訪部順一")</f>
        <v>諏訪部順一</v>
      </c>
      <c r="C20" s="1" t="str">
        <f ca="1">IFERROR(__xludf.DUMMYFUNCTION("""COMPUTED_VALUE"""),"T")</f>
        <v>T</v>
      </c>
      <c r="D20" s="1" t="str">
        <f ca="1">IFERROR(__xludf.DUMMYFUNCTION("""COMPUTED_VALUE"""),"表示")</f>
        <v>表示</v>
      </c>
      <c r="E20" s="1">
        <f ca="1">IFERROR(__xludf.DUMMYFUNCTION("""COMPUTED_VALUE"""),18)</f>
        <v>18</v>
      </c>
      <c r="F20" s="1" t="str">
        <f ca="1">IFERROR(__xludf.DUMMYFUNCTION("""COMPUTED_VALUE"""),"•  『テニスの王子様』：跡部景吾
•  『Fate/stay night』：アーチャー
•  『うたの☆プリンスさまっ♪』：神宮寺レン
•  『ユーリ!!! on ICE』：ヴィクトル・ニキフォロフ
•  『呪術廻戦』：両面宿儺
•  『黒執事』：アンダーテイカー
•  『BLEACH』：グリムジョー・ジャガージャック
•  『僕のヒーローアカデミア』：相澤消太")</f>
        <v>•  『テニスの王子様』：跡部景吾
•  『Fate/stay night』：アーチャー
•  『うたの☆プリンスさまっ♪』：神宮寺レン
•  『ユーリ!!! on ICE』：ヴィクトル・ニキフォロフ
•  『呪術廻戦』：両面宿儺
•  『黒執事』：アンダーテイカー
•  『BLEACH』：グリムジョー・ジャガージャック
•  『僕のヒーローアカデミア』：相澤消太</v>
      </c>
    </row>
    <row r="21" spans="1:6">
      <c r="A21" s="1" t="str">
        <f ca="1">IFERROR(__xludf.DUMMYFUNCTION("""COMPUTED_VALUE"""),"va_114")</f>
        <v>va_114</v>
      </c>
      <c r="B21" s="1" t="str">
        <f ca="1">IFERROR(__xludf.DUMMYFUNCTION("""COMPUTED_VALUE"""),"立花慎之介")</f>
        <v>立花慎之介</v>
      </c>
      <c r="C21" s="1" t="str">
        <f ca="1">IFERROR(__xludf.DUMMYFUNCTION("""COMPUTED_VALUE"""),"T")</f>
        <v>T</v>
      </c>
      <c r="D21" s="1" t="str">
        <f ca="1">IFERROR(__xludf.DUMMYFUNCTION("""COMPUTED_VALUE"""),"表示")</f>
        <v>表示</v>
      </c>
      <c r="E21" s="1">
        <f ca="1">IFERROR(__xludf.DUMMYFUNCTION("""COMPUTED_VALUE"""),18)</f>
        <v>18</v>
      </c>
      <c r="F21" s="1" t="str">
        <f ca="1">IFERROR(__xludf.DUMMYFUNCTION("""COMPUTED_VALUE"""),"•  『アイドリッシュセブン』：千（ユキ）
•  『神様はじめました』：巴衛
•  『ハイキュー!!』：夜久衛輔
•  『世界一初恋』：吉野千秋
•  『セキレイ』：佐橋皆人
•  『恋と深空』：ホムラ")</f>
        <v>•  『アイドリッシュセブン』：千（ユキ）
•  『神様はじめました』：巴衛
•  『ハイキュー!!』：夜久衛輔
•  『世界一初恋』：吉野千秋
•  『セキレイ』：佐橋皆人
•  『恋と深空』：ホムラ</v>
      </c>
    </row>
    <row r="22" spans="1:6">
      <c r="A22" s="1" t="str">
        <f ca="1">IFERROR(__xludf.DUMMYFUNCTION("""COMPUTED_VALUE"""),"va_132")</f>
        <v>va_132</v>
      </c>
      <c r="B22" s="1" t="str">
        <f ca="1">IFERROR(__xludf.DUMMYFUNCTION("""COMPUTED_VALUE"""),"鳥海浩輔")</f>
        <v>鳥海浩輔</v>
      </c>
      <c r="C22" s="1" t="str">
        <f ca="1">IFERROR(__xludf.DUMMYFUNCTION("""COMPUTED_VALUE"""),"T")</f>
        <v>T</v>
      </c>
      <c r="D22" s="1" t="str">
        <f ca="1">IFERROR(__xludf.DUMMYFUNCTION("""COMPUTED_VALUE"""),"表示")</f>
        <v>表示</v>
      </c>
      <c r="E22" s="1">
        <f ca="1">IFERROR(__xludf.DUMMYFUNCTION("""COMPUTED_VALUE"""),18)</f>
        <v>18</v>
      </c>
      <c r="F22" s="1" t="str">
        <f ca="1">IFERROR(__xludf.DUMMYFUNCTION("""COMPUTED_VALUE"""),"•  『うたの☆プリンスさまっ♪』：愛島セシル
•  『薄桜鬼』：斎藤一
•  『刀剣乱舞』：三日月宗近
•  『弱虫ペダル』：今泉俊輔
•  『あんさんぶるスターズ！！』：三毛縞斑
•  『DIABOLIK LOVERS』：逆巻シュウ
•  『ハイキュー!!』：佐久早聖臣
•  『ジョジョの奇妙な冒険 黄金の風』：グイード・ミスタ
•  『NARUTO』：犬塚キバ
•  『Thunderbolt Fantasy 東離劍遊紀』：凜雪鴉")</f>
        <v>•  『うたの☆プリンスさまっ♪』：愛島セシル
•  『薄桜鬼』：斎藤一
•  『刀剣乱舞』：三日月宗近
•  『弱虫ペダル』：今泉俊輔
•  『あんさんぶるスターズ！！』：三毛縞斑
•  『DIABOLIK LOVERS』：逆巻シュウ
•  『ハイキュー!!』：佐久早聖臣
•  『ジョジョの奇妙な冒険 黄金の風』：グイード・ミスタ
•  『NARUTO』：犬塚キバ
•  『Thunderbolt Fantasy 東離劍遊紀』：凜雪鴉</v>
      </c>
    </row>
    <row r="23" spans="1:6">
      <c r="A23" s="1" t="str">
        <f ca="1">IFERROR(__xludf.DUMMYFUNCTION("""COMPUTED_VALUE"""),"va_172")</f>
        <v>va_172</v>
      </c>
      <c r="B23" s="1" t="str">
        <f ca="1">IFERROR(__xludf.DUMMYFUNCTION("""COMPUTED_VALUE"""),"増田俊樹")</f>
        <v>増田俊樹</v>
      </c>
      <c r="C23" s="1" t="str">
        <f ca="1">IFERROR(__xludf.DUMMYFUNCTION("""COMPUTED_VALUE"""),"T")</f>
        <v>T</v>
      </c>
      <c r="D23" s="1" t="str">
        <f ca="1">IFERROR(__xludf.DUMMYFUNCTION("""COMPUTED_VALUE"""),"表示")</f>
        <v>表示</v>
      </c>
      <c r="E23" s="1">
        <f ca="1">IFERROR(__xludf.DUMMYFUNCTION("""COMPUTED_VALUE"""),18)</f>
        <v>18</v>
      </c>
      <c r="F23" s="1" t="str">
        <f ca="1">IFERROR(__xludf.DUMMYFUNCTION("""COMPUTED_VALUE"""),"•  『僕のヒーローアカデミア』：切島鋭児郎
•  『アイドリッシュセブン』：和泉一織
•  『あんさんぶるスターズ！！』：朔間零
•  『刀剣乱舞』：加州清光
•  『遊☆戯☆王ZEXAL』：神代凌牙
•  『進撃の巨人』：ポルコ・ガリアード
•  『ハイキュー!!』：縁下力")</f>
        <v>•  『僕のヒーローアカデミア』：切島鋭児郎
•  『アイドリッシュセブン』：和泉一織
•  『あんさんぶるスターズ！！』：朔間零
•  『刀剣乱舞』：加州清光
•  『遊☆戯☆王ZEXAL』：神代凌牙
•  『進撃の巨人』：ポルコ・ガリアード
•  『ハイキュー!!』：縁下力</v>
      </c>
    </row>
    <row r="24" spans="1:6">
      <c r="A24" s="1" t="str">
        <f ca="1">IFERROR(__xludf.DUMMYFUNCTION("""COMPUTED_VALUE"""),"va_009")</f>
        <v>va_009</v>
      </c>
      <c r="B24" s="1" t="str">
        <f ca="1">IFERROR(__xludf.DUMMYFUNCTION("""COMPUTED_VALUE"""),"蒼井翔太")</f>
        <v>蒼井翔太</v>
      </c>
      <c r="C24" s="1" t="str">
        <f ca="1">IFERROR(__xludf.DUMMYFUNCTION("""COMPUTED_VALUE"""),"T")</f>
        <v>T</v>
      </c>
      <c r="D24" s="1" t="str">
        <f ca="1">IFERROR(__xludf.DUMMYFUNCTION("""COMPUTED_VALUE"""),"表示")</f>
        <v>表示</v>
      </c>
      <c r="E24" s="1">
        <f ca="1">IFERROR(__xludf.DUMMYFUNCTION("""COMPUTED_VALUE"""),17)</f>
        <v>17</v>
      </c>
      <c r="F24" s="1" t="str">
        <f ca="1">IFERROR(__xludf.DUMMYFUNCTION("""COMPUTED_VALUE"""),"•  『うたの☆プリンスさまっ♪』：美風藍
•  『KING OF PRISM』：如月ルヰ
•  『乙女ゲームの破滅フラグしかない悪役令嬢に転生してしまった…』：ジオルド・スティアート
•  『ツキウタ。』：水無月涙
•  『ヴィジュアルプリズン』：ハイド・ジャイエ")</f>
        <v>•  『うたの☆プリンスさまっ♪』：美風藍
•  『KING OF PRISM』：如月ルヰ
•  『乙女ゲームの破滅フラグしかない悪役令嬢に転生してしまった…』：ジオルド・スティアート
•  『ツキウタ。』：水無月涙
•  『ヴィジュアルプリズン』：ハイド・ジャイエ</v>
      </c>
    </row>
    <row r="25" spans="1:6">
      <c r="A25" s="1" t="str">
        <f ca="1">IFERROR(__xludf.DUMMYFUNCTION("""COMPUTED_VALUE"""),"va_051")</f>
        <v>va_051</v>
      </c>
      <c r="B25" s="1" t="str">
        <f ca="1">IFERROR(__xludf.DUMMYFUNCTION("""COMPUTED_VALUE"""),"梶裕貴")</f>
        <v>梶裕貴</v>
      </c>
      <c r="C25" s="1" t="str">
        <f ca="1">IFERROR(__xludf.DUMMYFUNCTION("""COMPUTED_VALUE"""),"T")</f>
        <v>T</v>
      </c>
      <c r="D25" s="1" t="str">
        <f ca="1">IFERROR(__xludf.DUMMYFUNCTION("""COMPUTED_VALUE"""),"表示")</f>
        <v>表示</v>
      </c>
      <c r="E25" s="1">
        <f ca="1">IFERROR(__xludf.DUMMYFUNCTION("""COMPUTED_VALUE"""),17)</f>
        <v>17</v>
      </c>
      <c r="F25" s="1" t="str">
        <f ca="1">IFERROR(__xludf.DUMMYFUNCTION("""COMPUTED_VALUE"""),"•  『進撃の巨人』：エレン・イェーガー
•  『僕のヒーローアカデミア』：轟焦凍
•  『七つの大罪』：メリオダス
•  『マギ』：アリババ・サルージャ
•  『ハイキュー!!』：孤爪研磨
•  『黒執事』：フィニアン")</f>
        <v>•  『進撃の巨人』：エレン・イェーガー
•  『僕のヒーローアカデミア』：轟焦凍
•  『七つの大罪』：メリオダス
•  『マギ』：アリババ・サルージャ
•  『ハイキュー!!』：孤爪研磨
•  『黒執事』：フィニアン</v>
      </c>
    </row>
    <row r="26" spans="1:6">
      <c r="A26" s="1" t="str">
        <f ca="1">IFERROR(__xludf.DUMMYFUNCTION("""COMPUTED_VALUE"""),"va_141")</f>
        <v>va_141</v>
      </c>
      <c r="B26" s="1" t="str">
        <f ca="1">IFERROR(__xludf.DUMMYFUNCTION("""COMPUTED_VALUE"""),"西山宏太朗")</f>
        <v>西山宏太朗</v>
      </c>
      <c r="C26" s="1" t="str">
        <f ca="1">IFERROR(__xludf.DUMMYFUNCTION("""COMPUTED_VALUE"""),"T")</f>
        <v>T</v>
      </c>
      <c r="D26" s="1" t="str">
        <f ca="1">IFERROR(__xludf.DUMMYFUNCTION("""COMPUTED_VALUE"""),"表示")</f>
        <v>表示</v>
      </c>
      <c r="E26" s="1">
        <f ca="1">IFERROR(__xludf.DUMMYFUNCTION("""COMPUTED_VALUE"""),17)</f>
        <v>17</v>
      </c>
      <c r="F26" s="1" t="str">
        <f ca="1">IFERROR(__xludf.DUMMYFUNCTION("""COMPUTED_VALUE"""),"•  『アイドリッシュセブン』：棗巳波
•  『あんさんぶるスターズ！』：深海奏汰
•  『学園ベビーシッターズ』：鹿島竜一
•  『A3!』：皆木綴
•  『B-PROJECT』：寺光唯月
•  『美男高校地球防衛部LOVE！』：鬼怒川熱史
•  『スタンドマイヒーローズ』：都築京介")</f>
        <v>•  『アイドリッシュセブン』：棗巳波
•  『あんさんぶるスターズ！』：深海奏汰
•  『学園ベビーシッターズ』：鹿島竜一
•  『A3!』：皆木綴
•  『B-PROJECT』：寺光唯月
•  『美男高校地球防衛部LOVE！』：鬼怒川熱史
•  『スタンドマイヒーローズ』：都築京介</v>
      </c>
    </row>
    <row r="27" spans="1:6">
      <c r="A27" s="1" t="str">
        <f ca="1">IFERROR(__xludf.DUMMYFUNCTION("""COMPUTED_VALUE"""),"va_124")</f>
        <v>va_124</v>
      </c>
      <c r="B27" s="1" t="str">
        <f ca="1">IFERROR(__xludf.DUMMYFUNCTION("""COMPUTED_VALUE"""),"寺島惇太")</f>
        <v>寺島惇太</v>
      </c>
      <c r="C27" s="1" t="str">
        <f ca="1">IFERROR(__xludf.DUMMYFUNCTION("""COMPUTED_VALUE"""),"T")</f>
        <v>T</v>
      </c>
      <c r="D27" s="1" t="str">
        <f ca="1">IFERROR(__xludf.DUMMYFUNCTION("""COMPUTED_VALUE"""),"表示")</f>
        <v>表示</v>
      </c>
      <c r="E27" s="1">
        <f ca="1">IFERROR(__xludf.DUMMYFUNCTION("""COMPUTED_VALUE"""),16)</f>
        <v>16</v>
      </c>
      <c r="F27" s="1" t="str">
        <f ca="1">IFERROR(__xludf.DUMMYFUNCTION("""COMPUTED_VALUE"""),"•  『KING OF PRISM』：一条シン
•  『アイドルマスター SideM』：大河タケル
•  『A3!』：御影密
•  『ツキプロ』：藤村衛
•  『Paradox Live』：闇堂四季
•  『この音とまれ！』：桐生桜介")</f>
        <v>•  『KING OF PRISM』：一条シン
•  『アイドルマスター SideM』：大河タケル
•  『A3!』：御影密
•  『ツキプロ』：藤村衛
•  『Paradox Live』：闇堂四季
•  『この音とまれ！』：桐生桜介</v>
      </c>
    </row>
    <row r="28" spans="1:6">
      <c r="A28" s="1" t="str">
        <f ca="1">IFERROR(__xludf.DUMMYFUNCTION("""COMPUTED_VALUE"""),"va_013")</f>
        <v>va_013</v>
      </c>
      <c r="B28" s="1" t="str">
        <f ca="1">IFERROR(__xludf.DUMMYFUNCTION("""COMPUTED_VALUE"""),"石川界人")</f>
        <v>石川界人</v>
      </c>
      <c r="C28" s="1" t="str">
        <f ca="1">IFERROR(__xludf.DUMMYFUNCTION("""COMPUTED_VALUE"""),"T")</f>
        <v>T</v>
      </c>
      <c r="D28" s="1" t="str">
        <f ca="1">IFERROR(__xludf.DUMMYFUNCTION("""COMPUTED_VALUE"""),"表示")</f>
        <v>表示</v>
      </c>
      <c r="E28" s="1">
        <f ca="1">IFERROR(__xludf.DUMMYFUNCTION("""COMPUTED_VALUE"""),15)</f>
        <v>15</v>
      </c>
      <c r="F28" s="1" t="str">
        <f ca="1">IFERROR(__xludf.DUMMYFUNCTION("""COMPUTED_VALUE"""),"•  『ハイキュー!!』：影山飛雄
•  『ワンパンマン』：ジェノス
•  『僕のヒーローアカデミア』：飯田天哉
•  『盾の勇者の成り上がり』：岩谷尚文
•  『青春ブタ野郎シリーズ』：梓川咲太
•  『わたしの幸せな結婚』：久堂清霞")</f>
        <v>•  『ハイキュー!!』：影山飛雄
•  『ワンパンマン』：ジェノス
•  『僕のヒーローアカデミア』：飯田天哉
•  『盾の勇者の成り上がり』：岩谷尚文
•  『青春ブタ野郎シリーズ』：梓川咲太
•  『わたしの幸せな結婚』：久堂清霞</v>
      </c>
    </row>
    <row r="29" spans="1:6">
      <c r="A29" s="1" t="str">
        <f ca="1">IFERROR(__xludf.DUMMYFUNCTION("""COMPUTED_VALUE"""),"va_096")</f>
        <v>va_096</v>
      </c>
      <c r="B29" s="1" t="str">
        <f ca="1">IFERROR(__xludf.DUMMYFUNCTION("""COMPUTED_VALUE"""),"白井悠介")</f>
        <v>白井悠介</v>
      </c>
      <c r="C29" s="1" t="str">
        <f ca="1">IFERROR(__xludf.DUMMYFUNCTION("""COMPUTED_VALUE"""),"T")</f>
        <v>T</v>
      </c>
      <c r="D29" s="1" t="str">
        <f ca="1">IFERROR(__xludf.DUMMYFUNCTION("""COMPUTED_VALUE"""),"表示")</f>
        <v>表示</v>
      </c>
      <c r="E29" s="1">
        <f ca="1">IFERROR(__xludf.DUMMYFUNCTION("""COMPUTED_VALUE"""),15)</f>
        <v>15</v>
      </c>
      <c r="F29" s="1" t="str">
        <f ca="1">IFERROR(__xludf.DUMMYFUNCTION("""COMPUTED_VALUE"""),"•  『ヒプノシスマイク』：飴村乱数
•  『アイドリッシュセブン』：二階堂大和
•  『佐々木と宮野』：佐々木秀鳴
•  『美男高校地球防衛部LOVE!』：鳴子硫黄
•  『戦闘員、派遣します!』：戦闘員六号
•  『誰ソ彼ホテル』：大外聖生")</f>
        <v>•  『ヒプノシスマイク』：飴村乱数
•  『アイドリッシュセブン』：二階堂大和
•  『佐々木と宮野』：佐々木秀鳴
•  『美男高校地球防衛部LOVE!』：鳴子硫黄
•  『戦闘員、派遣します!』：戦闘員六号
•  『誰ソ彼ホテル』：大外聖生</v>
      </c>
    </row>
    <row r="30" spans="1:6">
      <c r="A30" s="1" t="str">
        <f ca="1">IFERROR(__xludf.DUMMYFUNCTION("""COMPUTED_VALUE"""),"va_147")</f>
        <v>va_147</v>
      </c>
      <c r="B30" s="1" t="str">
        <f ca="1">IFERROR(__xludf.DUMMYFUNCTION("""COMPUTED_VALUE"""),"畠中祐")</f>
        <v>畠中祐</v>
      </c>
      <c r="C30" s="1" t="str">
        <f ca="1">IFERROR(__xludf.DUMMYFUNCTION("""COMPUTED_VALUE"""),"T")</f>
        <v>T</v>
      </c>
      <c r="D30" s="1" t="str">
        <f ca="1">IFERROR(__xludf.DUMMYFUNCTION("""COMPUTED_VALUE"""),"表示")</f>
        <v>表示</v>
      </c>
      <c r="E30" s="1">
        <f ca="1">IFERROR(__xludf.DUMMYFUNCTION("""COMPUTED_VALUE"""),15)</f>
        <v>15</v>
      </c>
      <c r="F30" s="1" t="str">
        <f ca="1">IFERROR(__xludf.DUMMYFUNCTION("""COMPUTED_VALUE"""),"•  『遊☆戯☆王ZEXAL』：九十九遊馬
•  『僕のヒーローアカデミア』：上鳴電気
•  『KING OF PRISM』：香賀美タイガ
•  『東京リベンジャーズ』：柴八戒
•  『SK∞ エスケーエイト』：喜屋武暦
•  『甲鉄城のカバネリ』：生駒
•  『うしおととら』：蒼月潮
•  『ウルトラマンZ』：ナツカワ・ハルキ
•  『ザ・スーパーマリオブラザーズ・ムービー』：ルイージ")</f>
        <v>•  『遊☆戯☆王ZEXAL』：九十九遊馬
•  『僕のヒーローアカデミア』：上鳴電気
•  『KING OF PRISM』：香賀美タイガ
•  『東京リベンジャーズ』：柴八戒
•  『SK∞ エスケーエイト』：喜屋武暦
•  『甲鉄城のカバネリ』：生駒
•  『うしおととら』：蒼月潮
•  『ウルトラマンZ』：ナツカワ・ハルキ
•  『ザ・スーパーマリオブラザーズ・ムービー』：ルイージ</v>
      </c>
    </row>
    <row r="31" spans="1:6">
      <c r="A31" s="1" t="str">
        <f ca="1">IFERROR(__xludf.DUMMYFUNCTION("""COMPUTED_VALUE"""),"va_157")</f>
        <v>va_157</v>
      </c>
      <c r="B31" s="1" t="str">
        <f ca="1">IFERROR(__xludf.DUMMYFUNCTION("""COMPUTED_VALUE"""),"平川大輔")</f>
        <v>平川大輔</v>
      </c>
      <c r="C31" s="1" t="str">
        <f ca="1">IFERROR(__xludf.DUMMYFUNCTION("""COMPUTED_VALUE"""),"T")</f>
        <v>T</v>
      </c>
      <c r="D31" s="1" t="str">
        <f ca="1">IFERROR(__xludf.DUMMYFUNCTION("""COMPUTED_VALUE"""),"表示")</f>
        <v>表示</v>
      </c>
      <c r="E31" s="1">
        <f ca="1">IFERROR(__xludf.DUMMYFUNCTION("""COMPUTED_VALUE"""),15)</f>
        <v>15</v>
      </c>
      <c r="F31" s="1" t="str">
        <f ca="1">IFERROR(__xludf.DUMMYFUNCTION("""COMPUTED_VALUE"""),"•  『ジョジョの奇妙な冒険 スターダストクルセイダース』： 花京院典明
•  『Free!』： 竜ヶ崎怜
•  『DIABOLIK LOVERS』： 逆巻ライト
•  『イタズラなKiss』： 入江直樹
•  『School Days』： 伊藤誠
•  『巌窟王』： フランツ・デピネー
•  『鬼滅の刃』： 魘夢")</f>
        <v>•  『ジョジョの奇妙な冒険 スターダストクルセイダース』： 花京院典明
•  『Free!』： 竜ヶ崎怜
•  『DIABOLIK LOVERS』： 逆巻ライト
•  『イタズラなKiss』： 入江直樹
•  『School Days』： 伊藤誠
•  『巌窟王』： フランツ・デピネー
•  『鬼滅の刃』： 魘夢</v>
      </c>
    </row>
    <row r="32" spans="1:6">
      <c r="A32" s="1" t="str">
        <f ca="1">IFERROR(__xludf.DUMMYFUNCTION("""COMPUTED_VALUE"""),"va_183")</f>
        <v>va_183</v>
      </c>
      <c r="B32" s="1" t="str">
        <f ca="1">IFERROR(__xludf.DUMMYFUNCTION("""COMPUTED_VALUE"""),"村瀬歩")</f>
        <v>村瀬歩</v>
      </c>
      <c r="C32" s="1" t="str">
        <f ca="1">IFERROR(__xludf.DUMMYFUNCTION("""COMPUTED_VALUE"""),"T")</f>
        <v>T</v>
      </c>
      <c r="D32" s="1" t="str">
        <f ca="1">IFERROR(__xludf.DUMMYFUNCTION("""COMPUTED_VALUE"""),"表示")</f>
        <v>表示</v>
      </c>
      <c r="E32" s="1">
        <f ca="1">IFERROR(__xludf.DUMMYFUNCTION("""COMPUTED_VALUE"""),15)</f>
        <v>15</v>
      </c>
      <c r="F32" s="1" t="str">
        <f ca="1">IFERROR(__xludf.DUMMYFUNCTION("""COMPUTED_VALUE"""),"•  『ハイキュー!!』：日向翔陽
•  『魔入りました！入間くん』：鈴木入間
•  『あんさんぶるスターズ！』：姫宮桃李
•  『原神』：ウェンティ
•  『アイドルマスター SideM』：姫野かのん
•  『ひろがるスカイ！プリキュア』：夕凪ツバサ／キュアウィング
•  『王様ランキング』：カゲ")</f>
        <v>•  『ハイキュー!!』：日向翔陽
•  『魔入りました！入間くん』：鈴木入間
•  『あんさんぶるスターズ！』：姫宮桃李
•  『原神』：ウェンティ
•  『アイドルマスター SideM』：姫野かのん
•  『ひろがるスカイ！プリキュア』：夕凪ツバサ／キュアウィング
•  『王様ランキング』：カゲ</v>
      </c>
    </row>
    <row r="33" spans="1:6">
      <c r="A33" s="1" t="str">
        <f ca="1">IFERROR(__xludf.DUMMYFUNCTION("""COMPUTED_VALUE"""),"va_200")</f>
        <v>va_200</v>
      </c>
      <c r="B33" s="1" t="str">
        <f ca="1">IFERROR(__xludf.DUMMYFUNCTION("""COMPUTED_VALUE"""),"KENN")</f>
        <v>KENN</v>
      </c>
      <c r="C33" s="1" t="str">
        <f ca="1">IFERROR(__xludf.DUMMYFUNCTION("""COMPUTED_VALUE"""),"T")</f>
        <v>T</v>
      </c>
      <c r="D33" s="1" t="str">
        <f ca="1">IFERROR(__xludf.DUMMYFUNCTION("""COMPUTED_VALUE"""),"表示")</f>
        <v>表示</v>
      </c>
      <c r="E33" s="1">
        <f ca="1">IFERROR(__xludf.DUMMYFUNCTION("""COMPUTED_VALUE"""),15)</f>
        <v>15</v>
      </c>
      <c r="F33" s="1" t="str">
        <f ca="1">IFERROR(__xludf.DUMMYFUNCTION("""COMPUTED_VALUE"""),"•  『遊☆戯☆王デュエルモンスターズGX』： 遊城十代
•  『アイドリッシュセブン』： 四葉環
•  『宇宙兄弟』： 南波日々人
•  『境界の彼方』： 神原秋人
•  『サイバーパンク エッジランナーズ』： デイビッド・マルティネス
•  『逆転裁判』シリーズ： 王泥喜法介
•  『エア・ギア』： 美鞍葛馬（カズ）
•  『アイ★チュウ』： 愛童星夜")</f>
        <v>•  『遊☆戯☆王デュエルモンスターズGX』： 遊城十代
•  『アイドリッシュセブン』： 四葉環
•  『宇宙兄弟』： 南波日々人
•  『境界の彼方』： 神原秋人
•  『サイバーパンク エッジランナーズ』： デイビッド・マルティネス
•  『逆転裁判』シリーズ： 王泥喜法介
•  『エア・ギア』： 美鞍葛馬（カズ）
•  『アイ★チュウ』： 愛童星夜</v>
      </c>
    </row>
    <row r="34" spans="1:6">
      <c r="A34" s="1" t="str">
        <f ca="1">IFERROR(__xludf.DUMMYFUNCTION("""COMPUTED_VALUE"""),"va_019")</f>
        <v>va_019</v>
      </c>
      <c r="B34" s="1" t="str">
        <f ca="1">IFERROR(__xludf.DUMMYFUNCTION("""COMPUTED_VALUE"""),"伊東健人")</f>
        <v>伊東健人</v>
      </c>
      <c r="C34" s="1" t="str">
        <f ca="1">IFERROR(__xludf.DUMMYFUNCTION("""COMPUTED_VALUE"""),"T")</f>
        <v>T</v>
      </c>
      <c r="D34" s="1" t="str">
        <f ca="1">IFERROR(__xludf.DUMMYFUNCTION("""COMPUTED_VALUE"""),"表示")</f>
        <v>表示</v>
      </c>
      <c r="E34" s="1">
        <f ca="1">IFERROR(__xludf.DUMMYFUNCTION("""COMPUTED_VALUE"""),14)</f>
        <v>14</v>
      </c>
      <c r="F34" s="1" t="str">
        <f ca="1">IFERROR(__xludf.DUMMYFUNCTION("""COMPUTED_VALUE"""),"•  『ヲタクに恋は難しい』：二藤宏嵩
•  『【推しの子】』：ゴロー
•  『ヒプノシスマイク』：観音坂独歩
•  『アイドルマスター SideM』：硲道夫
•  『プロジェクトセカイ カラフルステージ！』：青柳冬弥")</f>
        <v>•  『ヲタクに恋は難しい』：二藤宏嵩
•  『【推しの子】』：ゴロー
•  『ヒプノシスマイク』：観音坂独歩
•  『アイドルマスター SideM』：硲道夫
•  『プロジェクトセカイ カラフルステージ！』：青柳冬弥</v>
      </c>
    </row>
    <row r="35" spans="1:6">
      <c r="A35" s="1" t="str">
        <f ca="1">IFERROR(__xludf.DUMMYFUNCTION("""COMPUTED_VALUE"""),"va_037")</f>
        <v>va_037</v>
      </c>
      <c r="B35" s="1" t="str">
        <f ca="1">IFERROR(__xludf.DUMMYFUNCTION("""COMPUTED_VALUE"""),"逢坂良太")</f>
        <v>逢坂良太</v>
      </c>
      <c r="C35" s="1" t="str">
        <f ca="1">IFERROR(__xludf.DUMMYFUNCTION("""COMPUTED_VALUE"""),"T")</f>
        <v>T</v>
      </c>
      <c r="D35" s="1" t="str">
        <f ca="1">IFERROR(__xludf.DUMMYFUNCTION("""COMPUTED_VALUE"""),"表示")</f>
        <v>表示</v>
      </c>
      <c r="E35" s="1">
        <f ca="1">IFERROR(__xludf.DUMMYFUNCTION("""COMPUTED_VALUE"""),14)</f>
        <v>14</v>
      </c>
      <c r="F35" s="1" t="str">
        <f ca="1">IFERROR(__xludf.DUMMYFUNCTION("""COMPUTED_VALUE"""),"•  『ダイヤのA』：沢村栄純
•  『はたらく魔王さま！』：真奥貞夫（魔王サタン）
•  『ハイキュー!!』：赤葦京治
•  『あんさんぶるスターズ！！』：七種茨
•  『赤髪の白雪姫』：ゼン
•  『進撃の巨人』：マルコ・ボット
•  『鬼滅の刃』：妓夫太郎")</f>
        <v>•  『ダイヤのA』：沢村栄純
•  『はたらく魔王さま！』：真奥貞夫（魔王サタン）
•  『ハイキュー!!』：赤葦京治
•  『あんさんぶるスターズ！！』：七種茨
•  『赤髪の白雪姫』：ゼン
•  『進撃の巨人』：マルコ・ボット
•  『鬼滅の刃』：妓夫太郎</v>
      </c>
    </row>
    <row r="36" spans="1:6">
      <c r="A36" s="1" t="str">
        <f ca="1">IFERROR(__xludf.DUMMYFUNCTION("""COMPUTED_VALUE"""),"va_045")</f>
        <v>va_045</v>
      </c>
      <c r="B36" s="1" t="str">
        <f ca="1">IFERROR(__xludf.DUMMYFUNCTION("""COMPUTED_VALUE"""),"小野賢章")</f>
        <v>小野賢章</v>
      </c>
      <c r="C36" s="1" t="str">
        <f ca="1">IFERROR(__xludf.DUMMYFUNCTION("""COMPUTED_VALUE"""),"T")</f>
        <v>T</v>
      </c>
      <c r="D36" s="1" t="str">
        <f ca="1">IFERROR(__xludf.DUMMYFUNCTION("""COMPUTED_VALUE"""),"表示")</f>
        <v>表示</v>
      </c>
      <c r="E36" s="1">
        <f ca="1">IFERROR(__xludf.DUMMYFUNCTION("""COMPUTED_VALUE"""),14)</f>
        <v>14</v>
      </c>
      <c r="F36" s="1" t="str">
        <f ca="1">IFERROR(__xludf.DUMMYFUNCTION("""COMPUTED_VALUE"""),"•  『黒子のバスケ』：黒子テツヤ
•  『アイドリッシュセブン』：七瀬陸
•  『文豪ストレイドッグス』：芥川龍之介
•  『ジョジョの奇妙な冒険 黄金の風』：ジョルノ・ジョバァーナ
•  『ハリー・ポッター』シリーズ：ハリー・ポッター
•  『SPY×FAMILY』：ユーリ・ブライア
•  『ツルネ ―風舞高校弓道部―』：藤原愁")</f>
        <v>•  『黒子のバスケ』：黒子テツヤ
•  『アイドリッシュセブン』：七瀬陸
•  『文豪ストレイドッグス』：芥川龍之介
•  『ジョジョの奇妙な冒険 黄金の風』：ジョルノ・ジョバァーナ
•  『ハリー・ポッター』シリーズ：ハリー・ポッター
•  『SPY×FAMILY』：ユーリ・ブライア
•  『ツルネ ―風舞高校弓道部―』：藤原愁</v>
      </c>
    </row>
    <row r="37" spans="1:6">
      <c r="A37" s="1" t="str">
        <f ca="1">IFERROR(__xludf.DUMMYFUNCTION("""COMPUTED_VALUE"""),"va_053")</f>
        <v>va_053</v>
      </c>
      <c r="B37" s="1" t="str">
        <f ca="1">IFERROR(__xludf.DUMMYFUNCTION("""COMPUTED_VALUE"""),"梶原岳人")</f>
        <v>梶原岳人</v>
      </c>
      <c r="C37" s="1" t="str">
        <f ca="1">IFERROR(__xludf.DUMMYFUNCTION("""COMPUTED_VALUE"""),"T")</f>
        <v>T</v>
      </c>
      <c r="D37" s="1" t="str">
        <f ca="1">IFERROR(__xludf.DUMMYFUNCTION("""COMPUTED_VALUE"""),"表示")</f>
        <v>表示</v>
      </c>
      <c r="E37" s="1">
        <f ca="1">IFERROR(__xludf.DUMMYFUNCTION("""COMPUTED_VALUE"""),14)</f>
        <v>14</v>
      </c>
      <c r="F37" s="1" t="str">
        <f ca="1">IFERROR(__xludf.DUMMYFUNCTION("""COMPUTED_VALUE"""),"•  『ブラッククローバー』：アスタ
•  『炎炎ノ消防隊』：森羅日下部
•  『あんさんぶるスターズ！！』：天城一彩
•  『Paradox Live』：朱雀野アレン
•  『お前はまだグンマを知らない』：神月紀")</f>
        <v>•  『ブラッククローバー』：アスタ
•  『炎炎ノ消防隊』：森羅日下部
•  『あんさんぶるスターズ！！』：天城一彩
•  『Paradox Live』：朱雀野アレン
•  『お前はまだグンマを知らない』：神月紀</v>
      </c>
    </row>
    <row r="38" spans="1:6">
      <c r="A38" s="1" t="str">
        <f ca="1">IFERROR(__xludf.DUMMYFUNCTION("""COMPUTED_VALUE"""),"va_078")</f>
        <v>va_078</v>
      </c>
      <c r="B38" s="1" t="str">
        <f ca="1">IFERROR(__xludf.DUMMYFUNCTION("""COMPUTED_VALUE"""),"小西克幸")</f>
        <v>小西克幸</v>
      </c>
      <c r="C38" s="1" t="str">
        <f ca="1">IFERROR(__xludf.DUMMYFUNCTION("""COMPUTED_VALUE"""),"T")</f>
        <v>T</v>
      </c>
      <c r="D38" s="1" t="str">
        <f ca="1">IFERROR(__xludf.DUMMYFUNCTION("""COMPUTED_VALUE"""),"表示")</f>
        <v>表示</v>
      </c>
      <c r="E38" s="1">
        <f ca="1">IFERROR(__xludf.DUMMYFUNCTION("""COMPUTED_VALUE"""),14)</f>
        <v>14</v>
      </c>
      <c r="F38" s="1" t="str">
        <f ca="1">IFERROR(__xludf.DUMMYFUNCTION("""COMPUTED_VALUE"""),"•  『鬼滅の刃』：宇髄天元
•  『ヘタリア』：アメリカ
•  『テイルズ オブ シンフォニア』：ロイド・アーヴィング
•  『べるぜバブ』：男鹿辰巳
•  『ゴールデンカムイ』：鯉登音之進
•  『薬屋のひとりごと』：高順
•  『天元突破グレンラガン』：カミナ")</f>
        <v>•  『鬼滅の刃』：宇髄天元
•  『ヘタリア』：アメリカ
•  『テイルズ オブ シンフォニア』：ロイド・アーヴィング
•  『べるぜバブ』：男鹿辰巳
•  『ゴールデンカムイ』：鯉登音之進
•  『薬屋のひとりごと』：高順
•  『天元突破グレンラガン』：カミナ</v>
      </c>
    </row>
    <row r="39" spans="1:6">
      <c r="A39" s="1" t="str">
        <f ca="1">IFERROR(__xludf.DUMMYFUNCTION("""COMPUTED_VALUE"""),"va_081")</f>
        <v>va_081</v>
      </c>
      <c r="B39" s="1" t="str">
        <f ca="1">IFERROR(__xludf.DUMMYFUNCTION("""COMPUTED_VALUE"""),"近藤隆")</f>
        <v>近藤隆</v>
      </c>
      <c r="C39" s="1" t="str">
        <f ca="1">IFERROR(__xludf.DUMMYFUNCTION("""COMPUTED_VALUE"""),"T")</f>
        <v>T</v>
      </c>
      <c r="D39" s="1" t="str">
        <f ca="1">IFERROR(__xludf.DUMMYFUNCTION("""COMPUTED_VALUE"""),"表示")</f>
        <v>表示</v>
      </c>
      <c r="E39" s="1">
        <f ca="1">IFERROR(__xludf.DUMMYFUNCTION("""COMPUTED_VALUE"""),14)</f>
        <v>14</v>
      </c>
      <c r="F39" s="1" t="str">
        <f ca="1">IFERROR(__xludf.DUMMYFUNCTION("""COMPUTED_VALUE"""),"•  『家庭教師ヒットマンREBORN!』：雲雀恭弥
•  『アイドリッシュセブン』：御堂虎於
•  『世界一初恋』：小野寺律
•  『DIABOLIK LOVERS』：逆巻スバル
•  『ツキウタ。』：長月夜
•  『BLACK CAT』：トレイン＝ハートネット")</f>
        <v>•  『家庭教師ヒットマンREBORN!』：雲雀恭弥
•  『アイドリッシュセブン』：御堂虎於
•  『世界一初恋』：小野寺律
•  『DIABOLIK LOVERS』：逆巻スバル
•  『ツキウタ。』：長月夜
•  『BLACK CAT』：トレイン＝ハートネット</v>
      </c>
    </row>
    <row r="40" spans="1:6">
      <c r="A40" s="1" t="str">
        <f ca="1">IFERROR(__xludf.DUMMYFUNCTION("""COMPUTED_VALUE"""),"va_129")</f>
        <v>va_129</v>
      </c>
      <c r="B40" s="1" t="str">
        <f ca="1">IFERROR(__xludf.DUMMYFUNCTION("""COMPUTED_VALUE"""),"土岐隼一")</f>
        <v>土岐隼一</v>
      </c>
      <c r="C40" s="1" t="str">
        <f ca="1">IFERROR(__xludf.DUMMYFUNCTION("""COMPUTED_VALUE"""),"T")</f>
        <v>T</v>
      </c>
      <c r="D40" s="1" t="str">
        <f ca="1">IFERROR(__xludf.DUMMYFUNCTION("""COMPUTED_VALUE"""),"表示")</f>
        <v>表示</v>
      </c>
      <c r="E40" s="1">
        <f ca="1">IFERROR(__xludf.DUMMYFUNCTION("""COMPUTED_VALUE"""),14)</f>
        <v>14</v>
      </c>
      <c r="F40" s="1" t="str">
        <f ca="1">IFERROR(__xludf.DUMMYFUNCTION("""COMPUTED_VALUE"""),"•  『プロジェクトセカイ カラフルステージ！ feat. 初音ミク』：神代類
•  『アイドルマスター SideM』：都築圭
•  『ツキプロ』：衛藤昂輝
•  『A3!』：瑠璃川幸
•  『かくりよの宿飯』：銀次
•  『Paradox Live』：征木北斎
•  『原神』：フレミネ")</f>
        <v>•  『プロジェクトセカイ カラフルステージ！ feat. 初音ミク』：神代類
•  『アイドルマスター SideM』：都築圭
•  『ツキプロ』：衛藤昂輝
•  『A3!』：瑠璃川幸
•  『かくりよの宿飯』：銀次
•  『Paradox Live』：征木北斎
•  『原神』：フレミネ</v>
      </c>
    </row>
    <row r="41" spans="1:6">
      <c r="A41" s="1" t="str">
        <f ca="1">IFERROR(__xludf.DUMMYFUNCTION("""COMPUTED_VALUE"""),"va_148")</f>
        <v>va_148</v>
      </c>
      <c r="B41" s="1" t="str">
        <f ca="1">IFERROR(__xludf.DUMMYFUNCTION("""COMPUTED_VALUE"""),"羽多野渉")</f>
        <v>羽多野渉</v>
      </c>
      <c r="C41" s="1" t="str">
        <f ca="1">IFERROR(__xludf.DUMMYFUNCTION("""COMPUTED_VALUE"""),"T")</f>
        <v>T</v>
      </c>
      <c r="D41" s="1" t="str">
        <f ca="1">IFERROR(__xludf.DUMMYFUNCTION("""COMPUTED_VALUE"""),"表示")</f>
        <v>表示</v>
      </c>
      <c r="E41" s="1">
        <f ca="1">IFERROR(__xludf.DUMMYFUNCTION("""COMPUTED_VALUE"""),14)</f>
        <v>14</v>
      </c>
      <c r="F41" s="1" t="str">
        <f ca="1">IFERROR(__xludf.DUMMYFUNCTION("""COMPUTED_VALUE"""),"•  『FAIRY TAIL』： ガジル・レッドフォックス
•  『アイドリッシュセブン』： 八乙女楽
•  『僕のヒーローアカデミア』： 心操人使
•  『黒子のバスケ』： 実渕玲央
•  『あんさんぶるスターズ！』： 乙狩アドニス
•  『ユーリ!!! on ICE』： ギオルギー・ポポーヴィッチ
•  『ダイヤのA』： 増子透
•  『信長の忍び』： 織田信長")</f>
        <v>•  『FAIRY TAIL』： ガジル・レッドフォックス
•  『アイドリッシュセブン』： 八乙女楽
•  『僕のヒーローアカデミア』： 心操人使
•  『黒子のバスケ』： 実渕玲央
•  『あんさんぶるスターズ！』： 乙狩アドニス
•  『ユーリ!!! on ICE』： ギオルギー・ポポーヴィッチ
•  『ダイヤのA』： 増子透
•  『信長の忍び』： 織田信長</v>
      </c>
    </row>
    <row r="42" spans="1:6">
      <c r="A42" s="1" t="str">
        <f ca="1">IFERROR(__xludf.DUMMYFUNCTION("""COMPUTED_VALUE"""),"va_173")</f>
        <v>va_173</v>
      </c>
      <c r="B42" s="1" t="str">
        <f ca="1">IFERROR(__xludf.DUMMYFUNCTION("""COMPUTED_VALUE"""),"松岡禎丞")</f>
        <v>松岡禎丞</v>
      </c>
      <c r="C42" s="1" t="str">
        <f ca="1">IFERROR(__xludf.DUMMYFUNCTION("""COMPUTED_VALUE"""),"T")</f>
        <v>T</v>
      </c>
      <c r="D42" s="1" t="str">
        <f ca="1">IFERROR(__xludf.DUMMYFUNCTION("""COMPUTED_VALUE"""),"表示")</f>
        <v>表示</v>
      </c>
      <c r="E42" s="1">
        <f ca="1">IFERROR(__xludf.DUMMYFUNCTION("""COMPUTED_VALUE"""),14)</f>
        <v>14</v>
      </c>
      <c r="F42" s="1" t="str">
        <f ca="1">IFERROR(__xludf.DUMMYFUNCTION("""COMPUTED_VALUE"""),"•  『ソードアート・オンライン』：キリト／桐ヶ谷和人
•  『鬼滅の刃』：嘴平伊之助
•  『食戟のソーマ』：幸平創真
•  『ダンジョンに出会いを求めるのは間違っているだろうか』：ベル・クラネル
•  『五等分の花嫁』：上杉風太郎
•  『ノーゲーム・ノーライフ』：空
•  『冴えない彼女の育てかた』：安芸倫也")</f>
        <v>•  『ソードアート・オンライン』：キリト／桐ヶ谷和人
•  『鬼滅の刃』：嘴平伊之助
•  『食戟のソーマ』：幸平創真
•  『ダンジョンに出会いを求めるのは間違っているだろうか』：ベル・クラネル
•  『五等分の花嫁』：上杉風太郎
•  『ノーゲーム・ノーライフ』：空
•  『冴えない彼女の育てかた』：安芸倫也</v>
      </c>
    </row>
    <row r="43" spans="1:6">
      <c r="A43" s="1" t="str">
        <f ca="1">IFERROR(__xludf.DUMMYFUNCTION("""COMPUTED_VALUE"""),"va_193")</f>
        <v>va_193</v>
      </c>
      <c r="B43" s="1" t="str">
        <f ca="1">IFERROR(__xludf.DUMMYFUNCTION("""COMPUTED_VALUE"""),"山下大輝")</f>
        <v>山下大輝</v>
      </c>
      <c r="C43" s="1" t="str">
        <f ca="1">IFERROR(__xludf.DUMMYFUNCTION("""COMPUTED_VALUE"""),"T")</f>
        <v>T</v>
      </c>
      <c r="D43" s="1" t="str">
        <f ca="1">IFERROR(__xludf.DUMMYFUNCTION("""COMPUTED_VALUE"""),"表示")</f>
        <v>表示</v>
      </c>
      <c r="E43" s="1">
        <f ca="1">IFERROR(__xludf.DUMMYFUNCTION("""COMPUTED_VALUE"""),14)</f>
        <v>14</v>
      </c>
      <c r="F43" s="1" t="str">
        <f ca="1">IFERROR(__xludf.DUMMYFUNCTION("""COMPUTED_VALUE"""),"・『僕のヒーローアカデミア』： 緑谷出久
・『弱虫ペダル』： 小野田坂道
・『あんさんぶるスターズ！！』： 朔間凛月
・『ジョジョの奇妙な冒険 黄金の風』： ナランチャ・ギルガ
・『ポケットモンスター』： ゴウ")</f>
        <v>・『僕のヒーローアカデミア』： 緑谷出久
・『弱虫ペダル』： 小野田坂道
・『あんさんぶるスターズ！！』： 朔間凛月
・『ジョジョの奇妙な冒険 黄金の風』： ナランチャ・ギルガ
・『ポケットモンスター』： ゴウ</v>
      </c>
    </row>
    <row r="44" spans="1:6">
      <c r="A44" s="1" t="str">
        <f ca="1">IFERROR(__xludf.DUMMYFUNCTION("""COMPUTED_VALUE"""),"va_058")</f>
        <v>va_058</v>
      </c>
      <c r="B44" s="1" t="str">
        <f ca="1">IFERROR(__xludf.DUMMYFUNCTION("""COMPUTED_VALUE"""),"河西健吾")</f>
        <v>河西健吾</v>
      </c>
      <c r="C44" s="1" t="str">
        <f ca="1">IFERROR(__xludf.DUMMYFUNCTION("""COMPUTED_VALUE"""),"T")</f>
        <v>T</v>
      </c>
      <c r="D44" s="1" t="str">
        <f ca="1">IFERROR(__xludf.DUMMYFUNCTION("""COMPUTED_VALUE"""),"表示")</f>
        <v>表示</v>
      </c>
      <c r="E44" s="1">
        <f ca="1">IFERROR(__xludf.DUMMYFUNCTION("""COMPUTED_VALUE"""),13)</f>
        <v>13</v>
      </c>
      <c r="F44" s="1" t="str">
        <f ca="1">IFERROR(__xludf.DUMMYFUNCTION("""COMPUTED_VALUE"""),"•  『機動戦士ガンダム 鉄血のオルフェンズ』：三日月・オーガス
•  『鬼滅の刃』：時透無一郎
•  『Dr.STONE』：あさぎりゲン
•  『ヒプノシスマイク』：躑躅森盧笙
•  『怪獣8号』：保科宗四郎
•  『3月のライオン』：桐山零")</f>
        <v>•  『機動戦士ガンダム 鉄血のオルフェンズ』：三日月・オーガス
•  『鬼滅の刃』：時透無一郎
•  『Dr.STONE』：あさぎりゲン
•  『ヒプノシスマイク』：躑躅森盧笙
•  『怪獣8号』：保科宗四郎
•  『3月のライオン』：桐山零</v>
      </c>
    </row>
    <row r="45" spans="1:6">
      <c r="A45" s="1" t="str">
        <f ca="1">IFERROR(__xludf.DUMMYFUNCTION("""COMPUTED_VALUE"""),"va_119")</f>
        <v>va_119</v>
      </c>
      <c r="B45" s="1" t="str">
        <f ca="1">IFERROR(__xludf.DUMMYFUNCTION("""COMPUTED_VALUE"""),"千葉翔也")</f>
        <v>千葉翔也</v>
      </c>
      <c r="C45" s="1" t="str">
        <f ca="1">IFERROR(__xludf.DUMMYFUNCTION("""COMPUTED_VALUE"""),"T")</f>
        <v>T</v>
      </c>
      <c r="D45" s="1" t="str">
        <f ca="1">IFERROR(__xludf.DUMMYFUNCTION("""COMPUTED_VALUE"""),"表示")</f>
        <v>表示</v>
      </c>
      <c r="E45" s="1">
        <f ca="1">IFERROR(__xludf.DUMMYFUNCTION("""COMPUTED_VALUE"""),13)</f>
        <v>13</v>
      </c>
      <c r="F45" s="1" t="str">
        <f ca="1">IFERROR(__xludf.DUMMYFUNCTION("""COMPUTED_VALUE"""),"•  『ようこそ実力至上主義の教室へ』：綾小路清隆
•  『86-エイティシックス-』：シンエイ・ノウゼン
•  『アオのハコ』：猪股大喜
•  『地縛少年花子くん』：源光
•  『ALL OUT!!』：祇園健次
•  『青のオーケストラ』：青野一
•  『WIND BREAKER』：楡井秋彦
•  『アイドルマスター SideM』：秋山隼人")</f>
        <v>•  『ようこそ実力至上主義の教室へ』：綾小路清隆
•  『86-エイティシックス-』：シンエイ・ノウゼン
•  『アオのハコ』：猪股大喜
•  『地縛少年花子くん』：源光
•  『ALL OUT!!』：祇園健次
•  『青のオーケストラ』：青野一
•  『WIND BREAKER』：楡井秋彦
•  『アイドルマスター SideM』：秋山隼人</v>
      </c>
    </row>
    <row r="46" spans="1:6">
      <c r="A46" s="1" t="str">
        <f ca="1">IFERROR(__xludf.DUMMYFUNCTION("""COMPUTED_VALUE"""),"va_138")</f>
        <v>va_138</v>
      </c>
      <c r="B46" s="1" t="str">
        <f ca="1">IFERROR(__xludf.DUMMYFUNCTION("""COMPUTED_VALUE"""),"浪川大輔")</f>
        <v>浪川大輔</v>
      </c>
      <c r="C46" s="1" t="str">
        <f ca="1">IFERROR(__xludf.DUMMYFUNCTION("""COMPUTED_VALUE"""),"T")</f>
        <v>T</v>
      </c>
      <c r="D46" s="1" t="str">
        <f ca="1">IFERROR(__xludf.DUMMYFUNCTION("""COMPUTED_VALUE"""),"表示")</f>
        <v>表示</v>
      </c>
      <c r="E46" s="1">
        <f ca="1">IFERROR(__xludf.DUMMYFUNCTION("""COMPUTED_VALUE"""),13)</f>
        <v>13</v>
      </c>
      <c r="F46" s="1" t="str">
        <f ca="1">IFERROR(__xludf.DUMMYFUNCTION("""COMPUTED_VALUE"""),"•  『ルパン三世』：石川五ェ門
•  『ハイキュー!!』：及川徹
•  『ヘタリア』：イタリア
•  『君に届け』：風早翔太
•  『HUNTER×HUNTER』（2011年版）：ヒソカ＝モロウ
•  『BLEACH』：ウルキオラ・シファー
•  『ONE PIECE』：ユースタス・キッド
•  『呪術廻戦』：脹相
•  『FAIRY TAIL』：ジェラール・フェルナンデス／ミストガン")</f>
        <v>•  『ルパン三世』：石川五ェ門
•  『ハイキュー!!』：及川徹
•  『ヘタリア』：イタリア
•  『君に届け』：風早翔太
•  『HUNTER×HUNTER』（2011年版）：ヒソカ＝モロウ
•  『BLEACH』：ウルキオラ・シファー
•  『ONE PIECE』：ユースタス・キッド
•  『呪術廻戦』：脹相
•  『FAIRY TAIL』：ジェラール・フェルナンデス／ミストガン</v>
      </c>
    </row>
    <row r="47" spans="1:6">
      <c r="A47" s="1" t="str">
        <f ca="1">IFERROR(__xludf.DUMMYFUNCTION("""COMPUTED_VALUE"""),"va_160")</f>
        <v>va_160</v>
      </c>
      <c r="B47" s="1" t="str">
        <f ca="1">IFERROR(__xludf.DUMMYFUNCTION("""COMPUTED_VALUE"""),"福山潤")</f>
        <v>福山潤</v>
      </c>
      <c r="C47" s="1" t="str">
        <f ca="1">IFERROR(__xludf.DUMMYFUNCTION("""COMPUTED_VALUE"""),"T")</f>
        <v>T</v>
      </c>
      <c r="D47" s="1" t="str">
        <f ca="1">IFERROR(__xludf.DUMMYFUNCTION("""COMPUTED_VALUE"""),"表示")</f>
        <v>表示</v>
      </c>
      <c r="E47" s="1">
        <f ca="1">IFERROR(__xludf.DUMMYFUNCTION("""COMPUTED_VALUE"""),13)</f>
        <v>13</v>
      </c>
      <c r="F47" s="1" t="str">
        <f ca="1">IFERROR(__xludf.DUMMYFUNCTION("""COMPUTED_VALUE"""),"•  『コードギアス 反逆のルルーシュ』： ルルーシュ・ランペルージ
•  『暗殺教室』： 殺せんせー
•  『おそ松さん』： 松野一松
•  『青の祓魔師』： 奥村雪男
•  『中二病でも恋がしたい！』： 富樫勇太
•  『WORKING!!』： 小鳥遊宗太
•  『七つの大罪』： キング
•  『ペルソナ5』： 主人公（ジョーカー）
•  『吸血鬼すぐ死ぬ』： ドラルク")</f>
        <v>•  『コードギアス 反逆のルルーシュ』： ルルーシュ・ランペルージ
•  『暗殺教室』： 殺せんせー
•  『おそ松さん』： 松野一松
•  『青の祓魔師』： 奥村雪男
•  『中二病でも恋がしたい！』： 富樫勇太
•  『WORKING!!』： 小鳥遊宗太
•  『七つの大罪』： キング
•  『ペルソナ5』： 主人公（ジョーカー）
•  『吸血鬼すぐ死ぬ』： ドラルク</v>
      </c>
    </row>
    <row r="48" spans="1:6">
      <c r="A48" s="1" t="str">
        <f ca="1">IFERROR(__xludf.DUMMYFUNCTION("""COMPUTED_VALUE"""),"va_166")</f>
        <v>va_166</v>
      </c>
      <c r="B48" s="1" t="str">
        <f ca="1">IFERROR(__xludf.DUMMYFUNCTION("""COMPUTED_VALUE"""),"堀江瞬")</f>
        <v>堀江瞬</v>
      </c>
      <c r="C48" s="1" t="str">
        <f ca="1">IFERROR(__xludf.DUMMYFUNCTION("""COMPUTED_VALUE"""),"T")</f>
        <v>T</v>
      </c>
      <c r="D48" s="1" t="str">
        <f ca="1">IFERROR(__xludf.DUMMYFUNCTION("""COMPUTED_VALUE"""),"表示")</f>
        <v>表示</v>
      </c>
      <c r="E48" s="1">
        <f ca="1">IFERROR(__xludf.DUMMYFUNCTION("""COMPUTED_VALUE"""),13)</f>
        <v>13</v>
      </c>
      <c r="F48" s="1" t="str">
        <f ca="1">IFERROR(__xludf.DUMMYFUNCTION("""COMPUTED_VALUE"""),"•  『僕の心のヤバイやつ』： 市川京太郎
•  『彼女、お借りします』： 木ノ下和也
•  『ドラゴン、家を買う。』： レティ
•  『蜘蛛ですが、なにか？』： シュン
•  『さらざんまい』： 陣内燕太
•  『アクダマドライブ』： ハッカー
•  『アイドルマスター SideM』： ピエール
•  『社長、バトルの時間です！』： ミナト")</f>
        <v>•  『僕の心のヤバイやつ』： 市川京太郎
•  『彼女、お借りします』： 木ノ下和也
•  『ドラゴン、家を買う。』： レティ
•  『蜘蛛ですが、なにか？』： シュン
•  『さらざんまい』： 陣内燕太
•  『アクダマドライブ』： ハッカー
•  『アイドルマスター SideM』： ピエール
•  『社長、バトルの時間です！』： ミナト</v>
      </c>
    </row>
    <row r="49" spans="1:6">
      <c r="A49" s="1" t="str">
        <f ca="1">IFERROR(__xludf.DUMMYFUNCTION("""COMPUTED_VALUE"""),"va_185")</f>
        <v>va_185</v>
      </c>
      <c r="B49" s="1" t="str">
        <f ca="1">IFERROR(__xludf.DUMMYFUNCTION("""COMPUTED_VALUE"""),"森久保祥太郎")</f>
        <v>森久保祥太郎</v>
      </c>
      <c r="C49" s="1" t="str">
        <f ca="1">IFERROR(__xludf.DUMMYFUNCTION("""COMPUTED_VALUE"""),"T")</f>
        <v>T</v>
      </c>
      <c r="D49" s="1" t="str">
        <f ca="1">IFERROR(__xludf.DUMMYFUNCTION("""COMPUTED_VALUE"""),"表示")</f>
        <v>表示</v>
      </c>
      <c r="E49" s="1">
        <f ca="1">IFERROR(__xludf.DUMMYFUNCTION("""COMPUTED_VALUE"""),13)</f>
        <v>13</v>
      </c>
      <c r="F49" s="1" t="str">
        <f ca="1">IFERROR(__xludf.DUMMYFUNCTION("""COMPUTED_VALUE"""),"•  『NARUTO -ナルト-』：奈良シカマル
•  『メジャー』：茂野吾郎
•  『弱虫ペダル』：巻島裕介
•  『うたの☆プリンスさまっ♪』：寿嶺二
•  『東京リベンジャーズ』：稀咲鉄太
•  『ペルソナ4』：花村陽介
•  『GetBackers -奪還屋-』：天野銀次
•  『薄桜鬼』：沖田総司")</f>
        <v>•  『NARUTO -ナルト-』：奈良シカマル
•  『メジャー』：茂野吾郎
•  『弱虫ペダル』：巻島裕介
•  『うたの☆プリンスさまっ♪』：寿嶺二
•  『東京リベンジャーズ』：稀咲鉄太
•  『ペルソナ4』：花村陽介
•  『GetBackers -奪還屋-』：天野銀次
•  『薄桜鬼』：沖田総司</v>
      </c>
    </row>
    <row r="50" spans="1:6">
      <c r="A50" s="1" t="str">
        <f ca="1">IFERROR(__xludf.DUMMYFUNCTION("""COMPUTED_VALUE"""),"va_072")</f>
        <v>va_072</v>
      </c>
      <c r="B50" s="1" t="str">
        <f ca="1">IFERROR(__xludf.DUMMYFUNCTION("""COMPUTED_VALUE"""),"小林千晃")</f>
        <v>小林千晃</v>
      </c>
      <c r="C50" s="1" t="str">
        <f ca="1">IFERROR(__xludf.DUMMYFUNCTION("""COMPUTED_VALUE"""),"T")</f>
        <v>T</v>
      </c>
      <c r="D50" s="1" t="str">
        <f ca="1">IFERROR(__xludf.DUMMYFUNCTION("""COMPUTED_VALUE"""),"表示")</f>
        <v>表示</v>
      </c>
      <c r="E50" s="1">
        <f ca="1">IFERROR(__xludf.DUMMYFUNCTION("""COMPUTED_VALUE"""),12)</f>
        <v>12</v>
      </c>
      <c r="F50" s="1" t="str">
        <f ca="1">IFERROR(__xludf.DUMMYFUNCTION("""COMPUTED_VALUE"""),"•  『マッシュル-MASHLE-』：マッシュ・バーンデッド
•  『SK∞ エスケーエイト』：馳河ランガ
•  『地獄楽』：画眉丸
•  『葬送のフリーレン』：シュタルク
•  『憂国のモリアーティ』：ルイス・ジェームズ・モリアーティ
•  『クールドジ男子』：一倉颯
•  『30歳まで童貞だと魔法使いになれるらしい』：安達清")</f>
        <v>•  『マッシュル-MASHLE-』：マッシュ・バーンデッド
•  『SK∞ エスケーエイト』：馳河ランガ
•  『地獄楽』：画眉丸
•  『葬送のフリーレン』：シュタルク
•  『憂国のモリアーティ』：ルイス・ジェームズ・モリアーティ
•  『クールドジ男子』：一倉颯
•  『30歳まで童貞だと魔法使いになれるらしい』：安達清</v>
      </c>
    </row>
    <row r="51" spans="1:6">
      <c r="A51" s="1" t="str">
        <f ca="1">IFERROR(__xludf.DUMMYFUNCTION("""COMPUTED_VALUE"""),"va_125")</f>
        <v>va_125</v>
      </c>
      <c r="B51" s="1" t="str">
        <f ca="1">IFERROR(__xludf.DUMMYFUNCTION("""COMPUTED_VALUE"""),"寺島拓篤")</f>
        <v>寺島拓篤</v>
      </c>
      <c r="C51" s="1" t="str">
        <f ca="1">IFERROR(__xludf.DUMMYFUNCTION("""COMPUTED_VALUE"""),"T")</f>
        <v>T</v>
      </c>
      <c r="D51" s="1" t="str">
        <f ca="1">IFERROR(__xludf.DUMMYFUNCTION("""COMPUTED_VALUE"""),"表示")</f>
        <v>表示</v>
      </c>
      <c r="E51" s="1">
        <f ca="1">IFERROR(__xludf.DUMMYFUNCTION("""COMPUTED_VALUE"""),12)</f>
        <v>12</v>
      </c>
      <c r="F51" s="1" t="str">
        <f ca="1">IFERROR(__xludf.DUMMYFUNCTION("""COMPUTED_VALUE"""),"•  『うたの☆プリンスさまっ♪』：一十木音也
•  『創聖のアクエリオン』：アポロ
•  『ログ・ホライズン』：シロエ
•  『転生したらスライムだった件』：三上悟
•  『EDENS ZERO』：シキ・グランベル
•  『魔法科高校の劣等生』：西城レオンハルト
•  『メカクシティアクターズ』：シンタロー
•  『アイドルマスター SideM』：天ヶ瀬冬馬")</f>
        <v>•  『うたの☆プリンスさまっ♪』：一十木音也
•  『創聖のアクエリオン』：アポロ
•  『ログ・ホライズン』：シロエ
•  『転生したらスライムだった件』：三上悟
•  『EDENS ZERO』：シキ・グランベル
•  『魔法科高校の劣等生』：西城レオンハルト
•  『メカクシティアクターズ』：シンタロー
•  『アイドルマスター SideM』：天ヶ瀬冬馬</v>
      </c>
    </row>
    <row r="52" spans="1:6">
      <c r="A52" s="1" t="str">
        <f ca="1">IFERROR(__xludf.DUMMYFUNCTION("""COMPUTED_VALUE"""),"va_134")</f>
        <v>va_134</v>
      </c>
      <c r="B52" s="1" t="str">
        <f ca="1">IFERROR(__xludf.DUMMYFUNCTION("""COMPUTED_VALUE"""),"中島ヨシキ")</f>
        <v>中島ヨシキ</v>
      </c>
      <c r="C52" s="1" t="str">
        <f ca="1">IFERROR(__xludf.DUMMYFUNCTION("""COMPUTED_VALUE"""),"T")</f>
        <v>T</v>
      </c>
      <c r="D52" s="1" t="str">
        <f ca="1">IFERROR(__xludf.DUMMYFUNCTION("""COMPUTED_VALUE"""),"表示")</f>
        <v>表示</v>
      </c>
      <c r="E52" s="1">
        <f ca="1">IFERROR(__xludf.DUMMYFUNCTION("""COMPUTED_VALUE"""),12)</f>
        <v>12</v>
      </c>
      <c r="F52" s="1" t="str">
        <f ca="1">IFERROR(__xludf.DUMMYFUNCTION("""COMPUTED_VALUE"""),"•  『あんさんぶるスターズ！』：南雲鉄虎
•  『アイドルマスター SideM』：山下次郎
•  『ヒナまつり』：新田義史
•  『プランダラ』：リヒトー＝バッハ
•  『スタンドマイヒーローズ』：桐嶋宏弥
•  『Dr.STONE』：上井陽
•  『Unnamed Memory』：オスカー")</f>
        <v>•  『あんさんぶるスターズ！』：南雲鉄虎
•  『アイドルマスター SideM』：山下次郎
•  『ヒナまつり』：新田義史
•  『プランダラ』：リヒトー＝バッハ
•  『スタンドマイヒーローズ』：桐嶋宏弥
•  『Dr.STONE』：上井陽
•  『Unnamed Memory』：オスカー</v>
      </c>
    </row>
    <row r="53" spans="1:6">
      <c r="A53" s="1" t="str">
        <f ca="1">IFERROR(__xludf.DUMMYFUNCTION("""COMPUTED_VALUE"""),"va_143")</f>
        <v>va_143</v>
      </c>
      <c r="B53" s="1" t="str">
        <f ca="1">IFERROR(__xludf.DUMMYFUNCTION("""COMPUTED_VALUE"""),"野島健児")</f>
        <v>野島健児</v>
      </c>
      <c r="C53" s="1" t="str">
        <f ca="1">IFERROR(__xludf.DUMMYFUNCTION("""COMPUTED_VALUE"""),"T")</f>
        <v>T</v>
      </c>
      <c r="D53" s="1" t="str">
        <f ca="1">IFERROR(__xludf.DUMMYFUNCTION("""COMPUTED_VALUE"""),"表示")</f>
        <v>表示</v>
      </c>
      <c r="E53" s="1">
        <f ca="1">IFERROR(__xludf.DUMMYFUNCTION("""COMPUTED_VALUE"""),12)</f>
        <v>12</v>
      </c>
      <c r="F53" s="1" t="str">
        <f ca="1">IFERROR(__xludf.DUMMYFUNCTION("""COMPUTED_VALUE"""),"•  『PSYCHO-PASS サイコパス』：宜野座伸元
•  『BANANA FISH』：奥村英二
•  『あんさんぶるスターズ！』：逆先夏目
•  『美少女戦士セーラームーンCrystal』：地場衛／タキシード仮面
•  『ハイキュー!!』：北信介
•  『ハイスクールD×D』：木場祐斗
•  『干物妹！うまるちゃん』：土間タイヘイ
•  『弱虫ペダル』：黒田雪成
•  『原神』：アルベド
•  『恋と深空』：マヒル")</f>
        <v>•  『PSYCHO-PASS サイコパス』：宜野座伸元
•  『BANANA FISH』：奥村英二
•  『あんさんぶるスターズ！』：逆先夏目
•  『美少女戦士セーラームーンCrystal』：地場衛／タキシード仮面
•  『ハイキュー!!』：北信介
•  『ハイスクールD×D』：木場祐斗
•  『干物妹！うまるちゃん』：土間タイヘイ
•  『弱虫ペダル』：黒田雪成
•  『原神』：アルベド
•  『恋と深空』：マヒル</v>
      </c>
    </row>
    <row r="54" spans="1:6">
      <c r="A54" s="1" t="str">
        <f ca="1">IFERROR(__xludf.DUMMYFUNCTION("""COMPUTED_VALUE"""),"va_003")</f>
        <v>va_003</v>
      </c>
      <c r="B54" s="1" t="str">
        <f ca="1">IFERROR(__xludf.DUMMYFUNCTION("""COMPUTED_VALUE"""),"阿座上洋平")</f>
        <v>阿座上洋平</v>
      </c>
      <c r="C54" s="1" t="str">
        <f ca="1">IFERROR(__xludf.DUMMYFUNCTION("""COMPUTED_VALUE"""),"T")</f>
        <v>T</v>
      </c>
      <c r="D54" s="1" t="str">
        <f ca="1">IFERROR(__xludf.DUMMYFUNCTION("""COMPUTED_VALUE"""),"表示")</f>
        <v>表示</v>
      </c>
      <c r="E54" s="1">
        <f ca="1">IFERROR(__xludf.DUMMYFUNCTION("""COMPUTED_VALUE"""),11)</f>
        <v>11</v>
      </c>
      <c r="F54" s="1" t="str">
        <f ca="1">IFERROR(__xludf.DUMMYFUNCTION("""COMPUTED_VALUE"""),"•  『機動戦士ガンダム 水星の魔女』：グエル・ジェターク
•  『あんさんぶるスターズ！！』：天城燐音
•  『クロムクロ』：青馬剣之介時貞
•  『鴨乃橋ロンの禁断推理』：鴨乃橋ロン")</f>
        <v>•  『機動戦士ガンダム 水星の魔女』：グエル・ジェターク
•  『あんさんぶるスターズ！！』：天城燐音
•  『クロムクロ』：青馬剣之介時貞
•  『鴨乃橋ロンの禁断推理』：鴨乃橋ロン</v>
      </c>
    </row>
    <row r="55" spans="1:6">
      <c r="A55" s="1" t="str">
        <f ca="1">IFERROR(__xludf.DUMMYFUNCTION("""COMPUTED_VALUE"""),"va_007")</f>
        <v>va_007</v>
      </c>
      <c r="B55" s="1" t="str">
        <f ca="1">IFERROR(__xludf.DUMMYFUNCTION("""COMPUTED_VALUE"""),"天﨑滉平")</f>
        <v>天﨑滉平</v>
      </c>
      <c r="C55" s="1" t="str">
        <f ca="1">IFERROR(__xludf.DUMMYFUNCTION("""COMPUTED_VALUE"""),"T")</f>
        <v>T</v>
      </c>
      <c r="D55" s="1" t="str">
        <f ca="1">IFERROR(__xludf.DUMMYFUNCTION("""COMPUTED_VALUE"""),"表示")</f>
        <v>表示</v>
      </c>
      <c r="E55" s="1">
        <f ca="1">IFERROR(__xludf.DUMMYFUNCTION("""COMPUTED_VALUE"""),11)</f>
        <v>11</v>
      </c>
      <c r="F55" s="1" t="str">
        <f ca="1">IFERROR(__xludf.DUMMYFUNCTION("""COMPUTED_VALUE"""),"•  『ヒプノシスマイク』：山田三郎
•  『Re:ゼロから始める異世界生活』：オットー・スーウェン
•  『ハイスコアガール』：矢口春雄
•  『僕のヒーローアカデミア』：物間寧人
•  『あんさんぶるスターズ！！』：白鳥藍良")</f>
        <v>•  『ヒプノシスマイク』：山田三郎
•  『Re:ゼロから始める異世界生活』：オットー・スーウェン
•  『ハイスコアガール』：矢口春雄
•  『僕のヒーローアカデミア』：物間寧人
•  『あんさんぶるスターズ！！』：白鳥藍良</v>
      </c>
    </row>
    <row r="56" spans="1:6">
      <c r="A56" s="1" t="str">
        <f ca="1">IFERROR(__xludf.DUMMYFUNCTION("""COMPUTED_VALUE"""),"va_028")</f>
        <v>va_028</v>
      </c>
      <c r="B56" s="1" t="str">
        <f ca="1">IFERROR(__xludf.DUMMYFUNCTION("""COMPUTED_VALUE"""),"上村祐翔")</f>
        <v>上村祐翔</v>
      </c>
      <c r="C56" s="1" t="str">
        <f ca="1">IFERROR(__xludf.DUMMYFUNCTION("""COMPUTED_VALUE"""),"T")</f>
        <v>T</v>
      </c>
      <c r="D56" s="1" t="str">
        <f ca="1">IFERROR(__xludf.DUMMYFUNCTION("""COMPUTED_VALUE"""),"表示")</f>
        <v>表示</v>
      </c>
      <c r="E56" s="1">
        <f ca="1">IFERROR(__xludf.DUMMYFUNCTION("""COMPUTED_VALUE"""),11)</f>
        <v>11</v>
      </c>
      <c r="F56" s="1" t="str">
        <f ca="1">IFERROR(__xludf.DUMMYFUNCTION("""COMPUTED_VALUE"""),"•  『文豪ストレイドッグス』：中島敦
•  『ダーリン・イン・ザ・フランキス』：ヒロ
•  『僕のヒーローアカデミア』：天喰環
•  『ヴィンランド・サガ』：トルフィン
•  『ツルネ ―風舞高校弓道部―』：鳴宮湊
•  『B-PROJECT』：増長和南")</f>
        <v>•  『文豪ストレイドッグス』：中島敦
•  『ダーリン・イン・ザ・フランキス』：ヒロ
•  『僕のヒーローアカデミア』：天喰環
•  『ヴィンランド・サガ』：トルフィン
•  『ツルネ ―風舞高校弓道部―』：鳴宮湊
•  『B-PROJECT』：増長和南</v>
      </c>
    </row>
    <row r="57" spans="1:6">
      <c r="A57" s="1" t="str">
        <f ca="1">IFERROR(__xludf.DUMMYFUNCTION("""COMPUTED_VALUE"""),"va_076")</f>
        <v>va_076</v>
      </c>
      <c r="B57" s="1" t="str">
        <f ca="1">IFERROR(__xludf.DUMMYFUNCTION("""COMPUTED_VALUE"""),"小松昌平")</f>
        <v>小松昌平</v>
      </c>
      <c r="C57" s="1" t="str">
        <f ca="1">IFERROR(__xludf.DUMMYFUNCTION("""COMPUTED_VALUE"""),"T")</f>
        <v>T</v>
      </c>
      <c r="D57" s="1" t="str">
        <f ca="1">IFERROR(__xludf.DUMMYFUNCTION("""COMPUTED_VALUE"""),"表示")</f>
        <v>表示</v>
      </c>
      <c r="E57" s="1">
        <f ca="1">IFERROR(__xludf.DUMMYFUNCTION("""COMPUTED_VALUE"""),11)</f>
        <v>11</v>
      </c>
      <c r="F57" s="1" t="str">
        <f ca="1">IFERROR(__xludf.DUMMYFUNCTION("""COMPUTED_VALUE"""),"•  『アイドルマスター SideM』：牙崎漣
•  『賢者の孫』：アウグスト＝フォン＝アールスハイド
•  『number24』：都留靖也
•  『葬送のフリーレン』：ラント
•  『SHOW BY ROCK!!』：ハッチン
•  『刀剣乱舞』：肥前忠広")</f>
        <v>•  『アイドルマスター SideM』：牙崎漣
•  『賢者の孫』：アウグスト＝フォン＝アールスハイド
•  『number24』：都留靖也
•  『葬送のフリーレン』：ラント
•  『SHOW BY ROCK!!』：ハッチン
•  『刀剣乱舞』：肥前忠広</v>
      </c>
    </row>
    <row r="58" spans="1:6">
      <c r="A58" s="1" t="str">
        <f ca="1">IFERROR(__xludf.DUMMYFUNCTION("""COMPUTED_VALUE"""),"va_004")</f>
        <v>va_004</v>
      </c>
      <c r="B58" s="1" t="str">
        <f ca="1">IFERROR(__xludf.DUMMYFUNCTION("""COMPUTED_VALUE"""),"浅沼晋太郎")</f>
        <v>浅沼晋太郎</v>
      </c>
      <c r="C58" s="1" t="str">
        <f ca="1">IFERROR(__xludf.DUMMYFUNCTION("""COMPUTED_VALUE"""),"T")</f>
        <v>T</v>
      </c>
      <c r="D58" s="1" t="str">
        <f ca="1">IFERROR(__xludf.DUMMYFUNCTION("""COMPUTED_VALUE"""),"表示")</f>
        <v>表示</v>
      </c>
      <c r="E58" s="1">
        <f ca="1">IFERROR(__xludf.DUMMYFUNCTION("""COMPUTED_VALUE"""),10)</f>
        <v>10</v>
      </c>
      <c r="F58" s="1" t="str">
        <f ca="1">IFERROR(__xludf.DUMMYFUNCTION("""COMPUTED_VALUE"""),"•  『ヒプノシスマイク』：碧棺左馬刻
•  『あんさんぶるスターズ！』：月永レオ
•  『生徒会役員共』：津田タカトシ
•  『ダイヤのA』：倉持洋一
•  『ギヴン』：村田雨月")</f>
        <v>•  『ヒプノシスマイク』：碧棺左馬刻
•  『あんさんぶるスターズ！』：月永レオ
•  『生徒会役員共』：津田タカトシ
•  『ダイヤのA』：倉持洋一
•  『ギヴン』：村田雨月</v>
      </c>
    </row>
    <row r="59" spans="1:6">
      <c r="A59" s="1" t="str">
        <f ca="1">IFERROR(__xludf.DUMMYFUNCTION("""COMPUTED_VALUE"""),"va_036")</f>
        <v>va_036</v>
      </c>
      <c r="B59" s="1" t="str">
        <f ca="1">IFERROR(__xludf.DUMMYFUNCTION("""COMPUTED_VALUE"""),"榎木淳弥")</f>
        <v>榎木淳弥</v>
      </c>
      <c r="C59" s="1" t="str">
        <f ca="1">IFERROR(__xludf.DUMMYFUNCTION("""COMPUTED_VALUE"""),"T")</f>
        <v>T</v>
      </c>
      <c r="D59" s="1" t="str">
        <f ca="1">IFERROR(__xludf.DUMMYFUNCTION("""COMPUTED_VALUE"""),"表示")</f>
        <v>表示</v>
      </c>
      <c r="E59" s="1">
        <f ca="1">IFERROR(__xludf.DUMMYFUNCTION("""COMPUTED_VALUE"""),10)</f>
        <v>10</v>
      </c>
      <c r="F59" s="1" t="str">
        <f ca="1">IFERROR(__xludf.DUMMYFUNCTION("""COMPUTED_VALUE"""),"•  『呪術廻戦』：虎杖悠仁
•  『ジョジョの奇妙な冒険 黄金の風』：パンナコッタ・フーゴ
•  『トニカクカワイイ』：由崎星空
•  『アイドルマスター SideM』：舞田類
•  『め組の大吾 救国のオレンジ』：十朱大吾")</f>
        <v>•  『呪術廻戦』：虎杖悠仁
•  『ジョジョの奇妙な冒険 黄金の風』：パンナコッタ・フーゴ
•  『トニカクカワイイ』：由崎星空
•  『アイドルマスター SideM』：舞田類
•  『め組の大吾 救国のオレンジ』：十朱大吾</v>
      </c>
    </row>
    <row r="60" spans="1:6">
      <c r="A60" s="1" t="str">
        <f ca="1">IFERROR(__xludf.DUMMYFUNCTION("""COMPUTED_VALUE"""),"va_044")</f>
        <v>va_044</v>
      </c>
      <c r="B60" s="1" t="str">
        <f ca="1">IFERROR(__xludf.DUMMYFUNCTION("""COMPUTED_VALUE"""),"興津和幸")</f>
        <v>興津和幸</v>
      </c>
      <c r="C60" s="1" t="str">
        <f ca="1">IFERROR(__xludf.DUMMYFUNCTION("""COMPUTED_VALUE"""),"T")</f>
        <v>T</v>
      </c>
      <c r="D60" s="1" t="str">
        <f ca="1">IFERROR(__xludf.DUMMYFUNCTION("""COMPUTED_VALUE"""),"表示")</f>
        <v>表示</v>
      </c>
      <c r="E60" s="1">
        <f ca="1">IFERROR(__xludf.DUMMYFUNCTION("""COMPUTED_VALUE"""),10)</f>
        <v>10</v>
      </c>
      <c r="F60" s="1" t="str">
        <f ca="1">IFERROR(__xludf.DUMMYFUNCTION("""COMPUTED_VALUE"""),"•  『ジョジョの奇妙な冒険』：ジョナサン・ジョースター
•  『アイドリッシュセブン』：大神万理
•  『BROTHERS CONFLICT』：朝日奈雅臣
•  『刀剣乱舞』：蜂須賀虎徹
•  『蒼き鋼のアルペジオ -アルス・ノヴァ-』：千早群像")</f>
        <v>•  『ジョジョの奇妙な冒険』：ジョナサン・ジョースター
•  『アイドリッシュセブン』：大神万理
•  『BROTHERS CONFLICT』：朝日奈雅臣
•  『刀剣乱舞』：蜂須賀虎徹
•  『蒼き鋼のアルペジオ -アルス・ノヴァ-』：千早群像</v>
      </c>
    </row>
    <row r="61" spans="1:6">
      <c r="A61" s="1" t="str">
        <f ca="1">IFERROR(__xludf.DUMMYFUNCTION("""COMPUTED_VALUE"""),"va_069")</f>
        <v>va_069</v>
      </c>
      <c r="B61" s="1" t="str">
        <f ca="1">IFERROR(__xludf.DUMMYFUNCTION("""COMPUTED_VALUE"""),"熊谷健太郎")</f>
        <v>熊谷健太郎</v>
      </c>
      <c r="C61" s="1" t="str">
        <f ca="1">IFERROR(__xludf.DUMMYFUNCTION("""COMPUTED_VALUE"""),"T")</f>
        <v>T</v>
      </c>
      <c r="D61" s="1" t="str">
        <f ca="1">IFERROR(__xludf.DUMMYFUNCTION("""COMPUTED_VALUE"""),"表示")</f>
        <v>表示</v>
      </c>
      <c r="E61" s="1">
        <f ca="1">IFERROR(__xludf.DUMMYFUNCTION("""COMPUTED_VALUE"""),10)</f>
        <v>10</v>
      </c>
      <c r="F61" s="1" t="str">
        <f ca="1">IFERROR(__xludf.DUMMYFUNCTION("""COMPUTED_VALUE"""),"•  『ダンジョン飯』：ライオス
•  『アイドルマスター SideM』：握野英雄
•  『A3!』：伏見臣
•  『機動戦士ガンダム 鉄血のオルフェンズ』：アストン・アルトランド
•  『ゴッド・オブ・ハイスクール』：ハン・デウィ
•  『グランクレスト戦記』：テオ・コルネーロ")</f>
        <v>•  『ダンジョン飯』：ライオス
•  『アイドルマスター SideM』：握野英雄
•  『A3!』：伏見臣
•  『機動戦士ガンダム 鉄血のオルフェンズ』：アストン・アルトランド
•  『ゴッド・オブ・ハイスクール』：ハン・デウィ
•  『グランクレスト戦記』：テオ・コルネーロ</v>
      </c>
    </row>
    <row r="62" spans="1:6">
      <c r="A62" s="1" t="str">
        <f ca="1">IFERROR(__xludf.DUMMYFUNCTION("""COMPUTED_VALUE"""),"va_095")</f>
        <v>va_095</v>
      </c>
      <c r="B62" s="1" t="str">
        <f ca="1">IFERROR(__xludf.DUMMYFUNCTION("""COMPUTED_VALUE"""),"下野紘")</f>
        <v>下野紘</v>
      </c>
      <c r="C62" s="1" t="str">
        <f ca="1">IFERROR(__xludf.DUMMYFUNCTION("""COMPUTED_VALUE"""),"T")</f>
        <v>T</v>
      </c>
      <c r="D62" s="1" t="str">
        <f ca="1">IFERROR(__xludf.DUMMYFUNCTION("""COMPUTED_VALUE"""),"表示")</f>
        <v>表示</v>
      </c>
      <c r="E62" s="1">
        <f ca="1">IFERROR(__xludf.DUMMYFUNCTION("""COMPUTED_VALUE"""),10)</f>
        <v>10</v>
      </c>
      <c r="F62" s="1" t="str">
        <f ca="1">IFERROR(__xludf.DUMMYFUNCTION("""COMPUTED_VALUE"""),"•  『鬼滅の刃』：我妻善逸
•  『うたの☆プリンスさまっ♪』：来栖翔
•  『僕のヒーローアカデミア』：荼毘
•  『進撃の巨人』：コニー・スプリンガー
•  『バカとテストと召喚獣』：吉井明久
•  『ACCA13区監察課』：ジーン・オータス")</f>
        <v>•  『鬼滅の刃』：我妻善逸
•  『うたの☆プリンスさまっ♪』：来栖翔
•  『僕のヒーローアカデミア』：荼毘
•  『進撃の巨人』：コニー・スプリンガー
•  『バカとテストと召喚獣』：吉井明久
•  『ACCA13区監察課』：ジーン・オータス</v>
      </c>
    </row>
    <row r="63" spans="1:6">
      <c r="A63" s="1" t="str">
        <f ca="1">IFERROR(__xludf.DUMMYFUNCTION("""COMPUTED_VALUE"""),"va_097")</f>
        <v>va_097</v>
      </c>
      <c r="B63" s="1" t="str">
        <f ca="1">IFERROR(__xludf.DUMMYFUNCTION("""COMPUTED_VALUE"""),"杉田智和")</f>
        <v>杉田智和</v>
      </c>
      <c r="C63" s="1" t="str">
        <f ca="1">IFERROR(__xludf.DUMMYFUNCTION("""COMPUTED_VALUE"""),"T")</f>
        <v>T</v>
      </c>
      <c r="D63" s="1" t="str">
        <f ca="1">IFERROR(__xludf.DUMMYFUNCTION("""COMPUTED_VALUE"""),"表示")</f>
        <v>表示</v>
      </c>
      <c r="E63" s="1">
        <f ca="1">IFERROR(__xludf.DUMMYFUNCTION("""COMPUTED_VALUE"""),10)</f>
        <v>10</v>
      </c>
      <c r="F63" s="1" t="str">
        <f ca="1">IFERROR(__xludf.DUMMYFUNCTION("""COMPUTED_VALUE"""),"•  『銀魂』：坂田銀時
•  『涼宮ハルヒの憂鬱』：キョン
•  『ジョジョの奇妙な冒険』：ジョセフ・ジョースター
•  『無職転生 ～異世界行ったら本気だす～』：前世の男
•  『鬼滅の刃』：悲鳴嶼行冥
•  『七つの大罪』：エスカノール
•  『SAKAMOTO DAYS』：坂本太郎")</f>
        <v>•  『銀魂』：坂田銀時
•  『涼宮ハルヒの憂鬱』：キョン
•  『ジョジョの奇妙な冒険』：ジョセフ・ジョースター
•  『無職転生 ～異世界行ったら本気だす～』：前世の男
•  『鬼滅の刃』：悲鳴嶼行冥
•  『七つの大罪』：エスカノール
•  『SAKAMOTO DAYS』：坂本太郎</v>
      </c>
    </row>
    <row r="64" spans="1:6">
      <c r="A64" s="1" t="str">
        <f ca="1">IFERROR(__xludf.DUMMYFUNCTION("""COMPUTED_VALUE"""),"va_120")</f>
        <v>va_120</v>
      </c>
      <c r="B64" s="1" t="str">
        <f ca="1">IFERROR(__xludf.DUMMYFUNCTION("""COMPUTED_VALUE"""),"津田健次郎")</f>
        <v>津田健次郎</v>
      </c>
      <c r="C64" s="1" t="str">
        <f ca="1">IFERROR(__xludf.DUMMYFUNCTION("""COMPUTED_VALUE"""),"T")</f>
        <v>T</v>
      </c>
      <c r="D64" s="1" t="str">
        <f ca="1">IFERROR(__xludf.DUMMYFUNCTION("""COMPUTED_VALUE"""),"表示")</f>
        <v>表示</v>
      </c>
      <c r="E64" s="1">
        <f ca="1">IFERROR(__xludf.DUMMYFUNCTION("""COMPUTED_VALUE"""),10)</f>
        <v>10</v>
      </c>
      <c r="F64" s="1" t="str">
        <f ca="1">IFERROR(__xludf.DUMMYFUNCTION("""COMPUTED_VALUE"""),"•  『遊☆戯☆王デュエルモンスターズ』：海馬瀬人
•  『テニスの王子様』：乾貞治
•  『ゴールデンカムイ』：尾形百之助
•  『呪術廻戦』：七海建人
•  『チェンソーマン』：岸辺
•  『TIGER &amp; BUNNY』：ネイサン・シーモア（ファイヤーエンブレム）
•  『薄桜鬼』：風間千景
•  『チ。―地球の運動について―』：ノヴァク")</f>
        <v>•  『遊☆戯☆王デュエルモンスターズ』：海馬瀬人
•  『テニスの王子様』：乾貞治
•  『ゴールデンカムイ』：尾形百之助
•  『呪術廻戦』：七海建人
•  『チェンソーマン』：岸辺
•  『TIGER &amp; BUNNY』：ネイサン・シーモア（ファイヤーエンブレム）
•  『薄桜鬼』：風間千景
•  『チ。―地球の運動について―』：ノヴァク</v>
      </c>
    </row>
    <row r="65" spans="1:6">
      <c r="A65" s="1" t="str">
        <f ca="1">IFERROR(__xludf.DUMMYFUNCTION("""COMPUTED_VALUE"""),"va_180")</f>
        <v>va_180</v>
      </c>
      <c r="B65" s="1" t="str">
        <f ca="1">IFERROR(__xludf.DUMMYFUNCTION("""COMPUTED_VALUE"""),"緑川光")</f>
        <v>緑川光</v>
      </c>
      <c r="C65" s="1" t="str">
        <f ca="1">IFERROR(__xludf.DUMMYFUNCTION("""COMPUTED_VALUE"""),"T")</f>
        <v>T</v>
      </c>
      <c r="D65" s="1" t="str">
        <f ca="1">IFERROR(__xludf.DUMMYFUNCTION("""COMPUTED_VALUE"""),"表示")</f>
        <v>表示</v>
      </c>
      <c r="E65" s="1">
        <f ca="1">IFERROR(__xludf.DUMMYFUNCTION("""COMPUTED_VALUE"""),10)</f>
        <v>10</v>
      </c>
      <c r="F65" s="1" t="str">
        <f ca="1">IFERROR(__xludf.DUMMYFUNCTION("""COMPUTED_VALUE"""),"•  『SLAM DUNK』：流川楓
•  『新機動戦記ガンダムW』：ヒイロ・ユイ
•  『スレイヤーズ』：ゼルガディス＝グレイワーズ
•  『あんさんぶるスターズ！』：天祥院英智
•  『DIABOLIK LOVERS』：逆巻アヤト
•  『ワンパンマン』：ガロウ
•  『名探偵コナン』：諸伏景光／スコッチ
•  『SSSS.GRIDMAN』：グリッドマン")</f>
        <v>•  『SLAM DUNK』：流川楓
•  『新機動戦記ガンダムW』：ヒイロ・ユイ
•  『スレイヤーズ』：ゼルガディス＝グレイワーズ
•  『あんさんぶるスターズ！』：天祥院英智
•  『DIABOLIK LOVERS』：逆巻アヤト
•  『ワンパンマン』：ガロウ
•  『名探偵コナン』：諸伏景光／スコッチ
•  『SSSS.GRIDMAN』：グリッドマン</v>
      </c>
    </row>
    <row r="66" spans="1:6">
      <c r="A66" s="1" t="str">
        <f ca="1">IFERROR(__xludf.DUMMYFUNCTION("""COMPUTED_VALUE"""),"va_186")</f>
        <v>va_186</v>
      </c>
      <c r="B66" s="1" t="str">
        <f ca="1">IFERROR(__xludf.DUMMYFUNCTION("""COMPUTED_VALUE"""),"森川智之")</f>
        <v>森川智之</v>
      </c>
      <c r="C66" s="1" t="str">
        <f ca="1">IFERROR(__xludf.DUMMYFUNCTION("""COMPUTED_VALUE"""),"T")</f>
        <v>T</v>
      </c>
      <c r="D66" s="1" t="str">
        <f ca="1">IFERROR(__xludf.DUMMYFUNCTION("""COMPUTED_VALUE"""),"表示")</f>
        <v>表示</v>
      </c>
      <c r="E66" s="1">
        <f ca="1">IFERROR(__xludf.DUMMYFUNCTION("""COMPUTED_VALUE"""),10)</f>
        <v>10</v>
      </c>
      <c r="F66" s="1" t="str">
        <f ca="1">IFERROR(__xludf.DUMMYFUNCTION("""COMPUTED_VALUE"""),"•  『クレヨンしんちゃん』：野原ひろし（2代目）
•  『ファイナルファンタジーVII』：セフィロス
•  『鬼滅の刃』：産屋敷耀哉
•  『犬夜叉』：奈落
•  『ジョジョの奇妙な冒険 ダイヤモンドは砕けない』：吉良吉影
•  『名探偵コナン』：羽田秀吉
•  『メイドインアビス』：ボンドルド")</f>
        <v>•  『クレヨンしんちゃん』：野原ひろし（2代目）
•  『ファイナルファンタジーVII』：セフィロス
•  『鬼滅の刃』：産屋敷耀哉
•  『犬夜叉』：奈落
•  『ジョジョの奇妙な冒険 ダイヤモンドは砕けない』：吉良吉影
•  『名探偵コナン』：羽田秀吉
•  『メイドインアビス』：ボンドルド</v>
      </c>
    </row>
    <row r="67" spans="1:6">
      <c r="A67" s="1" t="str">
        <f ca="1">IFERROR(__xludf.DUMMYFUNCTION("""COMPUTED_VALUE"""),"va_196")</f>
        <v>va_196</v>
      </c>
      <c r="B67" s="1" t="str">
        <f ca="1">IFERROR(__xludf.DUMMYFUNCTION("""COMPUTED_VALUE"""),"山谷祥生")</f>
        <v>山谷祥生</v>
      </c>
      <c r="C67" s="1" t="str">
        <f ca="1">IFERROR(__xludf.DUMMYFUNCTION("""COMPUTED_VALUE"""),"T")</f>
        <v>T</v>
      </c>
      <c r="D67" s="1" t="str">
        <f ca="1">IFERROR(__xludf.DUMMYFUNCTION("""COMPUTED_VALUE"""),"表示")</f>
        <v>表示</v>
      </c>
      <c r="E67" s="1">
        <f ca="1">IFERROR(__xludf.DUMMYFUNCTION("""COMPUTED_VALUE"""),10)</f>
        <v>10</v>
      </c>
      <c r="F67" s="1" t="str">
        <f ca="1">IFERROR(__xludf.DUMMYFUNCTION("""COMPUTED_VALUE"""),"・『一週間フレンズ。』： 長谷祐樹
・『暗殺教室』： 杉野友人
・『盾の勇者の成り上がり』： 川澄樹
・『A3!』： 向坂椋
・『魔入りました！入間くん』： シャックス・リード
・『アルドノア・ゼロ』： 箕国起助")</f>
        <v>・『一週間フレンズ。』： 長谷祐樹
・『暗殺教室』： 杉野友人
・『盾の勇者の成り上がり』： 川澄樹
・『A3!』： 向坂椋
・『魔入りました！入間くん』： シャックス・リード
・『アルドノア・ゼロ』： 箕国起助</v>
      </c>
    </row>
    <row r="68" spans="1:6">
      <c r="A68" s="1" t="str">
        <f ca="1">IFERROR(__xludf.DUMMYFUNCTION("""COMPUTED_VALUE"""),"va_043")</f>
        <v>va_043</v>
      </c>
      <c r="B68" s="1" t="str">
        <f ca="1">IFERROR(__xludf.DUMMYFUNCTION("""COMPUTED_VALUE"""),"置鮎龍太郎")</f>
        <v>置鮎龍太郎</v>
      </c>
      <c r="C68" s="1" t="str">
        <f ca="1">IFERROR(__xludf.DUMMYFUNCTION("""COMPUTED_VALUE"""),"T")</f>
        <v>T</v>
      </c>
      <c r="D68" s="1" t="str">
        <f ca="1">IFERROR(__xludf.DUMMYFUNCTION("""COMPUTED_VALUE"""),"表示")</f>
        <v>表示</v>
      </c>
      <c r="E68" s="1">
        <f ca="1">IFERROR(__xludf.DUMMYFUNCTION("""COMPUTED_VALUE"""),9)</f>
        <v>9</v>
      </c>
      <c r="F68" s="1" t="str">
        <f ca="1">IFERROR(__xludf.DUMMYFUNCTION("""COMPUTED_VALUE"""),"•  『テニスの王子様』：手塚国光
•  『BLEACH』：朽木白哉
•  『SLAM DUNK』：三井寿
•  『地獄先生ぬ～べ～』：鵺野鳴介
•  『鋼の錬金術師』：スカー
•  『トリコ』：トリコ
•  『名探偵コナン』：沖矢昴")</f>
        <v>•  『テニスの王子様』：手塚国光
•  『BLEACH』：朽木白哉
•  『SLAM DUNK』：三井寿
•  『地獄先生ぬ～べ～』：鵺野鳴介
•  『鋼の錬金術師』：スカー
•  『トリコ』：トリコ
•  『名探偵コナン』：沖矢昴</v>
      </c>
    </row>
    <row r="69" spans="1:6">
      <c r="A69" s="1" t="str">
        <f ca="1">IFERROR(__xludf.DUMMYFUNCTION("""COMPUTED_VALUE"""),"va_080")</f>
        <v>va_080</v>
      </c>
      <c r="B69" s="1" t="str">
        <f ca="1">IFERROR(__xludf.DUMMYFUNCTION("""COMPUTED_VALUE"""),"子安武人")</f>
        <v>子安武人</v>
      </c>
      <c r="C69" s="1" t="str">
        <f ca="1">IFERROR(__xludf.DUMMYFUNCTION("""COMPUTED_VALUE"""),"T")</f>
        <v>T</v>
      </c>
      <c r="D69" s="1" t="str">
        <f ca="1">IFERROR(__xludf.DUMMYFUNCTION("""COMPUTED_VALUE"""),"表示")</f>
        <v>表示</v>
      </c>
      <c r="E69" s="1">
        <f ca="1">IFERROR(__xludf.DUMMYFUNCTION("""COMPUTED_VALUE"""),9)</f>
        <v>9</v>
      </c>
      <c r="F69" s="1" t="str">
        <f ca="1">IFERROR(__xludf.DUMMYFUNCTION("""COMPUTED_VALUE"""),"•  『ジョジョの奇妙な冒険』：ディオ・ブランドー／DIO
•  『銀魂』：高杉晋助
•  『進撃の巨人』：ジーク・イェーガー
•  『新機動戦記ガンダムW』：ゼクス・マーキス
•  『機動戦士ガンダムSEED』：ムウ・ラ・フラガ
•  『ONE PIECE』：クザン（青キジ）
•  『Re:ゼロから始める異世界生活』：ロズワール・L・メイザース")</f>
        <v>•  『ジョジョの奇妙な冒険』：ディオ・ブランドー／DIO
•  『銀魂』：高杉晋助
•  『進撃の巨人』：ジーク・イェーガー
•  『新機動戦記ガンダムW』：ゼクス・マーキス
•  『機動戦士ガンダムSEED』：ムウ・ラ・フラガ
•  『ONE PIECE』：クザン（青キジ）
•  『Re:ゼロから始める異世界生活』：ロズワール・L・メイザース</v>
      </c>
    </row>
    <row r="70" spans="1:6">
      <c r="A70" s="1" t="str">
        <f ca="1">IFERROR(__xludf.DUMMYFUNCTION("""COMPUTED_VALUE"""),"va_098")</f>
        <v>va_098</v>
      </c>
      <c r="B70" s="1" t="str">
        <f ca="1">IFERROR(__xludf.DUMMYFUNCTION("""COMPUTED_VALUE"""),"杉山紀彰")</f>
        <v>杉山紀彰</v>
      </c>
      <c r="C70" s="1" t="str">
        <f ca="1">IFERROR(__xludf.DUMMYFUNCTION("""COMPUTED_VALUE"""),"T")</f>
        <v>T</v>
      </c>
      <c r="D70" s="1" t="str">
        <f ca="1">IFERROR(__xludf.DUMMYFUNCTION("""COMPUTED_VALUE"""),"表示")</f>
        <v>表示</v>
      </c>
      <c r="E70" s="1">
        <f ca="1">IFERROR(__xludf.DUMMYFUNCTION("""COMPUTED_VALUE"""),9)</f>
        <v>9</v>
      </c>
      <c r="F70" s="1" t="str">
        <f ca="1">IFERROR(__xludf.DUMMYFUNCTION("""COMPUTED_VALUE"""),"•  『NARUTO -ナルト-』：うちはサスケ
•  『BLEACH』：石田雨竜
•  『Fate/stay night』：衛宮士郎
•  『ヘタリア』：イギリス
•  『魔法使いの約束』：ネロ
•  『ONE PIECE』：ヴィンスモーク・イチジ
•  『ディズニー ツイステッドワンダーランド』：グリム")</f>
        <v>•  『NARUTO -ナルト-』：うちはサスケ
•  『BLEACH』：石田雨竜
•  『Fate/stay night』：衛宮士郎
•  『ヘタリア』：イギリス
•  『魔法使いの約束』：ネロ
•  『ONE PIECE』：ヴィンスモーク・イチジ
•  『ディズニー ツイステッドワンダーランド』：グリム</v>
      </c>
    </row>
    <row r="71" spans="1:6">
      <c r="A71" s="1" t="str">
        <f ca="1">IFERROR(__xludf.DUMMYFUNCTION("""COMPUTED_VALUE"""),"va_111")</f>
        <v>va_111</v>
      </c>
      <c r="B71" s="1" t="str">
        <f ca="1">IFERROR(__xludf.DUMMYFUNCTION("""COMPUTED_VALUE"""),"高橋広樹")</f>
        <v>高橋広樹</v>
      </c>
      <c r="C71" s="1" t="str">
        <f ca="1">IFERROR(__xludf.DUMMYFUNCTION("""COMPUTED_VALUE"""),"T")</f>
        <v>T</v>
      </c>
      <c r="D71" s="1" t="str">
        <f ca="1">IFERROR(__xludf.DUMMYFUNCTION("""COMPUTED_VALUE"""),"表示")</f>
        <v>表示</v>
      </c>
      <c r="E71" s="1">
        <f ca="1">IFERROR(__xludf.DUMMYFUNCTION("""COMPUTED_VALUE"""),9)</f>
        <v>9</v>
      </c>
      <c r="F71" s="1" t="str">
        <f ca="1">IFERROR(__xludf.DUMMYFUNCTION("""COMPUTED_VALUE"""),"•  『ヘタリア』：日本
•  『遊☆戯☆王デュエルモンスターズ』：城之内克也
•  『テニスの王子様』：菊丸英二
•  『金色のガッシュベル!!』：パルコ・フォルゴーレ
•  『抱かれたい男1位に脅されています。』：西條高人
•  『あんさんぶるスターズ！』：斎宮宗
•  『アイドリッシュセブン』：月雲了
•  『HUNTER×HUNTER』（旧アニメ）：ヒソカ")</f>
        <v>•  『ヘタリア』：日本
•  『遊☆戯☆王デュエルモンスターズ』：城之内克也
•  『テニスの王子様』：菊丸英二
•  『金色のガッシュベル!!』：パルコ・フォルゴーレ
•  『抱かれたい男1位に脅されています。』：西條高人
•  『あんさんぶるスターズ！』：斎宮宗
•  『アイドリッシュセブン』：月雲了
•  『HUNTER×HUNTER』（旧アニメ）：ヒソカ</v>
      </c>
    </row>
    <row r="72" spans="1:6">
      <c r="A72" s="1" t="str">
        <f ca="1">IFERROR(__xludf.DUMMYFUNCTION("""COMPUTED_VALUE"""),"va_155")</f>
        <v>va_155</v>
      </c>
      <c r="B72" s="1" t="str">
        <f ca="1">IFERROR(__xludf.DUMMYFUNCTION("""COMPUTED_VALUE"""),"広瀬裕也")</f>
        <v>広瀬裕也</v>
      </c>
      <c r="C72" s="1" t="str">
        <f ca="1">IFERROR(__xludf.DUMMYFUNCTION("""COMPUTED_VALUE"""),"T")</f>
        <v>T</v>
      </c>
      <c r="D72" s="1" t="str">
        <f ca="1">IFERROR(__xludf.DUMMYFUNCTION("""COMPUTED_VALUE"""),"表示")</f>
        <v>表示</v>
      </c>
      <c r="E72" s="1">
        <f ca="1">IFERROR(__xludf.DUMMYFUNCTION("""COMPUTED_VALUE"""),9)</f>
        <v>9</v>
      </c>
      <c r="F72" s="1" t="str">
        <f ca="1">IFERROR(__xludf.DUMMYFUNCTION("""COMPUTED_VALUE"""),"•  『SSSS.GRIDMAN』： 響裕太
•  『アイドリッシュセブン』： 亥清悠
•  『金装のヴェルメイユ～崖っぷち魔術師は最強の厄災と魔法世界を突き進む～』： アルト・ゴールドフィルド
•  『魔都精兵のスレイブ』： 和倉優希
•  『ダンジョン飯』： ホルム")</f>
        <v>•  『SSSS.GRIDMAN』： 響裕太
•  『アイドリッシュセブン』： 亥清悠
•  『金装のヴェルメイユ～崖っぷち魔術師は最強の厄災と魔法世界を突き進む～』： アルト・ゴールドフィルド
•  『魔都精兵のスレイブ』： 和倉優希
•  『ダンジョン飯』： ホルム</v>
      </c>
    </row>
    <row r="73" spans="1:6">
      <c r="A73" s="1" t="str">
        <f ca="1">IFERROR(__xludf.DUMMYFUNCTION("""COMPUTED_VALUE"""),"va_156")</f>
        <v>va_156</v>
      </c>
      <c r="B73" s="1" t="str">
        <f ca="1">IFERROR(__xludf.DUMMYFUNCTION("""COMPUTED_VALUE"""),"日野聡")</f>
        <v>日野聡</v>
      </c>
      <c r="C73" s="1" t="str">
        <f ca="1">IFERROR(__xludf.DUMMYFUNCTION("""COMPUTED_VALUE"""),"T")</f>
        <v>T</v>
      </c>
      <c r="D73" s="1" t="str">
        <f ca="1">IFERROR(__xludf.DUMMYFUNCTION("""COMPUTED_VALUE"""),"表示")</f>
        <v>表示</v>
      </c>
      <c r="E73" s="1">
        <f ca="1">IFERROR(__xludf.DUMMYFUNCTION("""COMPUTED_VALUE"""),9)</f>
        <v>9</v>
      </c>
      <c r="F73" s="1" t="str">
        <f ca="1">IFERROR(__xludf.DUMMYFUNCTION("""COMPUTED_VALUE"""),"•  『オーバーロード』： アインズ・ウール・ゴウン／モモンガ
•  『鬼滅の刃』： 煉獄杏寿郎
•  『ハイキュー!!』： 澤村大地
•  『銀魂』： 神威
•  『ゼロの使い魔』： 平賀才人
•  『灼眼のシャナ』： 坂井悠二
•  『NARUTO -ナルト- 疾風伝』： サイ
•  『弱虫ペダル』： 新開隼人")</f>
        <v>•  『オーバーロード』： アインズ・ウール・ゴウン／モモンガ
•  『鬼滅の刃』： 煉獄杏寿郎
•  『ハイキュー!!』： 澤村大地
•  『銀魂』： 神威
•  『ゼロの使い魔』： 平賀才人
•  『灼眼のシャナ』： 坂井悠二
•  『NARUTO -ナルト- 疾風伝』： サイ
•  『弱虫ペダル』： 新開隼人</v>
      </c>
    </row>
    <row r="74" spans="1:6">
      <c r="A74" s="1" t="str">
        <f ca="1">IFERROR(__xludf.DUMMYFUNCTION("""COMPUTED_VALUE"""),"va_164")</f>
        <v>va_164</v>
      </c>
      <c r="B74" s="1" t="str">
        <f ca="1">IFERROR(__xludf.DUMMYFUNCTION("""COMPUTED_VALUE"""),"細谷佳正")</f>
        <v>細谷佳正</v>
      </c>
      <c r="C74" s="1" t="str">
        <f ca="1">IFERROR(__xludf.DUMMYFUNCTION("""COMPUTED_VALUE"""),"T")</f>
        <v>T</v>
      </c>
      <c r="D74" s="1" t="str">
        <f ca="1">IFERROR(__xludf.DUMMYFUNCTION("""COMPUTED_VALUE"""),"表示")</f>
        <v>表示</v>
      </c>
      <c r="E74" s="1">
        <f ca="1">IFERROR(__xludf.DUMMYFUNCTION("""COMPUTED_VALUE"""),9)</f>
        <v>9</v>
      </c>
      <c r="F74" s="1" t="str">
        <f ca="1">IFERROR(__xludf.DUMMYFUNCTION("""COMPUTED_VALUE"""),"•  『進撃の巨人』： ライナー・ブラウン
•  『テニスの王子様』： 白石蔵ノ介
•  『機動戦士ガンダム 鉄血のオルフェンズ』： オルガ・イツカ
•  『黒子のバスケ』： 日向順平
•  『文豪ストレイドッグス』： 国木田独歩
•  『ハイキュー!!』： 東峰旭
•  『Free!』： 山崎宗介
•  『僕のヒーローアカデミア』： 常闇踏陰
•  『キングダム』： 王賁")</f>
        <v>•  『進撃の巨人』： ライナー・ブラウン
•  『テニスの王子様』： 白石蔵ノ介
•  『機動戦士ガンダム 鉄血のオルフェンズ』： オルガ・イツカ
•  『黒子のバスケ』： 日向順平
•  『文豪ストレイドッグス』： 国木田独歩
•  『ハイキュー!!』： 東峰旭
•  『Free!』： 山崎宗介
•  『僕のヒーローアカデミア』： 常闇踏陰
•  『キングダム』： 王賁</v>
      </c>
    </row>
    <row r="75" spans="1:6">
      <c r="A75" s="1" t="str">
        <f ca="1">IFERROR(__xludf.DUMMYFUNCTION("""COMPUTED_VALUE"""),"va_227")</f>
        <v>va_227</v>
      </c>
      <c r="B75" s="1" t="str">
        <f ca="1">IFERROR(__xludf.DUMMYFUNCTION("""COMPUTED_VALUE"""),"鈴村健一")</f>
        <v>鈴村健一</v>
      </c>
      <c r="C75" s="1" t="str">
        <f ca="1">IFERROR(__xludf.DUMMYFUNCTION("""COMPUTED_VALUE"""),"T")</f>
        <v>T</v>
      </c>
      <c r="D75" s="1" t="str">
        <f ca="1">IFERROR(__xludf.DUMMYFUNCTION("""COMPUTED_VALUE"""),"表示")</f>
        <v>表示</v>
      </c>
      <c r="E75" s="1">
        <f ca="1">IFERROR(__xludf.DUMMYFUNCTION("""COMPUTED_VALUE"""),9)</f>
        <v>9</v>
      </c>
      <c r="F75" s="1" t="str">
        <f ca="1">IFERROR(__xludf.DUMMYFUNCTION("""COMPUTED_VALUE"""),"・『機動戦士ガンダムSEED DESTINY』： シン・アスカ
・『銀魂』： 沖田総悟
・『鬼滅の刃』： 伊黒小芭内
・『うたの☆プリンスさまっ♪』： 聖川真斗
・『黒子のバスケ』： 紫原敦
・『銀河英雄伝説 Die Neue These』： ヤン・ウェンリー")</f>
        <v>・『機動戦士ガンダムSEED DESTINY』： シン・アスカ
・『銀魂』： 沖田総悟
・『鬼滅の刃』： 伊黒小芭内
・『うたの☆プリンスさまっ♪』： 聖川真斗
・『黒子のバスケ』： 紫原敦
・『銀河英雄伝説 Die Neue These』： ヤン・ウェンリー</v>
      </c>
    </row>
    <row r="76" spans="1:6">
      <c r="A76" s="1" t="str">
        <f ca="1">IFERROR(__xludf.DUMMYFUNCTION("""COMPUTED_VALUE"""),"va_238")</f>
        <v>va_238</v>
      </c>
      <c r="B76" s="1" t="str">
        <f ca="1">IFERROR(__xludf.DUMMYFUNCTION("""COMPUTED_VALUE"""),"小野大輔")</f>
        <v>小野大輔</v>
      </c>
      <c r="C76" s="1" t="str">
        <f ca="1">IFERROR(__xludf.DUMMYFUNCTION("""COMPUTED_VALUE"""),"T")</f>
        <v>T</v>
      </c>
      <c r="D76" s="1" t="str">
        <f ca="1">IFERROR(__xludf.DUMMYFUNCTION("""COMPUTED_VALUE"""),"表示")</f>
        <v>表示</v>
      </c>
      <c r="E76" s="1">
        <f ca="1">IFERROR(__xludf.DUMMYFUNCTION("""COMPUTED_VALUE"""),9)</f>
        <v>9</v>
      </c>
      <c r="F76" s="1" t="str">
        <f ca="1">IFERROR(__xludf.DUMMYFUNCTION("""COMPUTED_VALUE"""),"・『黒執事』： セバスチャン・ミカエリス
・『ジョジョの奇妙な冒険 スターダストクルセイダース』： 空条承太郎
・『進撃の巨人』： エルヴィン・スミス
・『涼宮ハルヒの憂鬱』： 古泉一樹
・『おそ松さん』： 松野十四松
・『デュラララ!!』： 平和島静雄")</f>
        <v>・『黒執事』： セバスチャン・ミカエリス
・『ジョジョの奇妙な冒険 スターダストクルセイダース』： 空条承太郎
・『進撃の巨人』： エルヴィン・スミス
・『涼宮ハルヒの憂鬱』： 古泉一樹
・『おそ松さん』： 松野十四松
・『デュラララ!!』： 平和島静雄</v>
      </c>
    </row>
    <row r="77" spans="1:6">
      <c r="A77" s="1" t="str">
        <f ca="1">IFERROR(__xludf.DUMMYFUNCTION("""COMPUTED_VALUE"""),"va_014")</f>
        <v>va_014</v>
      </c>
      <c r="B77" s="1" t="str">
        <f ca="1">IFERROR(__xludf.DUMMYFUNCTION("""COMPUTED_VALUE"""),"石谷春貴")</f>
        <v>石谷春貴</v>
      </c>
      <c r="C77" s="1" t="str">
        <f ca="1">IFERROR(__xludf.DUMMYFUNCTION("""COMPUTED_VALUE"""),"T")</f>
        <v>T</v>
      </c>
      <c r="D77" s="1" t="str">
        <f ca="1">IFERROR(__xludf.DUMMYFUNCTION("""COMPUTED_VALUE"""),"表示")</f>
        <v>表示</v>
      </c>
      <c r="E77" s="1">
        <f ca="1">IFERROR(__xludf.DUMMYFUNCTION("""COMPUTED_VALUE"""),8)</f>
        <v>8</v>
      </c>
      <c r="F77" s="1" t="str">
        <f ca="1">IFERROR(__xludf.DUMMYFUNCTION("""COMPUTED_VALUE"""),"•  『響け！ユーフォニアム』：塚本秀一
•  『ヒプノシスマイク』：山田二郎
•  『AKIBA’S TRIP -THE ANIMATION-』：伝木凱タモツ
•  『ぼくたちのリメイク』：鹿苑寺貫之
•  『この音とまれ！』：足立実康")</f>
        <v>•  『響け！ユーフォニアム』：塚本秀一
•  『ヒプノシスマイク』：山田二郎
•  『AKIBA’S TRIP -THE ANIMATION-』：伝木凱タモツ
•  『ぼくたちのリメイク』：鹿苑寺貫之
•  『この音とまれ！』：足立実康</v>
      </c>
    </row>
    <row r="78" spans="1:6">
      <c r="A78" s="1" t="str">
        <f ca="1">IFERROR(__xludf.DUMMYFUNCTION("""COMPUTED_VALUE"""),"va_050")</f>
        <v>va_050</v>
      </c>
      <c r="B78" s="1" t="str">
        <f ca="1">IFERROR(__xludf.DUMMYFUNCTION("""COMPUTED_VALUE"""),"笠間淳")</f>
        <v>笠間淳</v>
      </c>
      <c r="C78" s="1" t="str">
        <f ca="1">IFERROR(__xludf.DUMMYFUNCTION("""COMPUTED_VALUE"""),"T")</f>
        <v>T</v>
      </c>
      <c r="D78" s="1" t="str">
        <f ca="1">IFERROR(__xludf.DUMMYFUNCTION("""COMPUTED_VALUE"""),"表示")</f>
        <v>表示</v>
      </c>
      <c r="E78" s="1">
        <f ca="1">IFERROR(__xludf.DUMMYFUNCTION("""COMPUTED_VALUE"""),8)</f>
        <v>8</v>
      </c>
      <c r="F78" s="1" t="str">
        <f ca="1">IFERROR(__xludf.DUMMYFUNCTION("""COMPUTED_VALUE"""),"•  『アイドルマスター SideM』：葛之葉雨彦
•  『あんさんぶるスターズ！！』：HiMERU
•  『THE FIRST SLAM DUNK』：三井寿
•  『REVENGER』：繰馬雷蔵
•  『ハイキュー!!』：尾白アラン
•  『幼女戦記』：ヴィリバルト・ケーニッヒ")</f>
        <v>•  『アイドルマスター SideM』：葛之葉雨彦
•  『あんさんぶるスターズ！！』：HiMERU
•  『THE FIRST SLAM DUNK』：三井寿
•  『REVENGER』：繰馬雷蔵
•  『ハイキュー!!』：尾白アラン
•  『幼女戦記』：ヴィリバルト・ケーニッヒ</v>
      </c>
    </row>
    <row r="79" spans="1:6">
      <c r="A79" s="1" t="str">
        <f ca="1">IFERROR(__xludf.DUMMYFUNCTION("""COMPUTED_VALUE"""),"va_115")</f>
        <v>va_115</v>
      </c>
      <c r="B79" s="1" t="str">
        <f ca="1">IFERROR(__xludf.DUMMYFUNCTION("""COMPUTED_VALUE"""),"谷山紀章")</f>
        <v>谷山紀章</v>
      </c>
      <c r="C79" s="1" t="str">
        <f ca="1">IFERROR(__xludf.DUMMYFUNCTION("""COMPUTED_VALUE"""),"T")</f>
        <v>T</v>
      </c>
      <c r="D79" s="1" t="str">
        <f ca="1">IFERROR(__xludf.DUMMYFUNCTION("""COMPUTED_VALUE"""),"表示")</f>
        <v>表示</v>
      </c>
      <c r="E79" s="1">
        <f ca="1">IFERROR(__xludf.DUMMYFUNCTION("""COMPUTED_VALUE"""),8)</f>
        <v>8</v>
      </c>
      <c r="F79" s="1" t="str">
        <f ca="1">IFERROR(__xludf.DUMMYFUNCTION("""COMPUTED_VALUE"""),"•  『文豪ストレイドッグス』：中原中也
•  『うたの☆プリンスさまっ♪』：四ノ宮那月
•  『進撃の巨人』：ジャン・キルシュタイン
•  『金色のコルダ』：月森蓮
•  『SHOW BY ROCK!!』：クロウ
•  『BASTARD!! -暗黒の破壊神-』：ダーク・シュナイダー
•  『黒子のバスケ』：氷室辰也")</f>
        <v>•  『文豪ストレイドッグス』：中原中也
•  『うたの☆プリンスさまっ♪』：四ノ宮那月
•  『進撃の巨人』：ジャン・キルシュタイン
•  『金色のコルダ』：月森蓮
•  『SHOW BY ROCK!!』：クロウ
•  『BASTARD!! -暗黒の破壊神-』：ダーク・シュナイダー
•  『黒子のバスケ』：氷室辰也</v>
      </c>
    </row>
    <row r="80" spans="1:6">
      <c r="A80" s="1" t="str">
        <f ca="1">IFERROR(__xludf.DUMMYFUNCTION("""COMPUTED_VALUE"""),"va_158")</f>
        <v>va_158</v>
      </c>
      <c r="B80" s="1" t="str">
        <f ca="1">IFERROR(__xludf.DUMMYFUNCTION("""COMPUTED_VALUE"""),"深町寿成")</f>
        <v>深町寿成</v>
      </c>
      <c r="C80" s="1" t="str">
        <f ca="1">IFERROR(__xludf.DUMMYFUNCTION("""COMPUTED_VALUE"""),"T")</f>
        <v>T</v>
      </c>
      <c r="D80" s="1" t="str">
        <f ca="1">IFERROR(__xludf.DUMMYFUNCTION("""COMPUTED_VALUE"""),"表示")</f>
        <v>表示</v>
      </c>
      <c r="E80" s="1">
        <f ca="1">IFERROR(__xludf.DUMMYFUNCTION("""COMPUTED_VALUE"""),8)</f>
        <v>8</v>
      </c>
      <c r="F80" s="1" t="str">
        <f ca="1">IFERROR(__xludf.DUMMYFUNCTION("""COMPUTED_VALUE"""),"•  『ありふれた職業で世界最強』： 南雲ハジメ
•  『アイドルマスター SideM』： 黒野玄武
•  『史上最強の大魔王、村人Aに転生する』： アード・メテオール
•  『18TRIP』： 神名雪風
•  『DREAM!ing』： 虎澤一生
•  『神之塔 -Tower of God-』： ハツ")</f>
        <v>•  『ありふれた職業で世界最強』： 南雲ハジメ
•  『アイドルマスター SideM』： 黒野玄武
•  『史上最強の大魔王、村人Aに転生する』： アード・メテオール
•  『18TRIP』： 神名雪風
•  『DREAM!ing』： 虎澤一生
•  『神之塔 -Tower of God-』： ハツ</v>
      </c>
    </row>
    <row r="81" spans="1:6">
      <c r="A81" s="1" t="str">
        <f ca="1">IFERROR(__xludf.DUMMYFUNCTION("""COMPUTED_VALUE"""),"va_168")</f>
        <v>va_168</v>
      </c>
      <c r="B81" s="1" t="str">
        <f ca="1">IFERROR(__xludf.DUMMYFUNCTION("""COMPUTED_VALUE"""),"保志総一朗")</f>
        <v>保志総一朗</v>
      </c>
      <c r="C81" s="1" t="str">
        <f ca="1">IFERROR(__xludf.DUMMYFUNCTION("""COMPUTED_VALUE"""),"T")</f>
        <v>T</v>
      </c>
      <c r="D81" s="1" t="str">
        <f ca="1">IFERROR(__xludf.DUMMYFUNCTION("""COMPUTED_VALUE"""),"表示")</f>
        <v>表示</v>
      </c>
      <c r="E81" s="1">
        <f ca="1">IFERROR(__xludf.DUMMYFUNCTION("""COMPUTED_VALUE"""),8)</f>
        <v>8</v>
      </c>
      <c r="F81" s="1" t="str">
        <f ca="1">IFERROR(__xludf.DUMMYFUNCTION("""COMPUTED_VALUE"""),"•  『機動戦士ガンダムSEED』／『SEED FREEDOM』： キラ・ヤマト
•  『最遊記』シリーズ： 孫悟空
•  『戦国BASARA』： 真田幸村
•  『アイドリッシュセブン』： 百
•  『ひぐらしのなく頃に』： 前原圭一
•  『スクライド』： カズマ
•  『そらのおとしもの』： 桜井智樹
•  『黒子のバスケ』： 笠松幸男")</f>
        <v>•  『機動戦士ガンダムSEED』／『SEED FREEDOM』： キラ・ヤマト
•  『最遊記』シリーズ： 孫悟空
•  『戦国BASARA』： 真田幸村
•  『アイドリッシュセブン』： 百
•  『ひぐらしのなく頃に』： 前原圭一
•  『スクライド』： カズマ
•  『そらのおとしもの』： 桜井智樹
•  『黒子のバスケ』： 笠松幸男</v>
      </c>
    </row>
    <row r="82" spans="1:6">
      <c r="A82" s="1" t="str">
        <f ca="1">IFERROR(__xludf.DUMMYFUNCTION("""COMPUTED_VALUE"""),"va_176")</f>
        <v>va_176</v>
      </c>
      <c r="B82" s="1" t="str">
        <f ca="1">IFERROR(__xludf.DUMMYFUNCTION("""COMPUTED_VALUE"""),"三木眞一郎")</f>
        <v>三木眞一郎</v>
      </c>
      <c r="C82" s="1" t="str">
        <f ca="1">IFERROR(__xludf.DUMMYFUNCTION("""COMPUTED_VALUE"""),"T")</f>
        <v>T</v>
      </c>
      <c r="D82" s="1" t="str">
        <f ca="1">IFERROR(__xludf.DUMMYFUNCTION("""COMPUTED_VALUE"""),"表示")</f>
        <v>表示</v>
      </c>
      <c r="E82" s="1">
        <f ca="1">IFERROR(__xludf.DUMMYFUNCTION("""COMPUTED_VALUE"""),8)</f>
        <v>8</v>
      </c>
      <c r="F82" s="1" t="str">
        <f ca="1">IFERROR(__xludf.DUMMYFUNCTION("""COMPUTED_VALUE"""),"•  『ポケットモンスター』：コジロウ
•  『頭文字D』：藤原拓海
•  『鋼の錬金術師 FULLMETAL ALCHEMIST』：ロイ・マスタング
•  『BLEACH』：浦原喜助
•  『機動戦士ガンダム00』：ロックオン・ストラトス（ニール／ライル）
•  『銀魂』：坂本辰馬
•  『薄桜鬼』：土方歳三")</f>
        <v>•  『ポケットモンスター』：コジロウ
•  『頭文字D』：藤原拓海
•  『鋼の錬金術師 FULLMETAL ALCHEMIST』：ロイ・マスタング
•  『BLEACH』：浦原喜助
•  『機動戦士ガンダム00』：ロックオン・ストラトス（ニール／ライル）
•  『銀魂』：坂本辰馬
•  『薄桜鬼』：土方歳三</v>
      </c>
    </row>
    <row r="83" spans="1:6">
      <c r="A83" s="1" t="str">
        <f ca="1">IFERROR(__xludf.DUMMYFUNCTION("""COMPUTED_VALUE"""),"va_265")</f>
        <v>va_265</v>
      </c>
      <c r="B83" s="1" t="str">
        <f ca="1">IFERROR(__xludf.DUMMYFUNCTION("""COMPUTED_VALUE"""),"石田彰")</f>
        <v>石田彰</v>
      </c>
      <c r="C83" s="1" t="str">
        <f ca="1">IFERROR(__xludf.DUMMYFUNCTION("""COMPUTED_VALUE"""),"T")</f>
        <v>T</v>
      </c>
      <c r="D83" s="1" t="str">
        <f ca="1">IFERROR(__xludf.DUMMYFUNCTION("""COMPUTED_VALUE"""),"表示")</f>
        <v>表示</v>
      </c>
      <c r="E83" s="1">
        <f ca="1">IFERROR(__xludf.DUMMYFUNCTION("""COMPUTED_VALUE"""),8)</f>
        <v>8</v>
      </c>
      <c r="F83" s="1" t="str">
        <f ca="1">IFERROR(__xludf.DUMMYFUNCTION("""COMPUTED_VALUE"""),"・『新世紀エヴァンゲリオン』： 渚カヲル
・『銀魂』： 桂小太郎
・『機動戦士ガンダムSEED』： アスラン・ザラ
・『最遊記』： 猪八戒
・『NARUTO -ナルト-』： 我愛羅
・『鬼滅の刃』： 猗窩座
・『文豪ストレイドッグス』： フョードル・ドストエフスキー")</f>
        <v>・『新世紀エヴァンゲリオン』： 渚カヲル
・『銀魂』： 桂小太郎
・『機動戦士ガンダムSEED』： アスラン・ザラ
・『最遊記』： 猪八戒
・『NARUTO -ナルト-』： 我愛羅
・『鬼滅の刃』： 猗窩座
・『文豪ストレイドッグス』： フョードル・ドストエフスキー</v>
      </c>
    </row>
    <row r="84" spans="1:6">
      <c r="A84" s="1" t="str">
        <f ca="1">IFERROR(__xludf.DUMMYFUNCTION("""COMPUTED_VALUE"""),"va_302")</f>
        <v>va_302</v>
      </c>
      <c r="B84" s="1" t="str">
        <f ca="1">IFERROR(__xludf.DUMMYFUNCTION("""COMPUTED_VALUE"""),"岸尾だいすけ")</f>
        <v>岸尾だいすけ</v>
      </c>
      <c r="C84" s="1" t="str">
        <f ca="1">IFERROR(__xludf.DUMMYFUNCTION("""COMPUTED_VALUE"""),"T")</f>
        <v>T</v>
      </c>
      <c r="D84" s="1" t="str">
        <f ca="1">IFERROR(__xludf.DUMMYFUNCTION("""COMPUTED_VALUE"""),"表示")</f>
        <v>表示</v>
      </c>
      <c r="E84" s="1">
        <f ca="1">IFERROR(__xludf.DUMMYFUNCTION("""COMPUTED_VALUE"""),8)</f>
        <v>8</v>
      </c>
      <c r="F84" s="1" t="str">
        <f ca="1">IFERROR(__xludf.DUMMYFUNCTION("""COMPUTED_VALUE"""),"・『ゾイド -ZOIDS-』： バン・フライハイト
・『ヴァンパイア騎士』： 玖蘭枢
・『弱虫ペダル』： 手嶋純太
・『ロザリオとバンパイア』： 青野月音
・『ドラゴンボール改』： ジース
・『東京喰種:re』： 旧多二福
・『ファイナルファンタジーXIII-2』： ノエル・クライス")</f>
        <v>・『ゾイド -ZOIDS-』： バン・フライハイト
・『ヴァンパイア騎士』： 玖蘭枢
・『弱虫ペダル』： 手嶋純太
・『ロザリオとバンパイア』： 青野月音
・『ドラゴンボール改』： ジース
・『東京喰種:re』： 旧多二福
・『ファイナルファンタジーXIII-2』： ノエル・クライス</v>
      </c>
    </row>
    <row r="85" spans="1:6">
      <c r="A85" s="1" t="str">
        <f ca="1">IFERROR(__xludf.DUMMYFUNCTION("""COMPUTED_VALUE"""),"va_006")</f>
        <v>va_006</v>
      </c>
      <c r="B85" s="1" t="str">
        <f ca="1">IFERROR(__xludf.DUMMYFUNCTION("""COMPUTED_VALUE"""),"阿部敦")</f>
        <v>阿部敦</v>
      </c>
      <c r="C85" s="1" t="str">
        <f ca="1">IFERROR(__xludf.DUMMYFUNCTION("""COMPUTED_VALUE"""),"T")</f>
        <v>T</v>
      </c>
      <c r="D85" s="1" t="str">
        <f ca="1">IFERROR(__xludf.DUMMYFUNCTION("""COMPUTED_VALUE"""),"表示")</f>
        <v>表示</v>
      </c>
      <c r="E85" s="1">
        <f ca="1">IFERROR(__xludf.DUMMYFUNCTION("""COMPUTED_VALUE"""),7)</f>
        <v>7</v>
      </c>
      <c r="F85" s="1" t="str">
        <f ca="1">IFERROR(__xludf.DUMMYFUNCTION("""COMPUTED_VALUE"""),"•  『とある魔術の禁書目録』／『とある科学の超電磁砲』：上条当麻
•  『バクマン。』：真城最高
•  『アイドリッシュセブン』：逢坂壮五
•  『しゅごキャラ！』：相馬空海
•  『弱虫ペダル』：泉田塔一郎")</f>
        <v>•  『とある魔術の禁書目録』／『とある科学の超電磁砲』：上条当麻
•  『バクマン。』：真城最高
•  『アイドリッシュセブン』：逢坂壮五
•  『しゅごキャラ！』：相馬空海
•  『弱虫ペダル』：泉田塔一郎</v>
      </c>
    </row>
    <row r="86" spans="1:6">
      <c r="A86" s="1" t="str">
        <f ca="1">IFERROR(__xludf.DUMMYFUNCTION("""COMPUTED_VALUE"""),"va_023")</f>
        <v>va_023</v>
      </c>
      <c r="B86" s="1" t="str">
        <f ca="1">IFERROR(__xludf.DUMMYFUNCTION("""COMPUTED_VALUE"""),"今井文也")</f>
        <v>今井文也</v>
      </c>
      <c r="C86" s="1" t="str">
        <f ca="1">IFERROR(__xludf.DUMMYFUNCTION("""COMPUTED_VALUE"""),"T")</f>
        <v>T</v>
      </c>
      <c r="D86" s="1" t="str">
        <f ca="1">IFERROR(__xludf.DUMMYFUNCTION("""COMPUTED_VALUE"""),"表示")</f>
        <v>表示</v>
      </c>
      <c r="E86" s="1">
        <f ca="1">IFERROR(__xludf.DUMMYFUNCTION("""COMPUTED_VALUE"""),7)</f>
        <v>7</v>
      </c>
      <c r="F86" s="1" t="str">
        <f ca="1">IFERROR(__xludf.DUMMYFUNCTION("""COMPUTED_VALUE"""),"•  『ギヴン』：鹿島柊
•  『神クズ☆アイドル』：仁淀ユウヤ
•  『プロジェクトセカイ カラフルステージ！』：東雲彰人
•  『ハナビちゃんは遅れがち』：東雲ムサシ
•  『A3!』：木之崎レント")</f>
        <v>•  『ギヴン』：鹿島柊
•  『神クズ☆アイドル』：仁淀ユウヤ
•  『プロジェクトセカイ カラフルステージ！』：東雲彰人
•  『ハナビちゃんは遅れがち』：東雲ムサシ
•  『A3!』：木之崎レント</v>
      </c>
    </row>
    <row r="87" spans="1:6">
      <c r="A87" s="1" t="str">
        <f ca="1">IFERROR(__xludf.DUMMYFUNCTION("""COMPUTED_VALUE"""),"va_041")</f>
        <v>va_041</v>
      </c>
      <c r="B87" s="1" t="str">
        <f ca="1">IFERROR(__xludf.DUMMYFUNCTION("""COMPUTED_VALUE"""),"大塚剛央")</f>
        <v>大塚剛央</v>
      </c>
      <c r="C87" s="1" t="str">
        <f ca="1">IFERROR(__xludf.DUMMYFUNCTION("""COMPUTED_VALUE"""),"T")</f>
        <v>T</v>
      </c>
      <c r="D87" s="1" t="str">
        <f ca="1">IFERROR(__xludf.DUMMYFUNCTION("""COMPUTED_VALUE"""),"表示")</f>
        <v>表示</v>
      </c>
      <c r="E87" s="1">
        <f ca="1">IFERROR(__xludf.DUMMYFUNCTION("""COMPUTED_VALUE"""),7)</f>
        <v>7</v>
      </c>
      <c r="F87" s="1" t="str">
        <f ca="1">IFERROR(__xludf.DUMMYFUNCTION("""COMPUTED_VALUE"""),"•  『【推しの子】』：アクア
•  『薬屋のひとりごと』：壬氏
•  『風が強く吹いている』：蔵原走
•  『アイドルマスター SideM』：眉見鋭心
•  『百千さん家のあやかし王子』：七守葵／鵺
•  『トリリオンゲーム』：天王寺陽")</f>
        <v>•  『【推しの子】』：アクア
•  『薬屋のひとりごと』：壬氏
•  『風が強く吹いている』：蔵原走
•  『アイドルマスター SideM』：眉見鋭心
•  『百千さん家のあやかし王子』：七守葵／鵺
•  『トリリオンゲーム』：天王寺陽</v>
      </c>
    </row>
    <row r="88" spans="1:6">
      <c r="A88" s="1" t="str">
        <f ca="1">IFERROR(__xludf.DUMMYFUNCTION("""COMPUTED_VALUE"""),"va_060")</f>
        <v>va_060</v>
      </c>
      <c r="B88" s="1" t="str">
        <f ca="1">IFERROR(__xludf.DUMMYFUNCTION("""COMPUTED_VALUE"""),"神尾晋一郎")</f>
        <v>神尾晋一郎</v>
      </c>
      <c r="C88" s="1" t="str">
        <f ca="1">IFERROR(__xludf.DUMMYFUNCTION("""COMPUTED_VALUE"""),"T")</f>
        <v>T</v>
      </c>
      <c r="D88" s="1" t="str">
        <f ca="1">IFERROR(__xludf.DUMMYFUNCTION("""COMPUTED_VALUE"""),"表示")</f>
        <v>表示</v>
      </c>
      <c r="E88" s="1">
        <f ca="1">IFERROR(__xludf.DUMMYFUNCTION("""COMPUTED_VALUE"""),7)</f>
        <v>7</v>
      </c>
      <c r="F88" s="1" t="str">
        <f ca="1">IFERROR(__xludf.DUMMYFUNCTION("""COMPUTED_VALUE"""),"•  『ヒプノシスマイク』：毒島メイソン理鶯
•  『あんさんぶるスターズ！』：鬼龍紅郎
•  『THE FIRST SLAM DUNK』：流川楓
•  『悪魔執事と黒い猫』：ボスキ・アリーナス
•  『世界はほしいモノにあふれてる』：ナレーション")</f>
        <v>•  『ヒプノシスマイク』：毒島メイソン理鶯
•  『あんさんぶるスターズ！』：鬼龍紅郎
•  『THE FIRST SLAM DUNK』：流川楓
•  『悪魔執事と黒い猫』：ボスキ・アリーナス
•  『世界はほしいモノにあふれてる』：ナレーション</v>
      </c>
    </row>
    <row r="89" spans="1:6">
      <c r="A89" s="1" t="str">
        <f ca="1">IFERROR(__xludf.DUMMYFUNCTION("""COMPUTED_VALUE"""),"va_092")</f>
        <v>va_092</v>
      </c>
      <c r="B89" s="1" t="str">
        <f ca="1">IFERROR(__xludf.DUMMYFUNCTION("""COMPUTED_VALUE"""),"沢城千春")</f>
        <v>沢城千春</v>
      </c>
      <c r="C89" s="1" t="str">
        <f ca="1">IFERROR(__xludf.DUMMYFUNCTION("""COMPUTED_VALUE"""),"T")</f>
        <v>T</v>
      </c>
      <c r="D89" s="1" t="str">
        <f ca="1">IFERROR(__xludf.DUMMYFUNCTION("""COMPUTED_VALUE"""),"表示")</f>
        <v>表示</v>
      </c>
      <c r="E89" s="1">
        <f ca="1">IFERROR(__xludf.DUMMYFUNCTION("""COMPUTED_VALUE"""),7)</f>
        <v>7</v>
      </c>
      <c r="F89" s="1" t="str">
        <f ca="1">IFERROR(__xludf.DUMMYFUNCTION("""COMPUTED_VALUE"""),"•  『A3!』：摂津万里
•  『Caligula』：式島律
•  『トライブナイン』：タイガ
•  『ラブ米 -WE LOVE RICE-』：ささにしき
•  『スタンドマイヒーローズ』：九条壮馬
•  『チア男子!!』：安藤タケル")</f>
        <v>•  『A3!』：摂津万里
•  『Caligula』：式島律
•  『トライブナイン』：タイガ
•  『ラブ米 -WE LOVE RICE-』：ささにしき
•  『スタンドマイヒーローズ』：九条壮馬
•  『チア男子!!』：安藤タケル</v>
      </c>
    </row>
    <row r="90" spans="1:6">
      <c r="A90" s="1" t="str">
        <f ca="1">IFERROR(__xludf.DUMMYFUNCTION("""COMPUTED_VALUE"""),"va_135")</f>
        <v>va_135</v>
      </c>
      <c r="B90" s="1" t="str">
        <f ca="1">IFERROR(__xludf.DUMMYFUNCTION("""COMPUTED_VALUE"""),"仲村宗悟")</f>
        <v>仲村宗悟</v>
      </c>
      <c r="C90" s="1" t="str">
        <f ca="1">IFERROR(__xludf.DUMMYFUNCTION("""COMPUTED_VALUE"""),"T")</f>
        <v>T</v>
      </c>
      <c r="D90" s="1" t="str">
        <f ca="1">IFERROR(__xludf.DUMMYFUNCTION("""COMPUTED_VALUE"""),"表示")</f>
        <v>表示</v>
      </c>
      <c r="E90" s="1">
        <f ca="1">IFERROR(__xludf.DUMMYFUNCTION("""COMPUTED_VALUE"""),7)</f>
        <v>7</v>
      </c>
      <c r="F90" s="1" t="str">
        <f ca="1">IFERROR(__xludf.DUMMYFUNCTION("""COMPUTED_VALUE"""),"•  『アイドルマスター SideM』：天道輝
•  『THE FIRST SLAM DUNK』：宮城リョータ
•  『ブルーロック』：我牙丸吟
•  『TSUKIPRO THE ANIMATION』：久我壱星
•  『MILGRAM』：シドウ（桐崎獅童）
•  『アオペラ -aoppella!?-』：深海ふかみ
•  『刀剣乱舞』：北谷菜切")</f>
        <v>•  『アイドルマスター SideM』：天道輝
•  『THE FIRST SLAM DUNK』：宮城リョータ
•  『ブルーロック』：我牙丸吟
•  『TSUKIPRO THE ANIMATION』：久我壱星
•  『MILGRAM』：シドウ（桐崎獅童）
•  『アオペラ -aoppella!?-』：深海ふかみ
•  『刀剣乱舞』：北谷菜切</v>
      </c>
    </row>
    <row r="91" spans="1:6">
      <c r="A91" s="1" t="str">
        <f ca="1">IFERROR(__xludf.DUMMYFUNCTION("""COMPUTED_VALUE"""),"va_189")</f>
        <v>va_189</v>
      </c>
      <c r="B91" s="1" t="str">
        <f ca="1">IFERROR(__xludf.DUMMYFUNCTION("""COMPUTED_VALUE"""),"安元洋貴")</f>
        <v>安元洋貴</v>
      </c>
      <c r="C91" s="1" t="str">
        <f ca="1">IFERROR(__xludf.DUMMYFUNCTION("""COMPUTED_VALUE"""),"T")</f>
        <v>T</v>
      </c>
      <c r="D91" s="1" t="str">
        <f ca="1">IFERROR(__xludf.DUMMYFUNCTION("""COMPUTED_VALUE"""),"表示")</f>
        <v>表示</v>
      </c>
      <c r="E91" s="1">
        <f ca="1">IFERROR(__xludf.DUMMYFUNCTION("""COMPUTED_VALUE"""),7)</f>
        <v>7</v>
      </c>
      <c r="F91" s="1" t="str">
        <f ca="1">IFERROR(__xludf.DUMMYFUNCTION("""COMPUTED_VALUE"""),"•  『鬼灯の冷徹』：鬼灯
•  『BLEACH』：茶渡泰虎
•  『ヘタリア』：ドイツ
•  『弱虫ペダル』：金城真護
•  『ワンパンマン』：キング
•  『炎炎ノ消防隊』：カロン
•  『王様ランキング』：アピス")</f>
        <v>•  『鬼灯の冷徹』：鬼灯
•  『BLEACH』：茶渡泰虎
•  『ヘタリア』：ドイツ
•  『弱虫ペダル』：金城真護
•  『ワンパンマン』：キング
•  『炎炎ノ消防隊』：カロン
•  『王様ランキング』：アピス</v>
      </c>
    </row>
    <row r="92" spans="1:6">
      <c r="A92" s="1" t="str">
        <f ca="1">IFERROR(__xludf.DUMMYFUNCTION("""COMPUTED_VALUE"""),"va_195")</f>
        <v>va_195</v>
      </c>
      <c r="B92" s="1" t="str">
        <f ca="1">IFERROR(__xludf.DUMMYFUNCTION("""COMPUTED_VALUE"""),"山本和臣")</f>
        <v>山本和臣</v>
      </c>
      <c r="C92" s="1" t="str">
        <f ca="1">IFERROR(__xludf.DUMMYFUNCTION("""COMPUTED_VALUE"""),"T")</f>
        <v>T</v>
      </c>
      <c r="D92" s="1" t="str">
        <f ca="1">IFERROR(__xludf.DUMMYFUNCTION("""COMPUTED_VALUE"""),"表示")</f>
        <v>表示</v>
      </c>
      <c r="E92" s="1">
        <f ca="1">IFERROR(__xludf.DUMMYFUNCTION("""COMPUTED_VALUE"""),7)</f>
        <v>7</v>
      </c>
      <c r="F92" s="1" t="str">
        <f ca="1">IFERROR(__xludf.DUMMYFUNCTION("""COMPUTED_VALUE"""),"・『機動戦士ガンダムAGE』： キオ・アスノ
・『美男高校地球防衛部LOVE!』： 箱根有基
・『グレイプニル』： 春日勇
・『なんでここに先生が!?』： 高橋隆
・『あんさんぶるスターズ！』： 春川宙
・『日常』： 中之条剛")</f>
        <v>・『機動戦士ガンダムAGE』： キオ・アスノ
・『美男高校地球防衛部LOVE!』： 箱根有基
・『グレイプニル』： 春日勇
・『なんでここに先生が!?』： 高橋隆
・『あんさんぶるスターズ！』： 春川宙
・『日常』： 中之条剛</v>
      </c>
    </row>
    <row r="93" spans="1:6">
      <c r="A93" s="1" t="str">
        <f ca="1">IFERROR(__xludf.DUMMYFUNCTION("""COMPUTED_VALUE"""),"va_198")</f>
        <v>va_198</v>
      </c>
      <c r="B93" s="1" t="str">
        <f ca="1">IFERROR(__xludf.DUMMYFUNCTION("""COMPUTED_VALUE"""),"代永翼")</f>
        <v>代永翼</v>
      </c>
      <c r="C93" s="1" t="str">
        <f ca="1">IFERROR(__xludf.DUMMYFUNCTION("""COMPUTED_VALUE"""),"T")</f>
        <v>T</v>
      </c>
      <c r="D93" s="1" t="str">
        <f ca="1">IFERROR(__xludf.DUMMYFUNCTION("""COMPUTED_VALUE"""),"表示")</f>
        <v>表示</v>
      </c>
      <c r="E93" s="1">
        <f ca="1">IFERROR(__xludf.DUMMYFUNCTION("""COMPUTED_VALUE"""),7)</f>
        <v>7</v>
      </c>
      <c r="F93" s="1" t="str">
        <f ca="1">IFERROR(__xludf.DUMMYFUNCTION("""COMPUTED_VALUE"""),"・『Free!』： 葉月渚
・『アイドリッシュセブン』： 和泉三月
・『おおきく振りかぶって』： 三橋廉
・『カードファイト!! ヴァンガード』： 先導アイチ
・『弱虫ペダル』： 真波山岳
・『ちはやふる』： 駒野勉")</f>
        <v>・『Free!』： 葉月渚
・『アイドリッシュセブン』： 和泉三月
・『おおきく振りかぶって』： 三橋廉
・『カードファイト!! ヴァンガード』： 先導アイチ
・『弱虫ペダル』： 真波山岳
・『ちはやふる』： 駒野勉</v>
      </c>
    </row>
    <row r="94" spans="1:6">
      <c r="A94" s="1" t="str">
        <f ca="1">IFERROR(__xludf.DUMMYFUNCTION("""COMPUTED_VALUE"""),"va_201")</f>
        <v>va_201</v>
      </c>
      <c r="B94" s="1" t="str">
        <f ca="1">IFERROR(__xludf.DUMMYFUNCTION("""COMPUTED_VALUE"""),"新垣樽助")</f>
        <v>新垣樽助</v>
      </c>
      <c r="C94" s="1" t="str">
        <f ca="1">IFERROR(__xludf.DUMMYFUNCTION("""COMPUTED_VALUE"""),"T")</f>
        <v>T</v>
      </c>
      <c r="D94" s="1" t="str">
        <f ca="1">IFERROR(__xludf.DUMMYFUNCTION("""COMPUTED_VALUE"""),"表示")</f>
        <v>表示</v>
      </c>
      <c r="E94" s="1">
        <f ca="1">IFERROR(__xludf.DUMMYFUNCTION("""COMPUTED_VALUE"""),7)</f>
        <v>7</v>
      </c>
      <c r="F94" s="1" t="str">
        <f ca="1">IFERROR(__xludf.DUMMYFUNCTION("""COMPUTED_VALUE"""),"•  『テニスの王子様』： 木手永四郎
•  『Fate/Zero』： 間桐雁夜
•  『僕のヒーローアカデミア』： 通形ミリオ
•  『刀剣乱舞』： へし切長谷部／長曽祢虎徹
•  『囀る鳥は羽ばたかない』： 矢代
•  『NOBLESSE -ノブレス-』： カディス・エトラマ・デ・ライジェル
•  『攻殻機動隊 ARISE』： トグサ")</f>
        <v>•  『テニスの王子様』： 木手永四郎
•  『Fate/Zero』： 間桐雁夜
•  『僕のヒーローアカデミア』： 通形ミリオ
•  『刀剣乱舞』： へし切長谷部／長曽祢虎徹
•  『囀る鳥は羽ばたかない』： 矢代
•  『NOBLESSE -ノブレス-』： カディス・エトラマ・デ・ライジェル
•  『攻殻機動隊 ARISE』： トグサ</v>
      </c>
    </row>
    <row r="95" spans="1:6">
      <c r="A95" s="1" t="str">
        <f ca="1">IFERROR(__xludf.DUMMYFUNCTION("""COMPUTED_VALUE"""),"va_210")</f>
        <v>va_210</v>
      </c>
      <c r="B95" s="1" t="str">
        <f ca="1">IFERROR(__xludf.DUMMYFUNCTION("""COMPUTED_VALUE"""),"濱野大輝")</f>
        <v>濱野大輝</v>
      </c>
      <c r="C95" s="1" t="str">
        <f ca="1">IFERROR(__xludf.DUMMYFUNCTION("""COMPUTED_VALUE"""),"T")</f>
        <v>T</v>
      </c>
      <c r="D95" s="1" t="str">
        <f ca="1">IFERROR(__xludf.DUMMYFUNCTION("""COMPUTED_VALUE"""),"表示")</f>
        <v>表示</v>
      </c>
      <c r="E95" s="1">
        <f ca="1">IFERROR(__xludf.DUMMYFUNCTION("""COMPUTED_VALUE"""),7)</f>
        <v>7</v>
      </c>
      <c r="F95" s="1" t="str">
        <f ca="1">IFERROR(__xludf.DUMMYFUNCTION("""COMPUTED_VALUE"""),"•  『SSSS.DYNAZENON』： ガウマ
•  『チェンソーマン』： サムライソード
•  『トモダチゲーム』： 美笠天智
•  『アイドルマスター SideM』： 円城寺道流
•  『遊☆戯☆王VRAINS』： 鬼塚豪
•  『俺は全てを【パリイ】する』： ノール
•  『機動戦士ガンダム 鉄血のオルフェンズ』： ダンテ・モグロ
•  『BEYBLADE X』： 億長トグロ")</f>
        <v>•  『SSSS.DYNAZENON』： ガウマ
•  『チェンソーマン』： サムライソード
•  『トモダチゲーム』： 美笠天智
•  『アイドルマスター SideM』： 円城寺道流
•  『遊☆戯☆王VRAINS』： 鬼塚豪
•  『俺は全てを【パリイ】する』： ノール
•  『機動戦士ガンダム 鉄血のオルフェンズ』： ダンテ・モグロ
•  『BEYBLADE X』： 億長トグロ</v>
      </c>
    </row>
    <row r="96" spans="1:6">
      <c r="A96" s="1" t="str">
        <f ca="1">IFERROR(__xludf.DUMMYFUNCTION("""COMPUTED_VALUE"""),"va_236")</f>
        <v>va_236</v>
      </c>
      <c r="B96" s="1" t="str">
        <f ca="1">IFERROR(__xludf.DUMMYFUNCTION("""COMPUTED_VALUE"""),"宮野真守")</f>
        <v>宮野真守</v>
      </c>
      <c r="C96" s="1" t="str">
        <f ca="1">IFERROR(__xludf.DUMMYFUNCTION("""COMPUTED_VALUE"""),"T")</f>
        <v>T</v>
      </c>
      <c r="D96" s="1" t="str">
        <f ca="1">IFERROR(__xludf.DUMMYFUNCTION("""COMPUTED_VALUE"""),"表示")</f>
        <v>表示</v>
      </c>
      <c r="E96" s="1">
        <f ca="1">IFERROR(__xludf.DUMMYFUNCTION("""COMPUTED_VALUE"""),7)</f>
        <v>7</v>
      </c>
      <c r="F96" s="1" t="str">
        <f ca="1">IFERROR(__xludf.DUMMYFUNCTION("""COMPUTED_VALUE"""),"・『DEATH NOTE』： 夜神月
・『機動戦士ガンダム00』： 刹那・F・セイエイ
・『STEINS;GATE』： 岡部倫太郎
・『文豪ストレイドッグス』： 太宰治
・『Free!』： 松岡凛
・『うたの☆プリンスさまっ♪』： 一ノ瀬トキヤ")</f>
        <v>・『DEATH NOTE』： 夜神月
・『機動戦士ガンダム00』： 刹那・F・セイエイ
・『STEINS;GATE』： 岡部倫太郎
・『文豪ストレイドッグス』： 太宰治
・『Free!』： 松岡凛
・『うたの☆プリンスさまっ♪』： 一ノ瀬トキヤ</v>
      </c>
    </row>
    <row r="97" spans="1:6">
      <c r="A97" s="1" t="str">
        <f ca="1">IFERROR(__xludf.DUMMYFUNCTION("""COMPUTED_VALUE"""),"va_269")</f>
        <v>va_269</v>
      </c>
      <c r="B97" s="1" t="str">
        <f ca="1">IFERROR(__xludf.DUMMYFUNCTION("""COMPUTED_VALUE"""),"森田成一")</f>
        <v>森田成一</v>
      </c>
      <c r="C97" s="1" t="str">
        <f ca="1">IFERROR(__xludf.DUMMYFUNCTION("""COMPUTED_VALUE"""),"T")</f>
        <v>T</v>
      </c>
      <c r="D97" s="1" t="str">
        <f ca="1">IFERROR(__xludf.DUMMYFUNCTION("""COMPUTED_VALUE"""),"表示")</f>
        <v>表示</v>
      </c>
      <c r="E97" s="1">
        <f ca="1">IFERROR(__xludf.DUMMYFUNCTION("""COMPUTED_VALUE"""),7)</f>
        <v>7</v>
      </c>
      <c r="F97" s="1" t="str">
        <f ca="1">IFERROR(__xludf.DUMMYFUNCTION("""COMPUTED_VALUE"""),"・『BLEACH』： 黒崎一護
・『TIGER &amp; BUNNY』： バーナビー・ブルックスJr.
・『キングダム』： 信
・『FINAL FANTASY X』： ティーダ")</f>
        <v>・『BLEACH』： 黒崎一護
・『TIGER &amp; BUNNY』： バーナビー・ブルックスJr.
・『キングダム』： 信
・『FINAL FANTASY X』： ティーダ</v>
      </c>
    </row>
    <row r="98" spans="1:6">
      <c r="A98" s="1" t="str">
        <f ca="1">IFERROR(__xludf.DUMMYFUNCTION("""COMPUTED_VALUE"""),"va_304")</f>
        <v>va_304</v>
      </c>
      <c r="B98" s="1" t="str">
        <f ca="1">IFERROR(__xludf.DUMMYFUNCTION("""COMPUTED_VALUE"""),"櫻井孝宏")</f>
        <v>櫻井孝宏</v>
      </c>
      <c r="C98" s="1" t="str">
        <f ca="1">IFERROR(__xludf.DUMMYFUNCTION("""COMPUTED_VALUE"""),"T")</f>
        <v>T</v>
      </c>
      <c r="D98" s="1" t="str">
        <f ca="1">IFERROR(__xludf.DUMMYFUNCTION("""COMPUTED_VALUE"""),"表示")</f>
        <v>表示</v>
      </c>
      <c r="E98" s="1">
        <f ca="1">IFERROR(__xludf.DUMMYFUNCTION("""COMPUTED_VALUE"""),7)</f>
        <v>7</v>
      </c>
      <c r="F98" s="1" t="str">
        <f ca="1">IFERROR(__xludf.DUMMYFUNCTION("""COMPUTED_VALUE"""),"・『鬼滅の刃』： 冨岡義勇
・『コードギアス 反逆のルルーシュ』： 枢木スザク
・『モブサイコ100』： 霊幻新隆
・『おそ松さん』： 松野おそ松
・『PSYCHO-PASS サイコパス』： 槙島聖護
・『NARUTO -ナルト-』： サソリ
・『ダイヤのA』： 御幸一也
・『ジョジョの奇妙な冒険 ダイヤモンドは砕けない』： 岸辺露伴")</f>
        <v>・『鬼滅の刃』： 冨岡義勇
・『コードギアス 反逆のルルーシュ』： 枢木スザク
・『モブサイコ100』： 霊幻新隆
・『おそ松さん』： 松野おそ松
・『PSYCHO-PASS サイコパス』： 槙島聖護
・『NARUTO -ナルト-』： サソリ
・『ダイヤのA』： 御幸一也
・『ジョジョの奇妙な冒険 ダイヤモンドは砕けない』： 岸辺露伴</v>
      </c>
    </row>
    <row r="99" spans="1:6">
      <c r="A99" s="1" t="str">
        <f ca="1">IFERROR(__xludf.DUMMYFUNCTION("""COMPUTED_VALUE"""),"va_038")</f>
        <v>va_038</v>
      </c>
      <c r="B99" s="1" t="str">
        <f ca="1">IFERROR(__xludf.DUMMYFUNCTION("""COMPUTED_VALUE"""),"小笠原仁")</f>
        <v>小笠原仁</v>
      </c>
      <c r="C99" s="1" t="str">
        <f ca="1">IFERROR(__xludf.DUMMYFUNCTION("""COMPUTED_VALUE"""),"T")</f>
        <v>T</v>
      </c>
      <c r="D99" s="1" t="str">
        <f ca="1">IFERROR(__xludf.DUMMYFUNCTION("""COMPUTED_VALUE"""),"表示")</f>
        <v>表示</v>
      </c>
      <c r="E99" s="1">
        <f ca="1">IFERROR(__xludf.DUMMYFUNCTION("""COMPUTED_VALUE"""),6)</f>
        <v>6</v>
      </c>
      <c r="F99" s="1" t="str">
        <f ca="1">IFERROR(__xludf.DUMMYFUNCTION("""COMPUTED_VALUE"""),"•  『from ARGONAVIS』：旭那由多
•  『カードファイト!! ヴァンガード will+Dress』：狐芝ライカ
•  『WAVE!!～サーフィンやっぺ!!～』：秋月ショウ
•  『カワイスギクライシス』：向井誠二
•  『18TRIP』：西園練牙
•  『SSSS.DYNAZENON』：淡木")</f>
        <v>•  『from ARGONAVIS』：旭那由多
•  『カードファイト!! ヴァンガード will+Dress』：狐芝ライカ
•  『WAVE!!～サーフィンやっぺ!!～』：秋月ショウ
•  『カワイスギクライシス』：向井誠二
•  『18TRIP』：西園練牙
•  『SSSS.DYNAZENON』：淡木</v>
      </c>
    </row>
    <row r="100" spans="1:6">
      <c r="A100" s="1" t="str">
        <f ca="1">IFERROR(__xludf.DUMMYFUNCTION("""COMPUTED_VALUE"""),"va_077")</f>
        <v>va_077</v>
      </c>
      <c r="B100" s="1" t="str">
        <f ca="1">IFERROR(__xludf.DUMMYFUNCTION("""COMPUTED_VALUE"""),"駒田航")</f>
        <v>駒田航</v>
      </c>
      <c r="C100" s="1" t="str">
        <f ca="1">IFERROR(__xludf.DUMMYFUNCTION("""COMPUTED_VALUE"""),"T")</f>
        <v>T</v>
      </c>
      <c r="D100" s="1" t="str">
        <f ca="1">IFERROR(__xludf.DUMMYFUNCTION("""COMPUTED_VALUE"""),"表示")</f>
        <v>表示</v>
      </c>
      <c r="E100" s="1">
        <f ca="1">IFERROR(__xludf.DUMMYFUNCTION("""COMPUTED_VALUE"""),6)</f>
        <v>6</v>
      </c>
      <c r="F100" s="1" t="str">
        <f ca="1">IFERROR(__xludf.DUMMYFUNCTION("""COMPUTED_VALUE"""),"•  『ヒプノシスマイク』：入間銃兎
•  『アイドルマスター SideM』：古論クリス
•  『あんさんぶるスターズ！』：椚章臣
•  『ディズニー ツイステッドワンダーランド』：ジェイド・リーチ
•  『華Doll＊』：チセ")</f>
        <v>•  『ヒプノシスマイク』：入間銃兎
•  『アイドルマスター SideM』：古論クリス
•  『あんさんぶるスターズ！』：椚章臣
•  『ディズニー ツイステッドワンダーランド』：ジェイド・リーチ
•  『華Doll＊』：チセ</v>
      </c>
    </row>
    <row r="101" spans="1:6">
      <c r="A101" s="1" t="str">
        <f ca="1">IFERROR(__xludf.DUMMYFUNCTION("""COMPUTED_VALUE"""),"va_086")</f>
        <v>va_086</v>
      </c>
      <c r="B101" s="1" t="str">
        <f ca="1">IFERROR(__xludf.DUMMYFUNCTION("""COMPUTED_VALUE"""),"坂田将吾")</f>
        <v>坂田将吾</v>
      </c>
      <c r="C101" s="1" t="str">
        <f ca="1">IFERROR(__xludf.DUMMYFUNCTION("""COMPUTED_VALUE"""),"T")</f>
        <v>T</v>
      </c>
      <c r="D101" s="1" t="str">
        <f ca="1">IFERROR(__xludf.DUMMYFUNCTION("""COMPUTED_VALUE"""),"表示")</f>
        <v>表示</v>
      </c>
      <c r="E101" s="1">
        <f ca="1">IFERROR(__xludf.DUMMYFUNCTION("""COMPUTED_VALUE"""),6)</f>
        <v>6</v>
      </c>
      <c r="F101" s="1" t="str">
        <f ca="1">IFERROR(__xludf.DUMMYFUNCTION("""COMPUTED_VALUE"""),"•  『チェンソーマン』：早川アキ
•  『Fairy蘭丸～あなたの心お助けします～』：阿以蘭丸
•  『転生王女と天才令嬢の魔法革命』：アルガルド・ボナ・パレッティア
•  『千歳くんはラムネ瓶のなか』：千歳朔
•  『悪魔執事と黒い猫』：フェネス・オズワルド
•  『桃源暗鬼』：矢颪碇")</f>
        <v>•  『チェンソーマン』：早川アキ
•  『Fairy蘭丸～あなたの心お助けします～』：阿以蘭丸
•  『転生王女と天才令嬢の魔法革命』：アルガルド・ボナ・パレッティア
•  『千歳くんはラムネ瓶のなか』：千歳朔
•  『悪魔執事と黒い猫』：フェネス・オズワルド
•  『桃源暗鬼』：矢颪碇</v>
      </c>
    </row>
    <row r="102" spans="1:6">
      <c r="A102" s="1" t="str">
        <f ca="1">IFERROR(__xludf.DUMMYFUNCTION("""COMPUTED_VALUE"""),"va_101")</f>
        <v>va_101</v>
      </c>
      <c r="B102" s="1" t="str">
        <f ca="1">IFERROR(__xludf.DUMMYFUNCTION("""COMPUTED_VALUE"""),"鈴木崚汰")</f>
        <v>鈴木崚汰</v>
      </c>
      <c r="C102" s="1" t="str">
        <f ca="1">IFERROR(__xludf.DUMMYFUNCTION("""COMPUTED_VALUE"""),"T")</f>
        <v>T</v>
      </c>
      <c r="D102" s="1" t="str">
        <f ca="1">IFERROR(__xludf.DUMMYFUNCTION("""COMPUTED_VALUE"""),"表示")</f>
        <v>表示</v>
      </c>
      <c r="E102" s="1">
        <f ca="1">IFERROR(__xludf.DUMMYFUNCTION("""COMPUTED_VALUE"""),6)</f>
        <v>6</v>
      </c>
      <c r="F102" s="1" t="str">
        <f ca="1">IFERROR(__xludf.DUMMYFUNCTION("""COMPUTED_VALUE"""),"•  『Dr.STONE』：七海龍水
•  『錆喰いビスコ』：赤星ビスコ
•  『かぐや様は告らせたい～天才たちの恋愛頭脳戦～』：石上優
•  『勇気爆発バーンブレイバーン』：イサミ・アオ
•  『ディズニー ツイステッドワンダーランド』：トレイ・クローバー
•  『地獄楽』：山田浅ェ門殊現
•  『SAKAMOTO DAYS』：眞霜平助
•  『ドラゴンボールDAIMA』：ヤムチャ（2代目）")</f>
        <v>•  『Dr.STONE』：七海龍水
•  『錆喰いビスコ』：赤星ビスコ
•  『かぐや様は告らせたい～天才たちの恋愛頭脳戦～』：石上優
•  『勇気爆発バーンブレイバーン』：イサミ・アオ
•  『ディズニー ツイステッドワンダーランド』：トレイ・クローバー
•  『地獄楽』：山田浅ェ門殊現
•  『SAKAMOTO DAYS』：眞霜平助
•  『ドラゴンボールDAIMA』：ヤムチャ（2代目）</v>
      </c>
    </row>
    <row r="103" spans="1:6">
      <c r="A103" s="1" t="str">
        <f ca="1">IFERROR(__xludf.DUMMYFUNCTION("""COMPUTED_VALUE"""),"va_107")</f>
        <v>va_107</v>
      </c>
      <c r="B103" s="1" t="str">
        <f ca="1">IFERROR(__xludf.DUMMYFUNCTION("""COMPUTED_VALUE"""),"高塚智人")</f>
        <v>高塚智人</v>
      </c>
      <c r="C103" s="1" t="str">
        <f ca="1">IFERROR(__xludf.DUMMYFUNCTION("""COMPUTED_VALUE"""),"T")</f>
        <v>T</v>
      </c>
      <c r="D103" s="1" t="str">
        <f ca="1">IFERROR(__xludf.DUMMYFUNCTION("""COMPUTED_VALUE"""),"表示")</f>
        <v>表示</v>
      </c>
      <c r="E103" s="1">
        <f ca="1">IFERROR(__xludf.DUMMYFUNCTION("""COMPUTED_VALUE"""),6)</f>
        <v>6</v>
      </c>
      <c r="F103" s="1" t="str">
        <f ca="1">IFERROR(__xludf.DUMMYFUNCTION("""COMPUTED_VALUE"""),"•  『アイドルマスター SideM』：渡辺みのり
•  『スタンドマイヒーローズ』：荒木田蒼生
•  『ALL OUT!!』：大比叡太一
•  『指先から本気の熱情-幼なじみは消防士-』：泉友貴
•  『王子の本命は悪役令嬢』：シリウス・イヴェール")</f>
        <v>•  『アイドルマスター SideM』：渡辺みのり
•  『スタンドマイヒーローズ』：荒木田蒼生
•  『ALL OUT!!』：大比叡太一
•  『指先から本気の熱情-幼なじみは消防士-』：泉友貴
•  『王子の本命は悪役令嬢』：シリウス・イヴェール</v>
      </c>
    </row>
    <row r="104" spans="1:6">
      <c r="A104" s="1" t="str">
        <f ca="1">IFERROR(__xludf.DUMMYFUNCTION("""COMPUTED_VALUE"""),"va_116")</f>
        <v>va_116</v>
      </c>
      <c r="B104" s="1" t="str">
        <f ca="1">IFERROR(__xludf.DUMMYFUNCTION("""COMPUTED_VALUE"""),"田所陽向")</f>
        <v>田所陽向</v>
      </c>
      <c r="C104" s="1" t="str">
        <f ca="1">IFERROR(__xludf.DUMMYFUNCTION("""COMPUTED_VALUE"""),"T")</f>
        <v>T</v>
      </c>
      <c r="D104" s="1" t="str">
        <f ca="1">IFERROR(__xludf.DUMMYFUNCTION("""COMPUTED_VALUE"""),"表示")</f>
        <v>表示</v>
      </c>
      <c r="E104" s="1">
        <f ca="1">IFERROR(__xludf.DUMMYFUNCTION("""COMPUTED_VALUE"""),6)</f>
        <v>6</v>
      </c>
      <c r="F104" s="1" t="str">
        <f ca="1">IFERROR(__xludf.DUMMYFUNCTION("""COMPUTED_VALUE"""),"•  『王様ランキング』：ドルーシ
•  『からかい上手の高木さん』：田辺先生
•  『黄昏アウトフォーカス』：土谷功緒
•  『地獄楽』：陸郎太
•  『number24』：財津岳十
•  『終末のワルキューレ』：アレス")</f>
        <v>•  『王様ランキング』：ドルーシ
•  『からかい上手の高木さん』：田辺先生
•  『黄昏アウトフォーカス』：土谷功緒
•  『地獄楽』：陸郎太
•  『number24』：財津岳十
•  『終末のワルキューレ』：アレス</v>
      </c>
    </row>
    <row r="105" spans="1:6">
      <c r="A105" s="1" t="str">
        <f ca="1">IFERROR(__xludf.DUMMYFUNCTION("""COMPUTED_VALUE"""),"va_137")</f>
        <v>va_137</v>
      </c>
      <c r="B105" s="1" t="str">
        <f ca="1">IFERROR(__xludf.DUMMYFUNCTION("""COMPUTED_VALUE"""),"中村悠一")</f>
        <v>中村悠一</v>
      </c>
      <c r="C105" s="1" t="str">
        <f ca="1">IFERROR(__xludf.DUMMYFUNCTION("""COMPUTED_VALUE"""),"T")</f>
        <v>T</v>
      </c>
      <c r="D105" s="1" t="str">
        <f ca="1">IFERROR(__xludf.DUMMYFUNCTION("""COMPUTED_VALUE"""),"表示")</f>
        <v>表示</v>
      </c>
      <c r="E105" s="1">
        <f ca="1">IFERROR(__xludf.DUMMYFUNCTION("""COMPUTED_VALUE"""),6)</f>
        <v>6</v>
      </c>
      <c r="F105" s="1" t="str">
        <f ca="1">IFERROR(__xludf.DUMMYFUNCTION("""COMPUTED_VALUE"""),"•  『呪術廻戦』：五条悟
•  『魔法科高校の劣等生』：司波達也
•  『CLANNAD』：岡崎朋也
•  『マクロスF』：早乙女アルト
•  『おそ松さん』：松野カラ松
•  『ハイキュー!!』：黒尾鉄朗
•  『ジョジョの奇妙な冒険 黄金の風』：ブローノ・ブチャラティ
•  『氷菓』：折木奉太郎
•  『ワールドトリガー』：迅悠一
•  『僕のヒーローアカデミア』：ホークス
•  『Dr.STONE』：獅子王司")</f>
        <v>•  『呪術廻戦』：五条悟
•  『魔法科高校の劣等生』：司波達也
•  『CLANNAD』：岡崎朋也
•  『マクロスF』：早乙女アルト
•  『おそ松さん』：松野カラ松
•  『ハイキュー!!』：黒尾鉄朗
•  『ジョジョの奇妙な冒険 黄金の風』：ブローノ・ブチャラティ
•  『氷菓』：折木奉太郎
•  『ワールドトリガー』：迅悠一
•  『僕のヒーローアカデミア』：ホークス
•  『Dr.STONE』：獅子王司</v>
      </c>
    </row>
    <row r="106" spans="1:6">
      <c r="A106" s="1" t="str">
        <f ca="1">IFERROR(__xludf.DUMMYFUNCTION("""COMPUTED_VALUE"""),"va_170")</f>
        <v>va_170</v>
      </c>
      <c r="B106" s="1" t="str">
        <f ca="1">IFERROR(__xludf.DUMMYFUNCTION("""COMPUTED_VALUE"""),"益山武明")</f>
        <v>益山武明</v>
      </c>
      <c r="C106" s="1" t="str">
        <f ca="1">IFERROR(__xludf.DUMMYFUNCTION("""COMPUTED_VALUE"""),"T")</f>
        <v>T</v>
      </c>
      <c r="D106" s="1" t="str">
        <f ca="1">IFERROR(__xludf.DUMMYFUNCTION("""COMPUTED_VALUE"""),"表示")</f>
        <v>表示</v>
      </c>
      <c r="E106" s="1">
        <f ca="1">IFERROR(__xludf.DUMMYFUNCTION("""COMPUTED_VALUE"""),6)</f>
        <v>6</v>
      </c>
      <c r="F106" s="1" t="str">
        <f ca="1">IFERROR(__xludf.DUMMYFUNCTION("""COMPUTED_VALUE"""),"•  『アイドルマスター SideM』：紅井朱雀
•  『ソードアート・オンライン アリシゼーション』：エルドリエ・シンセシス・サーティワン
•  『ドメスティックな彼女』：柾岡悠弥
•  『プレイタの傷』：鷲峰ラン
•  『岸辺露伴は動かない』：修一")</f>
        <v>•  『アイドルマスター SideM』：紅井朱雀
•  『ソードアート・オンライン アリシゼーション』：エルドリエ・シンセシス・サーティワン
•  『ドメスティックな彼女』：柾岡悠弥
•  『プレイタの傷』：鷲峰ラン
•  『岸辺露伴は動かない』：修一</v>
      </c>
    </row>
    <row r="107" spans="1:6">
      <c r="A107" s="1" t="str">
        <f ca="1">IFERROR(__xludf.DUMMYFUNCTION("""COMPUTED_VALUE"""),"va_192")</f>
        <v>va_192</v>
      </c>
      <c r="B107" s="1" t="str">
        <f ca="1">IFERROR(__xludf.DUMMYFUNCTION("""COMPUTED_VALUE"""),"山下誠一郎")</f>
        <v>山下誠一郎</v>
      </c>
      <c r="C107" s="1" t="str">
        <f ca="1">IFERROR(__xludf.DUMMYFUNCTION("""COMPUTED_VALUE"""),"T")</f>
        <v>T</v>
      </c>
      <c r="D107" s="1" t="str">
        <f ca="1">IFERROR(__xludf.DUMMYFUNCTION("""COMPUTED_VALUE"""),"表示")</f>
        <v>表示</v>
      </c>
      <c r="E107" s="1">
        <f ca="1">IFERROR(__xludf.DUMMYFUNCTION("""COMPUTED_VALUE"""),6)</f>
        <v>6</v>
      </c>
      <c r="F107" s="1" t="str">
        <f ca="1">IFERROR(__xludf.DUMMYFUNCTION("""COMPUTED_VALUE"""),"・『陰の実力者になりたくて！』： シド・カゲノー／シャドウ
・『ホリミヤ』： 石川透
・『86-エイティシックス-』： ライデン・シュガ
・『夫婦以上、恋人未満。』： 薬院次郎
・『刀剣乱舞』： 薬研藤四郎
・『ディズニー ツイステッドワンダーランド』： エース・トラッポラ")</f>
        <v>・『陰の実力者になりたくて！』： シド・カゲノー／シャドウ
・『ホリミヤ』： 石川透
・『86-エイティシックス-』： ライデン・シュガ
・『夫婦以上、恋人未満。』： 薬院次郎
・『刀剣乱舞』： 薬研藤四郎
・『ディズニー ツイステッドワンダーランド』： エース・トラッポラ</v>
      </c>
    </row>
    <row r="108" spans="1:6">
      <c r="A108" s="1" t="str">
        <f ca="1">IFERROR(__xludf.DUMMYFUNCTION("""COMPUTED_VALUE"""),"va_197")</f>
        <v>va_197</v>
      </c>
      <c r="B108" s="1" t="str">
        <f ca="1">IFERROR(__xludf.DUMMYFUNCTION("""COMPUTED_VALUE"""),"吉野裕行")</f>
        <v>吉野裕行</v>
      </c>
      <c r="C108" s="1" t="str">
        <f ca="1">IFERROR(__xludf.DUMMYFUNCTION("""COMPUTED_VALUE"""),"T")</f>
        <v>T</v>
      </c>
      <c r="D108" s="1" t="str">
        <f ca="1">IFERROR(__xludf.DUMMYFUNCTION("""COMPUTED_VALUE"""),"表示")</f>
        <v>表示</v>
      </c>
      <c r="E108" s="1">
        <f ca="1">IFERROR(__xludf.DUMMYFUNCTION("""COMPUTED_VALUE"""),6)</f>
        <v>6</v>
      </c>
      <c r="F108" s="1" t="str">
        <f ca="1">IFERROR(__xludf.DUMMYFUNCTION("""COMPUTED_VALUE"""),"・『機動戦士ガンダム00』： アレルヤ・ハプティズム
・『ハイキュー!!』： 岩泉一
・『僕のヒーローアカデミア』： プレゼント・マイク（山田ひざし）
・『SPY×FAMILY』： フランキー・フランクリン
・『イナズマイレブン』： 鬼道有人
・『弱虫ペダル』： 荒北靖友")</f>
        <v>・『機動戦士ガンダム00』： アレルヤ・ハプティズム
・『ハイキュー!!』： 岩泉一
・『僕のヒーローアカデミア』： プレゼント・マイク（山田ひざし）
・『SPY×FAMILY』： フランキー・フランクリン
・『イナズマイレブン』： 鬼道有人
・『弱虫ペダル』： 荒北靖友</v>
      </c>
    </row>
    <row r="109" spans="1:6">
      <c r="A109" s="1" t="str">
        <f ca="1">IFERROR(__xludf.DUMMYFUNCTION("""COMPUTED_VALUE"""),"va_218")</f>
        <v>va_218</v>
      </c>
      <c r="B109" s="1" t="str">
        <f ca="1">IFERROR(__xludf.DUMMYFUNCTION("""COMPUTED_VALUE"""),"林勇")</f>
        <v>林勇</v>
      </c>
      <c r="C109" s="1" t="str">
        <f ca="1">IFERROR(__xludf.DUMMYFUNCTION("""COMPUTED_VALUE"""),"T")</f>
        <v>T</v>
      </c>
      <c r="D109" s="1" t="str">
        <f ca="1">IFERROR(__xludf.DUMMYFUNCTION("""COMPUTED_VALUE"""),"表示")</f>
        <v>表示</v>
      </c>
      <c r="E109" s="1">
        <f ca="1">IFERROR(__xludf.DUMMYFUNCTION("""COMPUTED_VALUE"""),6)</f>
        <v>6</v>
      </c>
      <c r="F109" s="1" t="str">
        <f ca="1">IFERROR(__xludf.DUMMYFUNCTION("""COMPUTED_VALUE"""),"•  『ハイキュー!!』： 田中龍之介
•  『東京リベンジャーズ』： 佐野万次郎（マイキー）
•  『文豪ストレイドッグス』： 立原道造
•  『ムヒョとロージーの魔法律相談事務所』： ロージー（草野次郎）
•  『チア男子!!』： 遠野浩司
•  『ジョジョの奇妙な冒険』： スモーキー・ブラウン
•  『Paradox Live THE ANIMATION』： 神林匋平")</f>
        <v>•  『ハイキュー!!』： 田中龍之介
•  『東京リベンジャーズ』： 佐野万次郎（マイキー）
•  『文豪ストレイドッグス』： 立原道造
•  『ムヒョとロージーの魔法律相談事務所』： ロージー（草野次郎）
•  『チア男子!!』： 遠野浩司
•  『ジョジョの奇妙な冒険』： スモーキー・ブラウン
•  『Paradox Live THE ANIMATION』： 神林匋平</v>
      </c>
    </row>
    <row r="110" spans="1:6">
      <c r="A110" s="1" t="str">
        <f ca="1">IFERROR(__xludf.DUMMYFUNCTION("""COMPUTED_VALUE"""),"va_250")</f>
        <v>va_250</v>
      </c>
      <c r="B110" s="1" t="str">
        <f ca="1">IFERROR(__xludf.DUMMYFUNCTION("""COMPUTED_VALUE"""),"永塚拓馬")</f>
        <v>永塚拓馬</v>
      </c>
      <c r="C110" s="1" t="str">
        <f ca="1">IFERROR(__xludf.DUMMYFUNCTION("""COMPUTED_VALUE"""),"T")</f>
        <v>T</v>
      </c>
      <c r="D110" s="1" t="str">
        <f ca="1">IFERROR(__xludf.DUMMYFUNCTION("""COMPUTED_VALUE"""),"表示")</f>
        <v>表示</v>
      </c>
      <c r="E110" s="1">
        <f ca="1">IFERROR(__xludf.DUMMYFUNCTION("""COMPUTED_VALUE"""),6)</f>
        <v>6</v>
      </c>
      <c r="F110" s="1" t="str">
        <f ca="1">IFERROR(__xludf.DUMMYFUNCTION("""COMPUTED_VALUE"""),"・『アイドルマスター SideM』： 冬美旬
・『KING OF PRISM』： 西園寺レオ
・『SK∞ エスケーエイト』： 知念実也（MIYA）
・『僕のヒーローアカデミア』： 口田甲司
・『ヴィジュアルプリズン』： ヴーヴ・エリザベス
・『活撃 刀剣乱舞』： こんのすけ")</f>
        <v>・『アイドルマスター SideM』： 冬美旬
・『KING OF PRISM』： 西園寺レオ
・『SK∞ エスケーエイト』： 知念実也（MIYA）
・『僕のヒーローアカデミア』： 口田甲司
・『ヴィジュアルプリズン』： ヴーヴ・エリザベス
・『活撃 刀剣乱舞』： こんのすけ</v>
      </c>
    </row>
    <row r="111" spans="1:6">
      <c r="A111" s="1" t="str">
        <f ca="1">IFERROR(__xludf.DUMMYFUNCTION("""COMPUTED_VALUE"""),"va_298")</f>
        <v>va_298</v>
      </c>
      <c r="B111" s="1" t="str">
        <f ca="1">IFERROR(__xludf.DUMMYFUNCTION("""COMPUTED_VALUE"""),"神谷浩史")</f>
        <v>神谷浩史</v>
      </c>
      <c r="C111" s="1" t="str">
        <f ca="1">IFERROR(__xludf.DUMMYFUNCTION("""COMPUTED_VALUE"""),"T")</f>
        <v>T</v>
      </c>
      <c r="D111" s="1" t="str">
        <f ca="1">IFERROR(__xludf.DUMMYFUNCTION("""COMPUTED_VALUE"""),"表示")</f>
        <v>表示</v>
      </c>
      <c r="E111" s="1">
        <f ca="1">IFERROR(__xludf.DUMMYFUNCTION("""COMPUTED_VALUE"""),6)</f>
        <v>6</v>
      </c>
      <c r="F111" s="1" t="str">
        <f ca="1">IFERROR(__xludf.DUMMYFUNCTION("""COMPUTED_VALUE"""),"・『夏目友人帳』： 夏目貴志
・『〈物語〉シリーズ』： 阿良々木暦
・『進撃の巨人』： リヴァイ
・『ONE PIECE』： トラファルガー・ロー
・『黒子のバスケ』： 赤司征十郎
・『おそ松さん』： チョロ松
・『デュラララ!!』： 折原臨也
・『斉木楠雄のΨ難』： 斉木楠雄")</f>
        <v>・『夏目友人帳』： 夏目貴志
・『〈物語〉シリーズ』： 阿良々木暦
・『進撃の巨人』： リヴァイ
・『ONE PIECE』： トラファルガー・ロー
・『黒子のバスケ』： 赤司征十郎
・『おそ松さん』： チョロ松
・『デュラララ!!』： 折原臨也
・『斉木楠雄のΨ難』： 斉木楠雄</v>
      </c>
    </row>
    <row r="112" spans="1:6">
      <c r="A112" s="1" t="str">
        <f ca="1">IFERROR(__xludf.DUMMYFUNCTION("""COMPUTED_VALUE"""),"va_002")</f>
        <v>va_002</v>
      </c>
      <c r="B112" s="1" t="str">
        <f ca="1">IFERROR(__xludf.DUMMYFUNCTION("""COMPUTED_VALUE"""),"赤羽根健治")</f>
        <v>赤羽根健治</v>
      </c>
      <c r="C112" s="1" t="str">
        <f ca="1">IFERROR(__xludf.DUMMYFUNCTION("""COMPUTED_VALUE"""),"T")</f>
        <v>T</v>
      </c>
      <c r="D112" s="1" t="str">
        <f ca="1">IFERROR(__xludf.DUMMYFUNCTION("""COMPUTED_VALUE"""),"表示")</f>
        <v>表示</v>
      </c>
      <c r="E112" s="1">
        <f ca="1">IFERROR(__xludf.DUMMYFUNCTION("""COMPUTED_VALUE"""),5)</f>
        <v>5</v>
      </c>
      <c r="F112" s="1" t="str">
        <f ca="1">IFERROR(__xludf.DUMMYFUNCTION("""COMPUTED_VALUE"""),"•  『真マジンガー 衝撃! Z編』：兜甲児
•  『THE IDOLM@STER』：プロデューサー
•  『ジュエルペット てぃんくる☆』：レオン
•  『宇崎ちゃんは遊びたい！』：桜井真一
•  『世界最高の暗殺者、異世界貴族に転生する』：ルーグ")</f>
        <v>•  『真マジンガー 衝撃! Z編』：兜甲児
•  『THE IDOLM@STER』：プロデューサー
•  『ジュエルペット てぃんくる☆』：レオン
•  『宇崎ちゃんは遊びたい！』：桜井真一
•  『世界最高の暗殺者、異世界貴族に転生する』：ルーグ</v>
      </c>
    </row>
    <row r="113" spans="1:6">
      <c r="A113" s="1" t="str">
        <f ca="1">IFERROR(__xludf.DUMMYFUNCTION("""COMPUTED_VALUE"""),"va_012")</f>
        <v>va_012</v>
      </c>
      <c r="B113" s="1" t="str">
        <f ca="1">IFERROR(__xludf.DUMMYFUNCTION("""COMPUTED_VALUE"""),"井口祐一")</f>
        <v>井口祐一</v>
      </c>
      <c r="C113" s="1" t="str">
        <f ca="1">IFERROR(__xludf.DUMMYFUNCTION("""COMPUTED_VALUE"""),"T")</f>
        <v>T</v>
      </c>
      <c r="D113" s="1" t="str">
        <f ca="1">IFERROR(__xludf.DUMMYFUNCTION("""COMPUTED_VALUE"""),"表示")</f>
        <v>表示</v>
      </c>
      <c r="E113" s="1">
        <f ca="1">IFERROR(__xludf.DUMMYFUNCTION("""COMPUTED_VALUE"""),5)</f>
        <v>5</v>
      </c>
      <c r="F113" s="1" t="str">
        <f ca="1">IFERROR(__xludf.DUMMYFUNCTION("""COMPUTED_VALUE"""),"•  『僕らはみんな河合荘』：宇佐和成
•  『はたらく魔王さま！』：猿江三月／サリエル
•  『FAIRY TAIL』：マックス
•  『Spiritpact』：楊敬華
•  『BEASTARS』：キビ")</f>
        <v>•  『僕らはみんな河合荘』：宇佐和成
•  『はたらく魔王さま！』：猿江三月／サリエル
•  『FAIRY TAIL』：マックス
•  『Spiritpact』：楊敬華
•  『BEASTARS』：キビ</v>
      </c>
    </row>
    <row r="114" spans="1:6">
      <c r="A114" s="1" t="str">
        <f ca="1">IFERROR(__xludf.DUMMYFUNCTION("""COMPUTED_VALUE"""),"va_021")</f>
        <v>va_021</v>
      </c>
      <c r="B114" s="1" t="str">
        <f ca="1">IFERROR(__xludf.DUMMYFUNCTION("""COMPUTED_VALUE"""),"井上和彦")</f>
        <v>井上和彦</v>
      </c>
      <c r="C114" s="1" t="str">
        <f ca="1">IFERROR(__xludf.DUMMYFUNCTION("""COMPUTED_VALUE"""),"T")</f>
        <v>T</v>
      </c>
      <c r="D114" s="1" t="str">
        <f ca="1">IFERROR(__xludf.DUMMYFUNCTION("""COMPUTED_VALUE"""),"表示")</f>
        <v>表示</v>
      </c>
      <c r="E114" s="1">
        <f ca="1">IFERROR(__xludf.DUMMYFUNCTION("""COMPUTED_VALUE"""),5)</f>
        <v>5</v>
      </c>
      <c r="F114" s="1" t="str">
        <f ca="1">IFERROR(__xludf.DUMMYFUNCTION("""COMPUTED_VALUE"""),"•  『NARUTO -ナルト-』：はたけカカシ
•  『夏目友人帳』：ニャンコ先生／斑
•  『美味しんぼ』：山岡士郎
•  『サイボーグ009』：島村ジョー
•  『機動戦士Ζガンダム』：ジェリド・メサ
•  『名探偵コナン』：白鳥任三郎")</f>
        <v>•  『NARUTO -ナルト-』：はたけカカシ
•  『夏目友人帳』：ニャンコ先生／斑
•  『美味しんぼ』：山岡士郎
•  『サイボーグ009』：島村ジョー
•  『機動戦士Ζガンダム』：ジェリド・メサ
•  『名探偵コナン』：白鳥任三郎</v>
      </c>
    </row>
    <row r="115" spans="1:6">
      <c r="A115" s="1" t="str">
        <f ca="1">IFERROR(__xludf.DUMMYFUNCTION("""COMPUTED_VALUE"""),"va_063")</f>
        <v>va_063</v>
      </c>
      <c r="B115" s="1" t="str">
        <f ca="1">IFERROR(__xludf.DUMMYFUNCTION("""COMPUTED_VALUE"""),"木島隆一")</f>
        <v>木島隆一</v>
      </c>
      <c r="C115" s="1" t="str">
        <f ca="1">IFERROR(__xludf.DUMMYFUNCTION("""COMPUTED_VALUE"""),"T")</f>
        <v>T</v>
      </c>
      <c r="D115" s="1" t="str">
        <f ca="1">IFERROR(__xludf.DUMMYFUNCTION("""COMPUTED_VALUE"""),"表示")</f>
        <v>表示</v>
      </c>
      <c r="E115" s="1">
        <f ca="1">IFERROR(__xludf.DUMMYFUNCTION("""COMPUTED_VALUE"""),5)</f>
        <v>5</v>
      </c>
      <c r="F115" s="1" t="str">
        <f ca="1">IFERROR(__xludf.DUMMYFUNCTION("""COMPUTED_VALUE"""),"•  『ヒプノシスマイク』：伊弉冉一二三
•  『BORUTO-ボルト- NARUTO NEXT GENERATIONS』：ミツキ
•  『転生したらスライムだった件』：ギド
•  『ありふれた職業で世界最強』：坂上龍太郎
•  『映画大好きポンポさん』：アラン
•  『ゴッドイーター』：空木レンカ")</f>
        <v>•  『ヒプノシスマイク』：伊弉冉一二三
•  『BORUTO-ボルト- NARUTO NEXT GENERATIONS』：ミツキ
•  『転生したらスライムだった件』：ギド
•  『ありふれた職業で世界最強』：坂上龍太郎
•  『映画大好きポンポさん』：アラン
•  『ゴッドイーター』：空木レンカ</v>
      </c>
    </row>
    <row r="116" spans="1:6">
      <c r="A116" s="1" t="str">
        <f ca="1">IFERROR(__xludf.DUMMYFUNCTION("""COMPUTED_VALUE"""),"va_087")</f>
        <v>va_087</v>
      </c>
      <c r="B116" s="1" t="str">
        <f ca="1">IFERROR(__xludf.DUMMYFUNCTION("""COMPUTED_VALUE"""),"榊原優希")</f>
        <v>榊原優希</v>
      </c>
      <c r="C116" s="1" t="str">
        <f ca="1">IFERROR(__xludf.DUMMYFUNCTION("""COMPUTED_VALUE"""),"T")</f>
        <v>T</v>
      </c>
      <c r="D116" s="1" t="str">
        <f ca="1">IFERROR(__xludf.DUMMYFUNCTION("""COMPUTED_VALUE"""),"表示")</f>
        <v>表示</v>
      </c>
      <c r="E116" s="1">
        <f ca="1">IFERROR(__xludf.DUMMYFUNCTION("""COMPUTED_VALUE"""),5)</f>
        <v>5</v>
      </c>
      <c r="F116" s="1" t="str">
        <f ca="1">IFERROR(__xludf.DUMMYFUNCTION("""COMPUTED_VALUE"""),"•  『ヒプノシスマイク』：四十物十四
•  『デッドマウント・デスプレイ』：四乃山ポルカ
•  『呪術廻戦』：星綺羅羅
•  『シャドウバースF』：白銀ミカド
•  『異世界ワンターンキル姉さん』：軍場朝陽
•  『リコリス・リコイル』：ロボ太")</f>
        <v>•  『ヒプノシスマイク』：四十物十四
•  『デッドマウント・デスプレイ』：四乃山ポルカ
•  『呪術廻戦』：星綺羅羅
•  『シャドウバースF』：白銀ミカド
•  『異世界ワンターンキル姉さん』：軍場朝陽
•  『リコリス・リコイル』：ロボ太</v>
      </c>
    </row>
    <row r="117" spans="1:6">
      <c r="A117" s="1" t="str">
        <f ca="1">IFERROR(__xludf.DUMMYFUNCTION("""COMPUTED_VALUE"""),"va_100")</f>
        <v>va_100</v>
      </c>
      <c r="B117" s="1" t="str">
        <f ca="1">IFERROR(__xludf.DUMMYFUNCTION("""COMPUTED_VALUE"""),"鈴木裕斗")</f>
        <v>鈴木裕斗</v>
      </c>
      <c r="C117" s="1" t="str">
        <f ca="1">IFERROR(__xludf.DUMMYFUNCTION("""COMPUTED_VALUE"""),"T")</f>
        <v>T</v>
      </c>
      <c r="D117" s="1" t="str">
        <f ca="1">IFERROR(__xludf.DUMMYFUNCTION("""COMPUTED_VALUE"""),"表示")</f>
        <v>表示</v>
      </c>
      <c r="E117" s="1">
        <f ca="1">IFERROR(__xludf.DUMMYFUNCTION("""COMPUTED_VALUE"""),5)</f>
        <v>5</v>
      </c>
      <c r="F117" s="1" t="str">
        <f ca="1">IFERROR(__xludf.DUMMYFUNCTION("""COMPUTED_VALUE"""),"•  『刀剣乱舞』：骨喰藤四郎
•  『SERVAMP-サーヴァンプ-』：綿貫桜哉
•  『ブラッククローバー』：レブチ・サリーク
•  『魔界王子 devils and realist』：マモン
•  『Dance with Devils』：ジェキ
•  『シンカリオン チェンジ ザ ワールド』：岩手カケル")</f>
        <v>•  『刀剣乱舞』：骨喰藤四郎
•  『SERVAMP-サーヴァンプ-』：綿貫桜哉
•  『ブラッククローバー』：レブチ・サリーク
•  『魔界王子 devils and realist』：マモン
•  『Dance with Devils』：ジェキ
•  『シンカリオン チェンジ ザ ワールド』：岩手カケル</v>
      </c>
    </row>
    <row r="118" spans="1:6">
      <c r="A118" s="1" t="str">
        <f ca="1">IFERROR(__xludf.DUMMYFUNCTION("""COMPUTED_VALUE"""),"va_110")</f>
        <v>va_110</v>
      </c>
      <c r="B118" s="1" t="str">
        <f ca="1">IFERROR(__xludf.DUMMYFUNCTION("""COMPUTED_VALUE"""),"高橋英則")</f>
        <v>高橋英則</v>
      </c>
      <c r="C118" s="1" t="str">
        <f ca="1">IFERROR(__xludf.DUMMYFUNCTION("""COMPUTED_VALUE"""),"T")</f>
        <v>T</v>
      </c>
      <c r="D118" s="1" t="str">
        <f ca="1">IFERROR(__xludf.DUMMYFUNCTION("""COMPUTED_VALUE"""),"表示")</f>
        <v>表示</v>
      </c>
      <c r="E118" s="1">
        <f ca="1">IFERROR(__xludf.DUMMYFUNCTION("""COMPUTED_VALUE"""),5)</f>
        <v>5</v>
      </c>
      <c r="F118" s="1" t="str">
        <f ca="1">IFERROR(__xludf.DUMMYFUNCTION("""COMPUTED_VALUE"""),"•  『BORUTO-ボルト-』：猿飛木ノ葉丸
•  『刀剣乱舞』：石切丸
•  『うたの☆プリンスさまっ♪』：桐生院ヴァン
•  『AMNESIA』：ワカ
•  『トライナイツ』：小熊景太
•  『メガトン級ムサシ』：竹熊繁弘")</f>
        <v>•  『BORUTO-ボルト-』：猿飛木ノ葉丸
•  『刀剣乱舞』：石切丸
•  『うたの☆プリンスさまっ♪』：桐生院ヴァン
•  『AMNESIA』：ワカ
•  『トライナイツ』：小熊景太
•  『メガトン級ムサシ』：竹熊繁弘</v>
      </c>
    </row>
    <row r="119" spans="1:6">
      <c r="A119" s="1" t="str">
        <f ca="1">IFERROR(__xludf.DUMMYFUNCTION("""COMPUTED_VALUE"""),"va_128")</f>
        <v>va_128</v>
      </c>
      <c r="B119" s="1" t="str">
        <f ca="1">IFERROR(__xludf.DUMMYFUNCTION("""COMPUTED_VALUE"""),"堂島颯人")</f>
        <v>堂島颯人</v>
      </c>
      <c r="C119" s="1" t="str">
        <f ca="1">IFERROR(__xludf.DUMMYFUNCTION("""COMPUTED_VALUE"""),"T")</f>
        <v>T</v>
      </c>
      <c r="D119" s="1" t="str">
        <f ca="1">IFERROR(__xludf.DUMMYFUNCTION("""COMPUTED_VALUE"""),"表示")</f>
        <v>表示</v>
      </c>
      <c r="E119" s="1">
        <f ca="1">IFERROR(__xludf.DUMMYFUNCTION("""COMPUTED_VALUE"""),5)</f>
        <v>5</v>
      </c>
      <c r="F119" s="1" t="str">
        <f ca="1">IFERROR(__xludf.DUMMYFUNCTION("""COMPUTED_VALUE"""),"•  『ラブオールプレー』：一ノ瀬俊輔
•  『川越ボーイズ・シング』：森村充
•  『神之塔 -Tower of God-』：アウグスグス
•  『18TRIP』：久楽間潮
•  『A3!』：辛科景句
•  『女神降臨』：ハン・ソジュン")</f>
        <v>•  『ラブオールプレー』：一ノ瀬俊輔
•  『川越ボーイズ・シング』：森村充
•  『神之塔 -Tower of God-』：アウグスグス
•  『18TRIP』：久楽間潮
•  『A3!』：辛科景句
•  『女神降臨』：ハン・ソジュン</v>
      </c>
    </row>
    <row r="120" spans="1:6">
      <c r="A120" s="1" t="str">
        <f ca="1">IFERROR(__xludf.DUMMYFUNCTION("""COMPUTED_VALUE"""),"va_133")</f>
        <v>va_133</v>
      </c>
      <c r="B120" s="1" t="str">
        <f ca="1">IFERROR(__xludf.DUMMYFUNCTION("""COMPUTED_VALUE"""),"中澤まさとも")</f>
        <v>中澤まさとも</v>
      </c>
      <c r="C120" s="1" t="str">
        <f ca="1">IFERROR(__xludf.DUMMYFUNCTION("""COMPUTED_VALUE"""),"T")</f>
        <v>T</v>
      </c>
      <c r="D120" s="1" t="str">
        <f ca="1">IFERROR(__xludf.DUMMYFUNCTION("""COMPUTED_VALUE"""),"表示")</f>
        <v>表示</v>
      </c>
      <c r="E120" s="1">
        <f ca="1">IFERROR(__xludf.DUMMYFUNCTION("""COMPUTED_VALUE"""),5)</f>
        <v>5</v>
      </c>
      <c r="F120" s="1" t="str">
        <f ca="1">IFERROR(__xludf.DUMMYFUNCTION("""COMPUTED_VALUE"""),"•  『ギヴン』：中山春樹
•  『あんさんぶるスターズ！！』：風早巽
•  『ハイキュー!!』：二口堅治
•  『ブルーロック』：久遠渉
•  『DRAMAtical Murder』：クリア
•  『ヤリチン☆ビッチ部』：鹿谷樹")</f>
        <v>•  『ギヴン』：中山春樹
•  『あんさんぶるスターズ！！』：風早巽
•  『ハイキュー!!』：二口堅治
•  『ブルーロック』：久遠渉
•  『DRAMAtical Murder』：クリア
•  『ヤリチン☆ビッチ部』：鹿谷樹</v>
      </c>
    </row>
    <row r="121" spans="1:6">
      <c r="A121" s="1" t="str">
        <f ca="1">IFERROR(__xludf.DUMMYFUNCTION("""COMPUTED_VALUE"""),"va_142")</f>
        <v>va_142</v>
      </c>
      <c r="B121" s="1" t="str">
        <f ca="1">IFERROR(__xludf.DUMMYFUNCTION("""COMPUTED_VALUE"""),"野上翔")</f>
        <v>野上翔</v>
      </c>
      <c r="C121" s="1" t="str">
        <f ca="1">IFERROR(__xludf.DUMMYFUNCTION("""COMPUTED_VALUE"""),"T")</f>
        <v>T</v>
      </c>
      <c r="D121" s="1" t="str">
        <f ca="1">IFERROR(__xludf.DUMMYFUNCTION("""COMPUTED_VALUE"""),"表示")</f>
        <v>表示</v>
      </c>
      <c r="E121" s="1">
        <f ca="1">IFERROR(__xludf.DUMMYFUNCTION("""COMPUTED_VALUE"""),5)</f>
        <v>5</v>
      </c>
      <c r="F121" s="1" t="str">
        <f ca="1">IFERROR(__xludf.DUMMYFUNCTION("""COMPUTED_VALUE"""),"•  『アイドルマスター SideM』：伊瀬谷四季
•  『ゾイドワイルド ZERO』：レオ・コンラッド
•  『TSUKIPRO THE ANIMATION』：久我壱流
•  『A3!』：迫田ケン
•  『夫婦以上、恋人未満。』：賀茂貞春")</f>
        <v>•  『アイドルマスター SideM』：伊瀬谷四季
•  『ゾイドワイルド ZERO』：レオ・コンラッド
•  『TSUKIPRO THE ANIMATION』：久我壱流
•  『A3!』：迫田ケン
•  『夫婦以上、恋人未満。』：賀茂貞春</v>
      </c>
    </row>
    <row r="122" spans="1:6">
      <c r="A122" s="1" t="str">
        <f ca="1">IFERROR(__xludf.DUMMYFUNCTION("""COMPUTED_VALUE"""),"va_154")</f>
        <v>va_154</v>
      </c>
      <c r="B122" s="1" t="str">
        <f ca="1">IFERROR(__xludf.DUMMYFUNCTION("""COMPUTED_VALUE"""),"廣瀬大介")</f>
        <v>廣瀬大介</v>
      </c>
      <c r="C122" s="1" t="str">
        <f ca="1">IFERROR(__xludf.DUMMYFUNCTION("""COMPUTED_VALUE"""),"T")</f>
        <v>T</v>
      </c>
      <c r="D122" s="1" t="str">
        <f ca="1">IFERROR(__xludf.DUMMYFUNCTION("""COMPUTED_VALUE"""),"表示")</f>
        <v>表示</v>
      </c>
      <c r="E122" s="1">
        <f ca="1">IFERROR(__xludf.DUMMYFUNCTION("""COMPUTED_VALUE"""),5)</f>
        <v>5</v>
      </c>
      <c r="F122" s="1" t="str">
        <f ca="1">IFERROR(__xludf.DUMMYFUNCTION("""COMPUTED_VALUE"""),"•  『プロジェクトセカイ カラフルステージ！ feat. 初音ミク』： 天馬司
•  『A3!』： 斑鳩三角
•  『王室教師ハイネ』： レオンハルト・フォン・グランツライヒ
•  『グッド・ナイト・ワールド』： イチ／有間太一郎")</f>
        <v>•  『プロジェクトセカイ カラフルステージ！ feat. 初音ミク』： 天馬司
•  『A3!』： 斑鳩三角
•  『王室教師ハイネ』： レオンハルト・フォン・グランツライヒ
•  『グッド・ナイト・ワールド』： イチ／有間太一郎</v>
      </c>
    </row>
    <row r="123" spans="1:6">
      <c r="A123" s="1" t="str">
        <f ca="1">IFERROR(__xludf.DUMMYFUNCTION("""COMPUTED_VALUE"""),"va_194")</f>
        <v>va_194</v>
      </c>
      <c r="B123" s="1" t="str">
        <f ca="1">IFERROR(__xludf.DUMMYFUNCTION("""COMPUTED_VALUE"""),"山中真尋")</f>
        <v>山中真尋</v>
      </c>
      <c r="C123" s="1" t="str">
        <f ca="1">IFERROR(__xludf.DUMMYFUNCTION("""COMPUTED_VALUE"""),"T")</f>
        <v>T</v>
      </c>
      <c r="D123" s="1" t="str">
        <f ca="1">IFERROR(__xludf.DUMMYFUNCTION("""COMPUTED_VALUE"""),"表示")</f>
        <v>表示</v>
      </c>
      <c r="E123" s="1">
        <f ca="1">IFERROR(__xludf.DUMMYFUNCTION("""COMPUTED_VALUE"""),5)</f>
        <v>5</v>
      </c>
      <c r="F123" s="1" t="str">
        <f ca="1">IFERROR(__xludf.DUMMYFUNCTION("""COMPUTED_VALUE"""),"・『刀剣乱舞』： 亀甲貞宗
・『君に届け』： 城之内宗一
・『ツキウタ。THE ANIMATION』： 月城奏
・『真の仲間じゃないと勇者のパーティーを追い出されたので、辺境でスローライフすることにしました』： ゴンズ
・『ゼロの使い魔』： ウェールズ・テューダー／レイナール
・『ヤリチン☆ビッチ部』： 糸目幸士郎")</f>
        <v>・『刀剣乱舞』： 亀甲貞宗
・『君に届け』： 城之内宗一
・『ツキウタ。THE ANIMATION』： 月城奏
・『真の仲間じゃないと勇者のパーティーを追い出されたので、辺境でスローライフすることにしました』： ゴンズ
・『ゼロの使い魔』： ウェールズ・テューダー／レイナール
・『ヤリチン☆ビッチ部』： 糸目幸士郎</v>
      </c>
    </row>
    <row r="124" spans="1:6">
      <c r="A124" s="1" t="str">
        <f ca="1">IFERROR(__xludf.DUMMYFUNCTION("""COMPUTED_VALUE"""),"va_206")</f>
        <v>va_206</v>
      </c>
      <c r="B124" s="1" t="str">
        <f ca="1">IFERROR(__xludf.DUMMYFUNCTION("""COMPUTED_VALUE"""),"黒田崇矢")</f>
        <v>黒田崇矢</v>
      </c>
      <c r="C124" s="1" t="str">
        <f ca="1">IFERROR(__xludf.DUMMYFUNCTION("""COMPUTED_VALUE"""),"T")</f>
        <v>T</v>
      </c>
      <c r="D124" s="1" t="str">
        <f ca="1">IFERROR(__xludf.DUMMYFUNCTION("""COMPUTED_VALUE"""),"表示")</f>
        <v>表示</v>
      </c>
      <c r="E124" s="1">
        <f ca="1">IFERROR(__xludf.DUMMYFUNCTION("""COMPUTED_VALUE"""),5)</f>
        <v>5</v>
      </c>
      <c r="F124" s="1" t="str">
        <f ca="1">IFERROR(__xludf.DUMMYFUNCTION("""COMPUTED_VALUE"""),"•  『龍が如く』シリーズ： 桐生一馬
•  『ヒプノシスマイク』： 天谷奴零
•  『魔入りました！入間くん』： サリバン
•  『呪術廻戦』： 夜蛾正道
•  『デュラララ!!』： サイモン・ブレジネフ
•  『妖怪ウォッチ シャドウサイド』： ジバニャン
•  『夏目友人帳』： 三篠
•  『オッドタクシー』： 黒田")</f>
        <v>•  『龍が如く』シリーズ： 桐生一馬
•  『ヒプノシスマイク』： 天谷奴零
•  『魔入りました！入間くん』： サリバン
•  『呪術廻戦』： 夜蛾正道
•  『デュラララ!!』： サイモン・ブレジネフ
•  『妖怪ウォッチ シャドウサイド』： ジバニャン
•  『夏目友人帳』： 三篠
•  『オッドタクシー』： 黒田</v>
      </c>
    </row>
    <row r="125" spans="1:6">
      <c r="A125" s="1" t="str">
        <f ca="1">IFERROR(__xludf.DUMMYFUNCTION("""COMPUTED_VALUE"""),"va_209")</f>
        <v>va_209</v>
      </c>
      <c r="B125" s="1" t="str">
        <f ca="1">IFERROR(__xludf.DUMMYFUNCTION("""COMPUTED_VALUE"""),"浦田わたる")</f>
        <v>浦田わたる</v>
      </c>
      <c r="C125" s="1" t="str">
        <f ca="1">IFERROR(__xludf.DUMMYFUNCTION("""COMPUTED_VALUE"""),"T")</f>
        <v>T</v>
      </c>
      <c r="D125" s="1" t="str">
        <f ca="1">IFERROR(__xludf.DUMMYFUNCTION("""COMPUTED_VALUE"""),"表示")</f>
        <v>表示</v>
      </c>
      <c r="E125" s="1">
        <f ca="1">IFERROR(__xludf.DUMMYFUNCTION("""COMPUTED_VALUE"""),5)</f>
        <v>5</v>
      </c>
      <c r="F125" s="1" t="str">
        <f ca="1">IFERROR(__xludf.DUMMYFUNCTION("""COMPUTED_VALUE"""),"•  『ACTORS -Songs Connection-』： 神樂蒼介
•  『アオペラ -aoppella!?-』： 紫垣明
•  『浦島坂田船の日常』： うらた
•  『KING OF PRISM』： 五反田ココロ／三枝タカヤ
•  『トライナイツ』： 片城雪也
•  『異世界のんびり農家』： グッチ
•  『ダイヤのA actII』： 高津広臣
•  『BORUTO-ボルト-』： クロヤギ・タヨリ")</f>
        <v>•  『ACTORS -Songs Connection-』： 神樂蒼介
•  『アオペラ -aoppella!?-』： 紫垣明
•  『浦島坂田船の日常』： うらた
•  『KING OF PRISM』： 五反田ココロ／三枝タカヤ
•  『トライナイツ』： 片城雪也
•  『異世界のんびり農家』： グッチ
•  『ダイヤのA actII』： 高津広臣
•  『BORUTO-ボルト-』： クロヤギ・タヨリ</v>
      </c>
    </row>
    <row r="126" spans="1:6">
      <c r="A126" s="1" t="str">
        <f ca="1">IFERROR(__xludf.DUMMYFUNCTION("""COMPUTED_VALUE"""),"va_215")</f>
        <v>va_215</v>
      </c>
      <c r="B126" s="1" t="str">
        <f ca="1">IFERROR(__xludf.DUMMYFUNCTION("""COMPUTED_VALUE"""),"大河元気")</f>
        <v>大河元気</v>
      </c>
      <c r="C126" s="1" t="str">
        <f ca="1">IFERROR(__xludf.DUMMYFUNCTION("""COMPUTED_VALUE"""),"T")</f>
        <v>T</v>
      </c>
      <c r="D126" s="1" t="str">
        <f ca="1">IFERROR(__xludf.DUMMYFUNCTION("""COMPUTED_VALUE"""),"表示")</f>
        <v>表示</v>
      </c>
      <c r="E126" s="1">
        <f ca="1">IFERROR(__xludf.DUMMYFUNCTION("""COMPUTED_VALUE"""),5)</f>
        <v>5</v>
      </c>
      <c r="F126" s="1" t="str">
        <f ca="1">IFERROR(__xludf.DUMMYFUNCTION("""COMPUTED_VALUE"""),"•  『B-PROJECT』： 野目龍広
•  『遊☆戯☆王ZEXAL』： ミザエル
•  『MARGINAL#4』： 緋室キラ
•  『魔入りました！入間くん』： ガープ・ゴエモン
•  『カリスマ』： テラ
•  『2.43 清陰高校男子バレー部』： 戸倉工兵
•  『ぶっちぎり?!』： 灯荒仁
•  『地縛少年花子くん』： 山吹檸檬
•  『魔進戦隊キラメイジャー』： 魔進ジェッタ")</f>
        <v>•  『B-PROJECT』： 野目龍広
•  『遊☆戯☆王ZEXAL』： ミザエル
•  『MARGINAL#4』： 緋室キラ
•  『魔入りました！入間くん』： ガープ・ゴエモン
•  『カリスマ』： テラ
•  『2.43 清陰高校男子バレー部』： 戸倉工兵
•  『ぶっちぎり?!』： 灯荒仁
•  『地縛少年花子くん』： 山吹檸檬
•  『魔進戦隊キラメイジャー』： 魔進ジェッタ</v>
      </c>
    </row>
    <row r="127" spans="1:6">
      <c r="A127" s="1" t="str">
        <f ca="1">IFERROR(__xludf.DUMMYFUNCTION("""COMPUTED_VALUE"""),"va_217")</f>
        <v>va_217</v>
      </c>
      <c r="B127" s="1" t="str">
        <f ca="1">IFERROR(__xludf.DUMMYFUNCTION("""COMPUTED_VALUE"""),"竹内良太")</f>
        <v>竹内良太</v>
      </c>
      <c r="C127" s="1" t="str">
        <f ca="1">IFERROR(__xludf.DUMMYFUNCTION("""COMPUTED_VALUE"""),"T")</f>
        <v>T</v>
      </c>
      <c r="D127" s="1" t="str">
        <f ca="1">IFERROR(__xludf.DUMMYFUNCTION("""COMPUTED_VALUE"""),"表示")</f>
        <v>表示</v>
      </c>
      <c r="E127" s="1">
        <f ca="1">IFERROR(__xludf.DUMMYFUNCTION("""COMPUTED_VALUE"""),5)</f>
        <v>5</v>
      </c>
      <c r="F127" s="1" t="str">
        <f ca="1">IFERROR(__xludf.DUMMYFUNCTION("""COMPUTED_VALUE"""),"•  『ハイキュー!!』： 牛島若利
•  『魔法使いの嫁』： エリアス・エインズワース
•  『暗殺教室』： シロ
•  『NARUTO -ナルト- 疾風伝』： ダルイ
•  『Paradox Live THE ANIMATION』： 西門直明
•  『青のミブロ』： 芹沢鴨
•  『ID:INVADED』： 富久田保津
•  『ULTRAMAN』： ジャック")</f>
        <v>•  『ハイキュー!!』： 牛島若利
•  『魔法使いの嫁』： エリアス・エインズワース
•  『暗殺教室』： シロ
•  『NARUTO -ナルト- 疾風伝』： ダルイ
•  『Paradox Live THE ANIMATION』： 西門直明
•  『青のミブロ』： 芹沢鴨
•  『ID:INVADED』： 富久田保津
•  『ULTRAMAN』： ジャック</v>
      </c>
    </row>
    <row r="128" spans="1:6">
      <c r="A128" s="1" t="str">
        <f ca="1">IFERROR(__xludf.DUMMYFUNCTION("""COMPUTED_VALUE"""),"va_226")</f>
        <v>va_226</v>
      </c>
      <c r="B128" s="1" t="str">
        <f ca="1">IFERROR(__xludf.DUMMYFUNCTION("""COMPUTED_VALUE"""),"ランズベリー・アーサー")</f>
        <v>ランズベリー・アーサー</v>
      </c>
      <c r="C128" s="1" t="str">
        <f ca="1">IFERROR(__xludf.DUMMYFUNCTION("""COMPUTED_VALUE"""),"T")</f>
        <v>T</v>
      </c>
      <c r="D128" s="1" t="str">
        <f ca="1">IFERROR(__xludf.DUMMYFUNCTION("""COMPUTED_VALUE"""),"表示")</f>
        <v>表示</v>
      </c>
      <c r="E128" s="1">
        <f ca="1">IFERROR(__xludf.DUMMYFUNCTION("""COMPUTED_VALUE"""),5)</f>
        <v>5</v>
      </c>
      <c r="F128" s="1" t="str">
        <f ca="1">IFERROR(__xludf.DUMMYFUNCTION("""COMPUTED_VALUE"""),"•  『スタミュ』： 月皇海斗
•  『遊☆戯☆王ゴーラッシュ!!』： ユウディアス・ベルギャー
•  『from ARGONAVIS』： フェリクス・ルイ＝クロード・モンドール
•  『プレイタの傷』： 甲斐ヤマト
•  『イナズマイレブンGO ギャラクシー』： リュゲル・バラン
•  『ACTORS -Songs Connection-』： 二条佐斗流
•  『永久少年 Eternal Boys』： リン・ジュンジェ")</f>
        <v>•  『スタミュ』： 月皇海斗
•  『遊☆戯☆王ゴーラッシュ!!』： ユウディアス・ベルギャー
•  『from ARGONAVIS』： フェリクス・ルイ＝クロード・モンドール
•  『プレイタの傷』： 甲斐ヤマト
•  『イナズマイレブンGO ギャラクシー』： リュゲル・バラン
•  『ACTORS -Songs Connection-』： 二条佐斗流
•  『永久少年 Eternal Boys』： リン・ジュンジェ</v>
      </c>
    </row>
    <row r="129" spans="1:6">
      <c r="A129" s="1" t="str">
        <f ca="1">IFERROR(__xludf.DUMMYFUNCTION("""COMPUTED_VALUE"""),"va_237")</f>
        <v>va_237</v>
      </c>
      <c r="B129" s="1" t="str">
        <f ca="1">IFERROR(__xludf.DUMMYFUNCTION("""COMPUTED_VALUE"""),"鈴木達央")</f>
        <v>鈴木達央</v>
      </c>
      <c r="C129" s="1" t="str">
        <f ca="1">IFERROR(__xludf.DUMMYFUNCTION("""COMPUTED_VALUE"""),"T")</f>
        <v>T</v>
      </c>
      <c r="D129" s="1" t="str">
        <f ca="1">IFERROR(__xludf.DUMMYFUNCTION("""COMPUTED_VALUE"""),"表示")</f>
        <v>表示</v>
      </c>
      <c r="E129" s="1">
        <f ca="1">IFERROR(__xludf.DUMMYFUNCTION("""COMPUTED_VALUE"""),5)</f>
        <v>5</v>
      </c>
      <c r="F129" s="1" t="str">
        <f ca="1">IFERROR(__xludf.DUMMYFUNCTION("""COMPUTED_VALUE"""),"・『Free!』： 橘真琴
・『七つの大罪』： バン
・『うたの☆プリンスさまっ♪』： 黒崎蘭丸
・『黒子のバスケ』： 高尾和成
・『東京リベンジャーズ』： 龍宮寺堅（ドラケン）
・『ケンガンアシュラ』： 十鬼蛇王馬")</f>
        <v>・『Free!』： 橘真琴
・『七つの大罪』： バン
・『うたの☆プリンスさまっ♪』： 黒崎蘭丸
・『黒子のバスケ』： 高尾和成
・『東京リベンジャーズ』： 龍宮寺堅（ドラケン）
・『ケンガンアシュラ』： 十鬼蛇王馬</v>
      </c>
    </row>
    <row r="130" spans="1:6">
      <c r="A130" s="1" t="str">
        <f ca="1">IFERROR(__xludf.DUMMYFUNCTION("""COMPUTED_VALUE"""),"va_291")</f>
        <v>va_291</v>
      </c>
      <c r="B130" s="1" t="str">
        <f ca="1">IFERROR(__xludf.DUMMYFUNCTION("""COMPUTED_VALUE"""),"関智一")</f>
        <v>関智一</v>
      </c>
      <c r="C130" s="1" t="str">
        <f ca="1">IFERROR(__xludf.DUMMYFUNCTION("""COMPUTED_VALUE"""),"T")</f>
        <v>T</v>
      </c>
      <c r="D130" s="1" t="str">
        <f ca="1">IFERROR(__xludf.DUMMYFUNCTION("""COMPUTED_VALUE"""),"表示")</f>
        <v>表示</v>
      </c>
      <c r="E130" s="1">
        <f ca="1">IFERROR(__xludf.DUMMYFUNCTION("""COMPUTED_VALUE"""),5)</f>
        <v>5</v>
      </c>
      <c r="F130" s="1" t="str">
        <f ca="1">IFERROR(__xludf.DUMMYFUNCTION("""COMPUTED_VALUE"""),"・『ドラえもん』： 骨川スネ夫
・『PSYCHO-PASS サイコパス』： 狡噛慎也
・『STEINS;GATE』： 橋田至
・『機動武闘伝Gガンダム』： ドモン・カッシュ
・『のだめカンタービレ』： 千秋真一
・『鬼滅の刃』： 不死川実弥
・『フルメタル・パニック！』： 相良宗介")</f>
        <v>・『ドラえもん』： 骨川スネ夫
・『PSYCHO-PASS サイコパス』： 狡噛慎也
・『STEINS;GATE』： 橋田至
・『機動武闘伝Gガンダム』： ドモン・カッシュ
・『のだめカンタービレ』： 千秋真一
・『鬼滅の刃』： 不死川実弥
・『フルメタル・パニック！』： 相良宗介</v>
      </c>
    </row>
    <row r="131" spans="1:6">
      <c r="A131" s="1" t="str">
        <f ca="1">IFERROR(__xludf.DUMMYFUNCTION("""COMPUTED_VALUE"""),"va_308")</f>
        <v>va_308</v>
      </c>
      <c r="B131" s="1" t="str">
        <f ca="1">IFERROR(__xludf.DUMMYFUNCTION("""COMPUTED_VALUE"""),"三浦祥朗")</f>
        <v>三浦祥朗</v>
      </c>
      <c r="C131" s="1" t="str">
        <f ca="1">IFERROR(__xludf.DUMMYFUNCTION("""COMPUTED_VALUE"""),"T")</f>
        <v>T</v>
      </c>
      <c r="D131" s="1" t="str">
        <f ca="1">IFERROR(__xludf.DUMMYFUNCTION("""COMPUTED_VALUE"""),"表示")</f>
        <v>表示</v>
      </c>
      <c r="E131" s="1">
        <f ca="1">IFERROR(__xludf.DUMMYFUNCTION("""COMPUTED_VALUE"""),5)</f>
        <v>5</v>
      </c>
      <c r="F131" s="1" t="str">
        <f ca="1">IFERROR(__xludf.DUMMYFUNCTION("""COMPUTED_VALUE"""),"・『聖闘士星矢 冥王ハーデス冥界編』： キグナス氷河
・『おねがい☆ティーチャー』： 四道跨
・『正解するカド』： 真道幸路朗
・『ドラゴンボール改』： ザーボン
・『ワールドトリガー』： 歌川遼
・『ONE PIECE』： アブサロム")</f>
        <v>・『聖闘士星矢 冥王ハーデス冥界編』： キグナス氷河
・『おねがい☆ティーチャー』： 四道跨
・『正解するカド』： 真道幸路朗
・『ドラゴンボール改』： ザーボン
・『ワールドトリガー』： 歌川遼
・『ONE PIECE』： アブサロム</v>
      </c>
    </row>
    <row r="132" spans="1:6">
      <c r="A132" s="1" t="str">
        <f ca="1">IFERROR(__xludf.DUMMYFUNCTION("""COMPUTED_VALUE"""),"va_034")</f>
        <v>va_034</v>
      </c>
      <c r="B132" s="1" t="str">
        <f ca="1">IFERROR(__xludf.DUMMYFUNCTION("""COMPUTED_VALUE"""),"浦和希")</f>
        <v>浦和希</v>
      </c>
      <c r="C132" s="1" t="str">
        <f ca="1">IFERROR(__xludf.DUMMYFUNCTION("""COMPUTED_VALUE"""),"T")</f>
        <v>T</v>
      </c>
      <c r="D132" s="1" t="str">
        <f ca="1">IFERROR(__xludf.DUMMYFUNCTION("""COMPUTED_VALUE"""),"表示")</f>
        <v>表示</v>
      </c>
      <c r="E132" s="1">
        <f ca="1">IFERROR(__xludf.DUMMYFUNCTION("""COMPUTED_VALUE"""),4)</f>
        <v>4</v>
      </c>
      <c r="F132" s="1" t="str">
        <f ca="1">IFERROR(__xludf.DUMMYFUNCTION("""COMPUTED_VALUE"""),"•  『ブルーロック』：潔世一
•  『シャドウバースF』：真壁スバル
•  『テクノロイド オーバーマインド』：コバルト
•  『桃源暗鬼』：一ノ瀬四季
•  『カミエラビ GOD.app』：ゴロー
•  『悪魔執事と黒い猫』：ナック・シュタイン")</f>
        <v>•  『ブルーロック』：潔世一
•  『シャドウバースF』：真壁スバル
•  『テクノロイド オーバーマインド』：コバルト
•  『桃源暗鬼』：一ノ瀬四季
•  『カミエラビ GOD.app』：ゴロー
•  『悪魔執事と黒い猫』：ナック・シュタイン</v>
      </c>
    </row>
    <row r="133" spans="1:6">
      <c r="A133" s="1" t="str">
        <f ca="1">IFERROR(__xludf.DUMMYFUNCTION("""COMPUTED_VALUE"""),"va_039")</f>
        <v>va_039</v>
      </c>
      <c r="B133" s="1" t="str">
        <f ca="1">IFERROR(__xludf.DUMMYFUNCTION("""COMPUTED_VALUE"""),"大須賀純")</f>
        <v>大須賀純</v>
      </c>
      <c r="C133" s="1" t="str">
        <f ca="1">IFERROR(__xludf.DUMMYFUNCTION("""COMPUTED_VALUE"""),"T")</f>
        <v>T</v>
      </c>
      <c r="D133" s="1" t="str">
        <f ca="1">IFERROR(__xludf.DUMMYFUNCTION("""COMPUTED_VALUE"""),"表示")</f>
        <v>表示</v>
      </c>
      <c r="E133" s="1">
        <f ca="1">IFERROR(__xludf.DUMMYFUNCTION("""COMPUTED_VALUE"""),4)</f>
        <v>4</v>
      </c>
      <c r="F133" s="1" t="str">
        <f ca="1">IFERROR(__xludf.DUMMYFUNCTION("""COMPUTED_VALUE"""),"•  『あんさんぶるスターズ！』：影片みか
•  『刀剣乱舞』：博多藤四郎
•  『新テニスの王子様』：千歳千里
•  『サンリオ男子』：吉野俊介
•  『おおきく振りかぶって』：叶修悟
•  『PJベリーのもぐもぐむにゃむにゃ』：PJベリー")</f>
        <v>•  『あんさんぶるスターズ！』：影片みか
•  『刀剣乱舞』：博多藤四郎
•  『新テニスの王子様』：千歳千里
•  『サンリオ男子』：吉野俊介
•  『おおきく振りかぶって』：叶修悟
•  『PJベリーのもぐもぐむにゃむにゃ』：PJベリー</v>
      </c>
    </row>
    <row r="134" spans="1:6">
      <c r="A134" s="1" t="str">
        <f ca="1">IFERROR(__xludf.DUMMYFUNCTION("""COMPUTED_VALUE"""),"va_064")</f>
        <v>va_064</v>
      </c>
      <c r="B134" s="1" t="str">
        <f ca="1">IFERROR(__xludf.DUMMYFUNCTION("""COMPUTED_VALUE"""),"木村昴")</f>
        <v>木村昴</v>
      </c>
      <c r="C134" s="1" t="str">
        <f ca="1">IFERROR(__xludf.DUMMYFUNCTION("""COMPUTED_VALUE"""),"T")</f>
        <v>T</v>
      </c>
      <c r="D134" s="1" t="str">
        <f ca="1">IFERROR(__xludf.DUMMYFUNCTION("""COMPUTED_VALUE"""),"表示")</f>
        <v>表示</v>
      </c>
      <c r="E134" s="1">
        <f ca="1">IFERROR(__xludf.DUMMYFUNCTION("""COMPUTED_VALUE"""),4)</f>
        <v>4</v>
      </c>
      <c r="F134" s="1" t="str">
        <f ca="1">IFERROR(__xludf.DUMMYFUNCTION("""COMPUTED_VALUE"""),"•  『ドラえもん』：剛田武（ジャイアン）
•  『ヒプノシスマイク』：山田一郎
•  『呪術廻戦』：東堂葵
•  『ジョジョの奇妙な冒険 黄金の風』：ペッシ
•  『ハイキュー!!』：天童覚")</f>
        <v>•  『ドラえもん』：剛田武（ジャイアン）
•  『ヒプノシスマイク』：山田一郎
•  『呪術廻戦』：東堂葵
•  『ジョジョの奇妙な冒険 黄金の風』：ペッシ
•  『ハイキュー!!』：天童覚</v>
      </c>
    </row>
    <row r="135" spans="1:6">
      <c r="A135" s="1" t="str">
        <f ca="1">IFERROR(__xludf.DUMMYFUNCTION("""COMPUTED_VALUE"""),"va_073")</f>
        <v>va_073</v>
      </c>
      <c r="B135" s="1" t="str">
        <f ca="1">IFERROR(__xludf.DUMMYFUNCTION("""COMPUTED_VALUE"""),"小林親弘")</f>
        <v>小林親弘</v>
      </c>
      <c r="C135" s="1" t="str">
        <f ca="1">IFERROR(__xludf.DUMMYFUNCTION("""COMPUTED_VALUE"""),"T")</f>
        <v>T</v>
      </c>
      <c r="D135" s="1" t="str">
        <f ca="1">IFERROR(__xludf.DUMMYFUNCTION("""COMPUTED_VALUE"""),"表示")</f>
        <v>表示</v>
      </c>
      <c r="E135" s="1">
        <f ca="1">IFERROR(__xludf.DUMMYFUNCTION("""COMPUTED_VALUE"""),4)</f>
        <v>4</v>
      </c>
      <c r="F135" s="1" t="s">
        <v>369</v>
      </c>
    </row>
    <row r="136" spans="1:6">
      <c r="A136" s="1" t="str">
        <f ca="1">IFERROR(__xludf.DUMMYFUNCTION("""COMPUTED_VALUE"""),"va_093")</f>
        <v>va_093</v>
      </c>
      <c r="B136" s="1" t="str">
        <f ca="1">IFERROR(__xludf.DUMMYFUNCTION("""COMPUTED_VALUE"""),"重松千晴")</f>
        <v>重松千晴</v>
      </c>
      <c r="C136" s="1" t="str">
        <f ca="1">IFERROR(__xludf.DUMMYFUNCTION("""COMPUTED_VALUE"""),"T")</f>
        <v>T</v>
      </c>
      <c r="D136" s="1" t="str">
        <f ca="1">IFERROR(__xludf.DUMMYFUNCTION("""COMPUTED_VALUE"""),"表示")</f>
        <v>表示</v>
      </c>
      <c r="E136" s="1">
        <f ca="1">IFERROR(__xludf.DUMMYFUNCTION("""COMPUTED_VALUE"""),4)</f>
        <v>4</v>
      </c>
      <c r="F136" s="1" t="str">
        <f ca="1">IFERROR(__xludf.DUMMYFUNCTION("""COMPUTED_VALUE"""),"•  『あんさんぶるスターズ！！』：礼瀬マヨイ
•  『神様になった日』：鈴木央人
•  『神之塔 -Tower of God-』：ベータ
•  『クレバテス-魔獣の王と赤子と屍の勇者-』：メイナード")</f>
        <v>•  『あんさんぶるスターズ！！』：礼瀬マヨイ
•  『神様になった日』：鈴木央人
•  『神之塔 -Tower of God-』：ベータ
•  『クレバテス-魔獣の王と赤子と屍の勇者-』：メイナード</v>
      </c>
    </row>
    <row r="137" spans="1:6">
      <c r="A137" s="1" t="str">
        <f ca="1">IFERROR(__xludf.DUMMYFUNCTION("""COMPUTED_VALUE"""),"va_122")</f>
        <v>va_122</v>
      </c>
      <c r="B137" s="1" t="str">
        <f ca="1">IFERROR(__xludf.DUMMYFUNCTION("""COMPUTED_VALUE"""),"土田玲央")</f>
        <v>土田玲央</v>
      </c>
      <c r="C137" s="1" t="str">
        <f ca="1">IFERROR(__xludf.DUMMYFUNCTION("""COMPUTED_VALUE"""),"T")</f>
        <v>T</v>
      </c>
      <c r="D137" s="1" t="str">
        <f ca="1">IFERROR(__xludf.DUMMYFUNCTION("""COMPUTED_VALUE"""),"表示")</f>
        <v>表示</v>
      </c>
      <c r="E137" s="1">
        <f ca="1">IFERROR(__xludf.DUMMYFUNCTION("""COMPUTED_VALUE"""),4)</f>
        <v>4</v>
      </c>
      <c r="F137" s="1" t="str">
        <f ca="1">IFERROR(__xludf.DUMMYFUNCTION("""COMPUTED_VALUE"""),"•  『あんさんぶるスターズ！！』：朱桜司
•  『スケートリーディング☆スターズ』：望月暁光
•  『先輩がうざい後輩の話』：風間蒼太
•  『アイドルタイムプリパラ』：高瀬コヨイ
•  『VS AMBIVALENZ』：TAIYO／SUBARU")</f>
        <v>•  『あんさんぶるスターズ！！』：朱桜司
•  『スケートリーディング☆スターズ』：望月暁光
•  『先輩がうざい後輩の話』：風間蒼太
•  『アイドルタイムプリパラ』：高瀬コヨイ
•  『VS AMBIVALENZ』：TAIYO／SUBARU</v>
      </c>
    </row>
    <row r="138" spans="1:6">
      <c r="A138" s="1" t="str">
        <f ca="1">IFERROR(__xludf.DUMMYFUNCTION("""COMPUTED_VALUE"""),"va_123")</f>
        <v>va_123</v>
      </c>
      <c r="B138" s="1" t="str">
        <f ca="1">IFERROR(__xludf.DUMMYFUNCTION("""COMPUTED_VALUE"""),"土屋神葉")</f>
        <v>土屋神葉</v>
      </c>
      <c r="C138" s="1" t="str">
        <f ca="1">IFERROR(__xludf.DUMMYFUNCTION("""COMPUTED_VALUE"""),"T")</f>
        <v>T</v>
      </c>
      <c r="D138" s="1" t="str">
        <f ca="1">IFERROR(__xludf.DUMMYFUNCTION("""COMPUTED_VALUE"""),"表示")</f>
        <v>表示</v>
      </c>
      <c r="E138" s="1">
        <f ca="1">IFERROR(__xludf.DUMMYFUNCTION("""COMPUTED_VALUE"""),4)</f>
        <v>4</v>
      </c>
      <c r="F138" s="1" t="str">
        <f ca="1">IFERROR(__xludf.DUMMYFUNCTION("""COMPUTED_VALUE"""),"•  『ハイキュー!!』：五色工
•  『バクテン!!』：双葉翔太郎
•  『ディズニー ツイステッドワンダーランド』：エペル・フェルミエ
•  『アンジェリーク ルミナライズ』：ユエ
•  『シュート！ Goal to the Future』：小久保公平
•  『シンカリオン チェンジ ザ ワールド』：九頭竜リョータ
•  『群青のファンファーレ』：風波駿")</f>
        <v>•  『ハイキュー!!』：五色工
•  『バクテン!!』：双葉翔太郎
•  『ディズニー ツイステッドワンダーランド』：エペル・フェルミエ
•  『アンジェリーク ルミナライズ』：ユエ
•  『シュート！ Goal to the Future』：小久保公平
•  『シンカリオン チェンジ ザ ワールド』：九頭竜リョータ
•  『群青のファンファーレ』：風波駿</v>
      </c>
    </row>
    <row r="139" spans="1:6">
      <c r="A139" s="1" t="str">
        <f ca="1">IFERROR(__xludf.DUMMYFUNCTION("""COMPUTED_VALUE"""),"va_151")</f>
        <v>va_151</v>
      </c>
      <c r="B139" s="1" t="str">
        <f ca="1">IFERROR(__xludf.DUMMYFUNCTION("""COMPUTED_VALUE"""),"濱健人")</f>
        <v>濱健人</v>
      </c>
      <c r="C139" s="1" t="str">
        <f ca="1">IFERROR(__xludf.DUMMYFUNCTION("""COMPUTED_VALUE"""),"T")</f>
        <v>T</v>
      </c>
      <c r="D139" s="1" t="str">
        <f ca="1">IFERROR(__xludf.DUMMYFUNCTION("""COMPUTED_VALUE"""),"表示")</f>
        <v>表示</v>
      </c>
      <c r="E139" s="1">
        <f ca="1">IFERROR(__xludf.DUMMYFUNCTION("""COMPUTED_VALUE"""),4)</f>
        <v>4</v>
      </c>
      <c r="F139" s="1" t="str">
        <f ca="1">IFERROR(__xludf.DUMMYFUNCTION("""COMPUTED_VALUE"""),"•  『刀剣乱舞』： 陸奥守吉行
•  『アイドルマスター SideM』： 木村龍
•  『A3!』： 七尾太一
•  『カードファイト!! ヴァンガード レギオンメイト編』： オリビエ・ガイヤール")</f>
        <v>•  『刀剣乱舞』： 陸奥守吉行
•  『アイドルマスター SideM』： 木村龍
•  『A3!』： 七尾太一
•  『カードファイト!! ヴァンガード レギオンメイト編』： オリビエ・ガイヤール</v>
      </c>
    </row>
    <row r="140" spans="1:6">
      <c r="A140" s="1" t="str">
        <f ca="1">IFERROR(__xludf.DUMMYFUNCTION("""COMPUTED_VALUE"""),"va_181")</f>
        <v>va_181</v>
      </c>
      <c r="B140" s="1" t="str">
        <f ca="1">IFERROR(__xludf.DUMMYFUNCTION("""COMPUTED_VALUE"""),"宮下栄治")</f>
        <v>宮下栄治</v>
      </c>
      <c r="C140" s="1" t="str">
        <f ca="1">IFERROR(__xludf.DUMMYFUNCTION("""COMPUTED_VALUE"""),"T")</f>
        <v>T</v>
      </c>
      <c r="D140" s="1" t="str">
        <f ca="1">IFERROR(__xludf.DUMMYFUNCTION("""COMPUTED_VALUE"""),"表示")</f>
        <v>表示</v>
      </c>
      <c r="E140" s="1">
        <f ca="1">IFERROR(__xludf.DUMMYFUNCTION("""COMPUTED_VALUE"""),4)</f>
        <v>4</v>
      </c>
      <c r="F140" s="1" t="str">
        <f ca="1">IFERROR(__xludf.DUMMYFUNCTION("""COMPUTED_VALUE"""),"•  『結界師』：志々尾限
•  『暗殺教室』：菅谷創介
•  『蒼き鋼のアルペジオ -アルス・ノヴァ-』：橿原杏平
•  『刀剣乱舞』：次郎太刀／岩融")</f>
        <v>•  『結界師』：志々尾限
•  『暗殺教室』：菅谷創介
•  『蒼き鋼のアルペジオ -アルス・ノヴァ-』：橿原杏平
•  『刀剣乱舞』：次郎太刀／岩融</v>
      </c>
    </row>
    <row r="141" spans="1:6">
      <c r="A141" s="1" t="str">
        <f ca="1">IFERROR(__xludf.DUMMYFUNCTION("""COMPUTED_VALUE"""),"va_182")</f>
        <v>va_182</v>
      </c>
      <c r="B141" s="1" t="str">
        <f ca="1">IFERROR(__xludf.DUMMYFUNCTION("""COMPUTED_VALUE"""),"宮田幸季")</f>
        <v>宮田幸季</v>
      </c>
      <c r="C141" s="1" t="str">
        <f ca="1">IFERROR(__xludf.DUMMYFUNCTION("""COMPUTED_VALUE"""),"T")</f>
        <v>T</v>
      </c>
      <c r="D141" s="1" t="str">
        <f ca="1">IFERROR(__xludf.DUMMYFUNCTION("""COMPUTED_VALUE"""),"表示")</f>
        <v>表示</v>
      </c>
      <c r="E141" s="1">
        <f ca="1">IFERROR(__xludf.DUMMYFUNCTION("""COMPUTED_VALUE"""),4)</f>
        <v>4</v>
      </c>
      <c r="F141" s="1" t="str">
        <f ca="1">IFERROR(__xludf.DUMMYFUNCTION("""COMPUTED_VALUE"""),"•  『今日からマ王！』：村田健
•  『Free!』：似鳥愛一郎
•  『バカとテストと召喚獣』：土屋康太
•  『tactics』：一ノ宮勘太郎
•  『BLEACH』：山田花太郎
•  『鬼滅の刃』：村田
•  『弱虫ペダル』：杉元照文")</f>
        <v>•  『今日からマ王！』：村田健
•  『Free!』：似鳥愛一郎
•  『バカとテストと召喚獣』：土屋康太
•  『tactics』：一ノ宮勘太郎
•  『BLEACH』：山田花太郎
•  『鬼滅の刃』：村田
•  『弱虫ペダル』：杉元照文</v>
      </c>
    </row>
    <row r="142" spans="1:6">
      <c r="A142" s="1" t="str">
        <f ca="1">IFERROR(__xludf.DUMMYFUNCTION("""COMPUTED_VALUE"""),"va_184")</f>
        <v>va_184</v>
      </c>
      <c r="B142" s="1" t="str">
        <f ca="1">IFERROR(__xludf.DUMMYFUNCTION("""COMPUTED_VALUE"""),"村田太志")</f>
        <v>村田太志</v>
      </c>
      <c r="C142" s="1" t="str">
        <f ca="1">IFERROR(__xludf.DUMMYFUNCTION("""COMPUTED_VALUE"""),"T")</f>
        <v>T</v>
      </c>
      <c r="D142" s="1" t="str">
        <f ca="1">IFERROR(__xludf.DUMMYFUNCTION("""COMPUTED_VALUE"""),"表示")</f>
        <v>表示</v>
      </c>
      <c r="E142" s="1">
        <f ca="1">IFERROR(__xludf.DUMMYFUNCTION("""COMPUTED_VALUE"""),4)</f>
        <v>4</v>
      </c>
      <c r="F142" s="1" t="str">
        <f ca="1">IFERROR(__xludf.DUMMYFUNCTION("""COMPUTED_VALUE"""),"•  『機動戦士ガンダム 鉄血のオルフェンズ』：ノルバ・シノ
•  『メイドインアビス』：ジルオ
•  『ベイビーステップ』：丸尾栄一郎
•  『美少女戦士セーラームーンEternal／Cosmos』：アルテミス
•  『THE FIRST SLAM DUNK』：桑田登紀
•  『WIND BREAKER』：榎本健史
•  『TSUKIPRO THE ANIMATION』：宗像廉")</f>
        <v>•  『機動戦士ガンダム 鉄血のオルフェンズ』：ノルバ・シノ
•  『メイドインアビス』：ジルオ
•  『ベイビーステップ』：丸尾栄一郎
•  『美少女戦士セーラームーンEternal／Cosmos』：アルテミス
•  『THE FIRST SLAM DUNK』：桑田登紀
•  『WIND BREAKER』：榎本健史
•  『TSUKIPRO THE ANIMATION』：宗像廉</v>
      </c>
    </row>
    <row r="143" spans="1:6">
      <c r="A143" s="1" t="str">
        <f ca="1">IFERROR(__xludf.DUMMYFUNCTION("""COMPUTED_VALUE"""),"va_190")</f>
        <v>va_190</v>
      </c>
      <c r="B143" s="1" t="str">
        <f ca="1">IFERROR(__xludf.DUMMYFUNCTION("""COMPUTED_VALUE"""),"山口智広")</f>
        <v>山口智広</v>
      </c>
      <c r="C143" s="1" t="str">
        <f ca="1">IFERROR(__xludf.DUMMYFUNCTION("""COMPUTED_VALUE"""),"T")</f>
        <v>T</v>
      </c>
      <c r="D143" s="1" t="str">
        <f ca="1">IFERROR(__xludf.DUMMYFUNCTION("""COMPUTED_VALUE"""),"表示")</f>
        <v>表示</v>
      </c>
      <c r="E143" s="1">
        <f ca="1">IFERROR(__xludf.DUMMYFUNCTION("""COMPUTED_VALUE"""),4)</f>
        <v>4</v>
      </c>
      <c r="F143" s="1" t="str">
        <f ca="1">IFERROR(__xludf.DUMMYFUNCTION("""COMPUTED_VALUE"""),"・『あんさんぶるスターズ！！』： 椎名ニキ
・『ぷにるんず』： うるるん
・『ドラゴンボールDAIMA』： ピッコロ（ミニ）
・『CHEATING CRAFT』： 諸葛睦明
・『終末のワルキューレ』： ムニン")</f>
        <v>・『あんさんぶるスターズ！！』： 椎名ニキ
・『ぷにるんず』： うるるん
・『ドラゴンボールDAIMA』： ピッコロ（ミニ）
・『CHEATING CRAFT』： 諸葛睦明
・『終末のワルキューレ』： ムニン</v>
      </c>
    </row>
    <row r="144" spans="1:6">
      <c r="A144" s="1" t="str">
        <f ca="1">IFERROR(__xludf.DUMMYFUNCTION("""COMPUTED_VALUE"""),"va_205")</f>
        <v>va_205</v>
      </c>
      <c r="B144" s="1" t="str">
        <f ca="1">IFERROR(__xludf.DUMMYFUNCTION("""COMPUTED_VALUE"""),"速水奨")</f>
        <v>速水奨</v>
      </c>
      <c r="C144" s="1" t="str">
        <f ca="1">IFERROR(__xludf.DUMMYFUNCTION("""COMPUTED_VALUE"""),"T")</f>
        <v>T</v>
      </c>
      <c r="D144" s="1" t="str">
        <f ca="1">IFERROR(__xludf.DUMMYFUNCTION("""COMPUTED_VALUE"""),"表示")</f>
        <v>表示</v>
      </c>
      <c r="E144" s="1">
        <f ca="1">IFERROR(__xludf.DUMMYFUNCTION("""COMPUTED_VALUE"""),4)</f>
        <v>4</v>
      </c>
      <c r="F144" s="1" t="str">
        <f ca="1">IFERROR(__xludf.DUMMYFUNCTION("""COMPUTED_VALUE"""),"•  『超時空要塞マクロス』： マクシミリアン・ジーナス（マックス）
•  『BLEACH』： 藍染惣右介
•  『Fate/Zero』： 遠坂時臣
•  『銀魂』： 星海坊主
•  『ヒプノシスマイク』： 神宮寺寂雷
•  『戦国BASARA』： 明智光秀
•  『本好きの下剋上』： フェルディナンド
•  『ジョジョの奇妙な冒険 スターダストクルセイダース』： ヴァニラ・アイス")</f>
        <v>•  『超時空要塞マクロス』： マクシミリアン・ジーナス（マックス）
•  『BLEACH』： 藍染惣右介
•  『Fate/Zero』： 遠坂時臣
•  『銀魂』： 星海坊主
•  『ヒプノシスマイク』： 神宮寺寂雷
•  『戦国BASARA』： 明智光秀
•  『本好きの下剋上』： フェルディナンド
•  『ジョジョの奇妙な冒険 スターダストクルセイダース』： ヴァニラ・アイス</v>
      </c>
    </row>
    <row r="145" spans="1:6">
      <c r="A145" s="1" t="str">
        <f ca="1">IFERROR(__xludf.DUMMYFUNCTION("""COMPUTED_VALUE"""),"va_221")</f>
        <v>va_221</v>
      </c>
      <c r="B145" s="1" t="str">
        <f ca="1">IFERROR(__xludf.DUMMYFUNCTION("""COMPUTED_VALUE"""),"矢野奨吾")</f>
        <v>矢野奨吾</v>
      </c>
      <c r="C145" s="1" t="str">
        <f ca="1">IFERROR(__xludf.DUMMYFUNCTION("""COMPUTED_VALUE"""),"T")</f>
        <v>T</v>
      </c>
      <c r="D145" s="1" t="str">
        <f ca="1">IFERROR(__xludf.DUMMYFUNCTION("""COMPUTED_VALUE"""),"表示")</f>
        <v>表示</v>
      </c>
      <c r="E145" s="1">
        <f ca="1">IFERROR(__xludf.DUMMYFUNCTION("""COMPUTED_VALUE"""),4)</f>
        <v>4</v>
      </c>
      <c r="F145" s="1" t="str">
        <f ca="1">IFERROR(__xludf.DUMMYFUNCTION("""COMPUTED_VALUE"""),"•  『ギヴン』： 佐藤真冬
•  『ツルネ ―風舞高校弓道部―』／『つながりの一射』： 如月七緒
•  『アイドルマスター SideM』： 岡村直央
•  『Paradox Live』： 円山玲央
•  『群青のファンファーレ』： 有村優
•  『ヴィジュアルプリズン』： ジャック・ムートン
•  『美少年探偵団』： 足利飆太
•  『ハニーレモンソーダ』： 三浦界")</f>
        <v>•  『ギヴン』： 佐藤真冬
•  『ツルネ ―風舞高校弓道部―』／『つながりの一射』： 如月七緒
•  『アイドルマスター SideM』： 岡村直央
•  『Paradox Live』： 円山玲央
•  『群青のファンファーレ』： 有村優
•  『ヴィジュアルプリズン』： ジャック・ムートン
•  『美少年探偵団』： 足利飆太
•  『ハニーレモンソーダ』： 三浦界</v>
      </c>
    </row>
    <row r="146" spans="1:6">
      <c r="A146" s="1" t="str">
        <f ca="1">IFERROR(__xludf.DUMMYFUNCTION("""COMPUTED_VALUE"""),"va_229")</f>
        <v>va_229</v>
      </c>
      <c r="B146" s="1" t="str">
        <f ca="1">IFERROR(__xludf.DUMMYFUNCTION("""COMPUTED_VALUE"""),"菊池幸利")</f>
        <v>菊池幸利</v>
      </c>
      <c r="C146" s="1" t="str">
        <f ca="1">IFERROR(__xludf.DUMMYFUNCTION("""COMPUTED_VALUE"""),"T")</f>
        <v>T</v>
      </c>
      <c r="D146" s="1" t="str">
        <f ca="1">IFERROR(__xludf.DUMMYFUNCTION("""COMPUTED_VALUE"""),"表示")</f>
        <v>表示</v>
      </c>
      <c r="E146" s="1">
        <f ca="1">IFERROR(__xludf.DUMMYFUNCTION("""COMPUTED_VALUE"""),4)</f>
        <v>4</v>
      </c>
      <c r="F146" s="1" t="str">
        <f ca="1">IFERROR(__xludf.DUMMYFUNCTION("""COMPUTED_VALUE"""),"・『VAZZROCK THE ANIMATION』： 小野田翔
・『ハイキュー!!』： 小見春樹
・『弱虫ペダル』： 井原友矢
・『僕だけがいない街』： カズ
・『うたわれるもの 偽りの仮面』： ウォシス")</f>
        <v>・『VAZZROCK THE ANIMATION』： 小野田翔
・『ハイキュー!!』： 小見春樹
・『弱虫ペダル』： 井原友矢
・『僕だけがいない街』： カズ
・『うたわれるもの 偽りの仮面』： ウォシス</v>
      </c>
    </row>
    <row r="147" spans="1:6">
      <c r="A147" s="1" t="str">
        <f ca="1">IFERROR(__xludf.DUMMYFUNCTION("""COMPUTED_VALUE"""),"va_241")</f>
        <v>va_241</v>
      </c>
      <c r="B147" s="1" t="str">
        <f ca="1">IFERROR(__xludf.DUMMYFUNCTION("""COMPUTED_VALUE"""),"花倉桔道")</f>
        <v>花倉桔道</v>
      </c>
      <c r="C147" s="1" t="str">
        <f ca="1">IFERROR(__xludf.DUMMYFUNCTION("""COMPUTED_VALUE"""),"T")</f>
        <v>T</v>
      </c>
      <c r="D147" s="1" t="str">
        <f ca="1">IFERROR(__xludf.DUMMYFUNCTION("""COMPUTED_VALUE"""),"表示")</f>
        <v>表示</v>
      </c>
      <c r="E147" s="1">
        <f ca="1">IFERROR(__xludf.DUMMYFUNCTION("""COMPUTED_VALUE"""),4)</f>
        <v>4</v>
      </c>
      <c r="F147" s="1" t="str">
        <f ca="1">IFERROR(__xludf.DUMMYFUNCTION("""COMPUTED_VALUE"""),"・『文豪ストレイドッグス』： 宮沢賢治
・『アイ★チュウ』： 桃井恭介
・『サンリオ男子』： 西宮諒")</f>
        <v>・『文豪ストレイドッグス』： 宮沢賢治
・『アイ★チュウ』： 桃井恭介
・『サンリオ男子』： 西宮諒</v>
      </c>
    </row>
    <row r="148" spans="1:6">
      <c r="A148" s="1" t="str">
        <f ca="1">IFERROR(__xludf.DUMMYFUNCTION("""COMPUTED_VALUE"""),"va_310")</f>
        <v>va_310</v>
      </c>
      <c r="B148" s="1" t="str">
        <f ca="1">IFERROR(__xludf.DUMMYFUNCTION("""COMPUTED_VALUE"""),"佐藤元")</f>
        <v>佐藤元</v>
      </c>
      <c r="C148" s="1" t="str">
        <f ca="1">IFERROR(__xludf.DUMMYFUNCTION("""COMPUTED_VALUE"""),"T")</f>
        <v>T</v>
      </c>
      <c r="D148" s="1" t="str">
        <f ca="1">IFERROR(__xludf.DUMMYFUNCTION("""COMPUTED_VALUE"""),"表示")</f>
        <v>表示</v>
      </c>
      <c r="E148" s="1">
        <f ca="1">IFERROR(__xludf.DUMMYFUNCTION("""COMPUTED_VALUE"""),4)</f>
        <v>4</v>
      </c>
      <c r="F148" s="1" t="str">
        <f ca="1">IFERROR(__xludf.DUMMYFUNCTION("""COMPUTED_VALUE"""),"・『Dr.STONE』： クロム
・『よふかしのうた』： 夜守コウ
・『弱キャラ友崎くん』： 友崎文也
・『HIGH CARD』： フィン・オールドマン
・『君は放課後インソムニア』： 中見丸太
・『天国大魔境』： マル
・『結婚指輪物語』： サトウ")</f>
        <v>・『Dr.STONE』： クロム
・『よふかしのうた』： 夜守コウ
・『弱キャラ友崎くん』： 友崎文也
・『HIGH CARD』： フィン・オールドマン
・『君は放課後インソムニア』： 中見丸太
・『天国大魔境』： マル
・『結婚指輪物語』： サトウ</v>
      </c>
    </row>
    <row r="149" spans="1:6">
      <c r="A149" s="1" t="str">
        <f ca="1">IFERROR(__xludf.DUMMYFUNCTION("""COMPUTED_VALUE"""),"va_344")</f>
        <v>va_344</v>
      </c>
      <c r="B149" s="1" t="str">
        <f ca="1">IFERROR(__xludf.DUMMYFUNCTION("""COMPUTED_VALUE"""),"遊佐浩二")</f>
        <v>遊佐浩二</v>
      </c>
      <c r="C149" s="1" t="str">
        <f ca="1">IFERROR(__xludf.DUMMYFUNCTION("""COMPUTED_VALUE"""),"T")</f>
        <v>T</v>
      </c>
      <c r="D149" s="1" t="str">
        <f ca="1">IFERROR(__xludf.DUMMYFUNCTION("""COMPUTED_VALUE"""),"表示")</f>
        <v>表示</v>
      </c>
      <c r="E149" s="1">
        <f ca="1">IFERROR(__xludf.DUMMYFUNCTION("""COMPUTED_VALUE"""),4)</f>
        <v>4</v>
      </c>
      <c r="F149" s="1" t="str">
        <f ca="1">IFERROR(__xludf.DUMMYFUNCTION("""COMPUTED_VALUE"""),"•  『BLEACH』：市丸ギン
•  『銀魂』：東城歩
•  『弱虫ペダル』：御堂筋翔
•  『鬼灯の冷徹』：白澤
•  『薄桜鬼』：原田左之助
•  『絶対可憐チルドレン』：兵部京介
•  『仮面ライダー電王』：ウラタロス
•  『ソニックシリーズ』：シャドウ・ザ・ヘッジホッグ
•  『Fate』シリーズ： カルナ
•  『呪術廻戦』：禪院直哉")</f>
        <v>•  『BLEACH』：市丸ギン
•  『銀魂』：東城歩
•  『弱虫ペダル』：御堂筋翔
•  『鬼灯の冷徹』：白澤
•  『薄桜鬼』：原田左之助
•  『絶対可憐チルドレン』：兵部京介
•  『仮面ライダー電王』：ウラタロス
•  『ソニックシリーズ』：シャドウ・ザ・ヘッジホッグ
•  『Fate』シリーズ： カルナ
•  『呪術廻戦』：禪院直哉</v>
      </c>
    </row>
    <row r="150" spans="1:6">
      <c r="A150" s="1" t="str">
        <f ca="1">IFERROR(__xludf.DUMMYFUNCTION("""COMPUTED_VALUE"""),"va_022")</f>
        <v>va_022</v>
      </c>
      <c r="B150" s="1" t="str">
        <f ca="1">IFERROR(__xludf.DUMMYFUNCTION("""COMPUTED_VALUE"""),"井上雄貴")</f>
        <v>井上雄貴</v>
      </c>
      <c r="C150" s="1" t="str">
        <f ca="1">IFERROR(__xludf.DUMMYFUNCTION("""COMPUTED_VALUE"""),"T")</f>
        <v>T</v>
      </c>
      <c r="D150" s="1" t="str">
        <f ca="1">IFERROR(__xludf.DUMMYFUNCTION("""COMPUTED_VALUE"""),"表示")</f>
        <v>表示</v>
      </c>
      <c r="E150" s="1">
        <f ca="1">IFERROR(__xludf.DUMMYFUNCTION("""COMPUTED_VALUE"""),3)</f>
        <v>3</v>
      </c>
      <c r="F150" s="1" t="str">
        <f ca="1">IFERROR(__xludf.DUMMYFUNCTION("""COMPUTED_VALUE"""),"•  『天使の3P!』：貫井響
•  『かくりよの宿飯』：サスケ
•  『アトム ザ・ビギニング』：A106
•  『月刊モー想科学』：ノイン
•  『ハイキュー!!』：姫川葵")</f>
        <v>•  『天使の3P!』：貫井響
•  『かくりよの宿飯』：サスケ
•  『アトム ザ・ビギニング』：A106
•  『月刊モー想科学』：ノイン
•  『ハイキュー!!』：姫川葵</v>
      </c>
    </row>
    <row r="151" spans="1:6">
      <c r="A151" s="1" t="str">
        <f ca="1">IFERROR(__xludf.DUMMYFUNCTION("""COMPUTED_VALUE"""),"va_025")</f>
        <v>va_025</v>
      </c>
      <c r="B151" s="1" t="str">
        <f ca="1">IFERROR(__xludf.DUMMYFUNCTION("""COMPUTED_VALUE"""),"入野自由")</f>
        <v>入野自由</v>
      </c>
      <c r="C151" s="1" t="str">
        <f ca="1">IFERROR(__xludf.DUMMYFUNCTION("""COMPUTED_VALUE"""),"T")</f>
        <v>T</v>
      </c>
      <c r="D151" s="1" t="str">
        <f ca="1">IFERROR(__xludf.DUMMYFUNCTION("""COMPUTED_VALUE"""),"表示")</f>
        <v>表示</v>
      </c>
      <c r="E151" s="1">
        <f ca="1">IFERROR(__xludf.DUMMYFUNCTION("""COMPUTED_VALUE"""),3)</f>
        <v>3</v>
      </c>
      <c r="F151" s="1" t="str">
        <f ca="1">IFERROR(__xludf.DUMMYFUNCTION("""COMPUTED_VALUE"""),"•  『おそ松さん』：松野トド松
•  『ハイキュー!!』：菅原孝支
•  『千と千尋の神隠し』：ハク
•  『キングダム ハーツ』：ソラ
•  『アイシールド21』：小早川瀬那
•  『あの日見た花の名前を僕達はまだ知らない。』：宿海仁太")</f>
        <v>•  『おそ松さん』：松野トド松
•  『ハイキュー!!』：菅原孝支
•  『千と千尋の神隠し』：ハク
•  『キングダム ハーツ』：ソラ
•  『アイシールド21』：小早川瀬那
•  『あの日見た花の名前を僕達はまだ知らない。』：宿海仁太</v>
      </c>
    </row>
    <row r="152" spans="1:6">
      <c r="A152" s="1" t="str">
        <f ca="1">IFERROR(__xludf.DUMMYFUNCTION("""COMPUTED_VALUE"""),"va_026")</f>
        <v>va_026</v>
      </c>
      <c r="B152" s="1" t="str">
        <f ca="1">IFERROR(__xludf.DUMMYFUNCTION("""COMPUTED_VALUE"""),"岩崎諒太")</f>
        <v>岩崎諒太</v>
      </c>
      <c r="C152" s="1" t="str">
        <f ca="1">IFERROR(__xludf.DUMMYFUNCTION("""COMPUTED_VALUE"""),"T")</f>
        <v>T</v>
      </c>
      <c r="D152" s="1" t="str">
        <f ca="1">IFERROR(__xludf.DUMMYFUNCTION("""COMPUTED_VALUE"""),"表示")</f>
        <v>表示</v>
      </c>
      <c r="E152" s="1">
        <f ca="1">IFERROR(__xludf.DUMMYFUNCTION("""COMPUTED_VALUE"""),3)</f>
        <v>3</v>
      </c>
      <c r="F152" s="1" t="str">
        <f ca="1">IFERROR(__xludf.DUMMYFUNCTION("""COMPUTED_VALUE"""),"•  『ヒプノシスマイク』：白膠木簓
•  『僕のヒーローアカデミア』：夜嵐イナサ
•  『ザ・ファブル』：黒塩遼
•  『柚木さんちの四兄弟。』：柚木隼
•  『からくりサーカス』：仲町紀之")</f>
        <v>•  『ヒプノシスマイク』：白膠木簓
•  『僕のヒーローアカデミア』：夜嵐イナサ
•  『ザ・ファブル』：黒塩遼
•  『柚木さんちの四兄弟。』：柚木隼
•  『からくりサーカス』：仲町紀之</v>
      </c>
    </row>
    <row r="153" spans="1:6">
      <c r="A153" s="1" t="str">
        <f ca="1">IFERROR(__xludf.DUMMYFUNCTION("""COMPUTED_VALUE"""),"va_031")</f>
        <v>va_031</v>
      </c>
      <c r="B153" s="1" t="str">
        <f ca="1">IFERROR(__xludf.DUMMYFUNCTION("""COMPUTED_VALUE"""),"内山昂輝")</f>
        <v>内山昂輝</v>
      </c>
      <c r="C153" s="1" t="str">
        <f ca="1">IFERROR(__xludf.DUMMYFUNCTION("""COMPUTED_VALUE"""),"T")</f>
        <v>T</v>
      </c>
      <c r="D153" s="1" t="str">
        <f ca="1">IFERROR(__xludf.DUMMYFUNCTION("""COMPUTED_VALUE"""),"表示")</f>
        <v>表示</v>
      </c>
      <c r="E153" s="1">
        <f ca="1">IFERROR(__xludf.DUMMYFUNCTION("""COMPUTED_VALUE"""),3)</f>
        <v>3</v>
      </c>
      <c r="F153" s="1" t="str">
        <f ca="1">IFERROR(__xludf.DUMMYFUNCTION("""COMPUTED_VALUE"""),"•  『ハイキュー!!』：月島蛍
•  『僕のヒーローアカデミア』：死柄木弔
•  『呪術廻戦』：狗巻棘
•  『機動戦士ガンダムUC』：バナージ・リンクス
•  『Free!』：桐嶋郁弥
•  『キングダム ハーツ』：ロクサス／ヴェントゥス
•  『ホリミヤ』：宮村伊澄")</f>
        <v>•  『ハイキュー!!』：月島蛍
•  『僕のヒーローアカデミア』：死柄木弔
•  『呪術廻戦』：狗巻棘
•  『機動戦士ガンダムUC』：バナージ・リンクス
•  『Free!』：桐嶋郁弥
•  『キングダム ハーツ』：ロクサス／ヴェントゥス
•  『ホリミヤ』：宮村伊澄</v>
      </c>
    </row>
    <row r="154" spans="1:6">
      <c r="A154" s="1" t="str">
        <f ca="1">IFERROR(__xludf.DUMMYFUNCTION("""COMPUTED_VALUE"""),"va_032")</f>
        <v>va_032</v>
      </c>
      <c r="B154" s="1" t="str">
        <f ca="1">IFERROR(__xludf.DUMMYFUNCTION("""COMPUTED_VALUE"""),"梅田修一朗")</f>
        <v>梅田修一朗</v>
      </c>
      <c r="C154" s="1" t="str">
        <f ca="1">IFERROR(__xludf.DUMMYFUNCTION("""COMPUTED_VALUE"""),"T")</f>
        <v>T</v>
      </c>
      <c r="D154" s="1" t="str">
        <f ca="1">IFERROR(__xludf.DUMMYFUNCTION("""COMPUTED_VALUE"""),"表示")</f>
        <v>表示</v>
      </c>
      <c r="E154" s="1">
        <f ca="1">IFERROR(__xludf.DUMMYFUNCTION("""COMPUTED_VALUE"""),3)</f>
        <v>3</v>
      </c>
      <c r="F154" s="1" t="str">
        <f ca="1">IFERROR(__xludf.DUMMYFUNCTION("""COMPUTED_VALUE"""),"•  『可愛いだけじゃない式守さん』：和泉くん
•  『魔法使い黎明期』：セービル
•  『ゾンビ100～ゾンビになるまでにしたい100のこと～』：天道輝
•  『負けヒロインが多すぎる！』：温水和彦
•  『光が死んだ夏』：ヒカル
•  『ヴィジランテ -僕のヒーローアカデミア ILLEGALS-』：灰廻航一")</f>
        <v>•  『可愛いだけじゃない式守さん』：和泉くん
•  『魔法使い黎明期』：セービル
•  『ゾンビ100～ゾンビになるまでにしたい100のこと～』：天道輝
•  『負けヒロインが多すぎる！』：温水和彦
•  『光が死んだ夏』：ヒカル
•  『ヴィジランテ -僕のヒーローアカデミア ILLEGALS-』：灰廻航一</v>
      </c>
    </row>
    <row r="155" spans="1:6">
      <c r="A155" s="1" t="str">
        <f ca="1">IFERROR(__xludf.DUMMYFUNCTION("""COMPUTED_VALUE"""),"va_055")</f>
        <v>va_055</v>
      </c>
      <c r="B155" s="1" t="str">
        <f ca="1">IFERROR(__xludf.DUMMYFUNCTION("""COMPUTED_VALUE"""),"神原大地")</f>
        <v>神原大地</v>
      </c>
      <c r="C155" s="1" t="str">
        <f ca="1">IFERROR(__xludf.DUMMYFUNCTION("""COMPUTED_VALUE"""),"T")</f>
        <v>T</v>
      </c>
      <c r="D155" s="1" t="str">
        <f ca="1">IFERROR(__xludf.DUMMYFUNCTION("""COMPUTED_VALUE"""),"表示")</f>
        <v>表示</v>
      </c>
      <c r="E155" s="1">
        <f ca="1">IFERROR(__xludf.DUMMYFUNCTION("""COMPUTED_VALUE"""),3)</f>
        <v>3</v>
      </c>
      <c r="F155" s="1" t="str">
        <f ca="1">IFERROR(__xludf.DUMMYFUNCTION("""COMPUTED_VALUE"""),"•  『アイドルマスター SideM』：伊集院北斗
•  『カードファイト!! ヴァンガード』：蒼龍レオン
•  『number24』：東坂虎之進
•  『佐々木と宮野』：半澤雅臣
•  『爆丸』シリーズ： ハウルカー")</f>
        <v>•  『アイドルマスター SideM』：伊集院北斗
•  『カードファイト!! ヴァンガード』：蒼龍レオン
•  『number24』：東坂虎之進
•  『佐々木と宮野』：半澤雅臣
•  『爆丸』シリーズ： ハウルカー</v>
      </c>
    </row>
    <row r="156" spans="1:6">
      <c r="A156" s="1" t="str">
        <f ca="1">IFERROR(__xludf.DUMMYFUNCTION("""COMPUTED_VALUE"""),"va_056")</f>
        <v>va_056</v>
      </c>
      <c r="B156" s="1" t="str">
        <f ca="1">IFERROR(__xludf.DUMMYFUNCTION("""COMPUTED_VALUE"""),"狩野翔")</f>
        <v>狩野翔</v>
      </c>
      <c r="C156" s="1" t="str">
        <f ca="1">IFERROR(__xludf.DUMMYFUNCTION("""COMPUTED_VALUE"""),"T")</f>
        <v>T</v>
      </c>
      <c r="D156" s="1" t="str">
        <f ca="1">IFERROR(__xludf.DUMMYFUNCTION("""COMPUTED_VALUE"""),"表示")</f>
        <v>表示</v>
      </c>
      <c r="E156" s="1">
        <f ca="1">IFERROR(__xludf.DUMMYFUNCTION("""COMPUTED_VALUE"""),3)</f>
        <v>3</v>
      </c>
      <c r="F156" s="1" t="str">
        <f ca="1">IFERROR(__xludf.DUMMYFUNCTION("""COMPUTED_VALUE"""),"•  『東京リベンジャーズ』：松野千冬
•  『アイドルマスター SideM』：神谷幸広
•  『本好きの下剋上』：フラン
•  『君は放課後インソムニア』：灰田塁
•  『刀剣乱舞』：五月雨江")</f>
        <v>•  『東京リベンジャーズ』：松野千冬
•  『アイドルマスター SideM』：神谷幸広
•  『本好きの下剋上』：フラン
•  『君は放課後インソムニア』：灰田塁
•  『刀剣乱舞』：五月雨江</v>
      </c>
    </row>
    <row r="157" spans="1:6">
      <c r="A157" s="1" t="str">
        <f ca="1">IFERROR(__xludf.DUMMYFUNCTION("""COMPUTED_VALUE"""),"va_067")</f>
        <v>va_067</v>
      </c>
      <c r="B157" s="1" t="str">
        <f ca="1">IFERROR(__xludf.DUMMYFUNCTION("""COMPUTED_VALUE"""),"楠大典")</f>
        <v>楠大典</v>
      </c>
      <c r="C157" s="1" t="str">
        <f ca="1">IFERROR(__xludf.DUMMYFUNCTION("""COMPUTED_VALUE"""),"T")</f>
        <v>T</v>
      </c>
      <c r="D157" s="1" t="str">
        <f ca="1">IFERROR(__xludf.DUMMYFUNCTION("""COMPUTED_VALUE"""),"表示")</f>
        <v>表示</v>
      </c>
      <c r="E157" s="1">
        <f ca="1">IFERROR(__xludf.DUMMYFUNCTION("""COMPUTED_VALUE"""),3)</f>
        <v>3</v>
      </c>
      <c r="F157" s="1" t="str">
        <f ca="1">IFERROR(__xludf.DUMMYFUNCTION("""COMPUTED_VALUE"""),"•  『テニスの王子様』：真田弦一郎
•  『TIGER &amp; BUNNY』：アントニオ・ロペス（ロックバイソン）
•  『ONE PIECE』：ウルージ
•  『炎炎ノ消防隊』：レオナルド・バーンズ
•  『トランスフォーマー ギャラクシーフォース』：ギャラクシーコンボイ")</f>
        <v>•  『テニスの王子様』：真田弦一郎
•  『TIGER &amp; BUNNY』：アントニオ・ロペス（ロックバイソン）
•  『ONE PIECE』：ウルージ
•  『炎炎ノ消防隊』：レオナルド・バーンズ
•  『トランスフォーマー ギャラクシーフォース』：ギャラクシーコンボイ</v>
      </c>
    </row>
    <row r="158" spans="1:6">
      <c r="A158" s="1" t="str">
        <f ca="1">IFERROR(__xludf.DUMMYFUNCTION("""COMPUTED_VALUE"""),"va_071")</f>
        <v>va_071</v>
      </c>
      <c r="B158" s="1" t="str">
        <f ca="1">IFERROR(__xludf.DUMMYFUNCTION("""COMPUTED_VALUE"""),"小林大紀")</f>
        <v>小林大紀</v>
      </c>
      <c r="C158" s="1" t="str">
        <f ca="1">IFERROR(__xludf.DUMMYFUNCTION("""COMPUTED_VALUE"""),"T")</f>
        <v>T</v>
      </c>
      <c r="D158" s="1" t="str">
        <f ca="1">IFERROR(__xludf.DUMMYFUNCTION("""COMPUTED_VALUE"""),"表示")</f>
        <v>表示</v>
      </c>
      <c r="E158" s="1">
        <f ca="1">IFERROR(__xludf.DUMMYFUNCTION("""COMPUTED_VALUE"""),3)</f>
        <v>3</v>
      </c>
      <c r="F158" s="1" t="str">
        <f ca="1">IFERROR(__xludf.DUMMYFUNCTION("""COMPUTED_VALUE"""),"•  『地縛少年花子くん』：ミツバ（三葉惣助）
•  『ナンバカ』：ニコ
•  『転生したらスライムだった件』：ヘルメス
•  『魔法使いの嫁』：ゾーイ・アイビー
•  『あんさんぶるスターズ！！』：天満光
•  『きのこいぬ』：きのこいぬ")</f>
        <v>•  『地縛少年花子くん』：ミツバ（三葉惣助）
•  『ナンバカ』：ニコ
•  『転生したらスライムだった件』：ヘルメス
•  『魔法使いの嫁』：ゾーイ・アイビー
•  『あんさんぶるスターズ！！』：天満光
•  『きのこいぬ』：きのこいぬ</v>
      </c>
    </row>
    <row r="159" spans="1:6">
      <c r="A159" s="1" t="str">
        <f ca="1">IFERROR(__xludf.DUMMYFUNCTION("""COMPUTED_VALUE"""),"va_082")</f>
        <v>va_082</v>
      </c>
      <c r="B159" s="1" t="str">
        <f ca="1">IFERROR(__xludf.DUMMYFUNCTION("""COMPUTED_VALUE"""),"河本啓佑")</f>
        <v>河本啓佑</v>
      </c>
      <c r="C159" s="1" t="str">
        <f ca="1">IFERROR(__xludf.DUMMYFUNCTION("""COMPUTED_VALUE"""),"T")</f>
        <v>T</v>
      </c>
      <c r="D159" s="1" t="str">
        <f ca="1">IFERROR(__xludf.DUMMYFUNCTION("""COMPUTED_VALUE"""),"表示")</f>
        <v>表示</v>
      </c>
      <c r="E159" s="1">
        <f ca="1">IFERROR(__xludf.DUMMYFUNCTION("""COMPUTED_VALUE"""),3)</f>
        <v>3</v>
      </c>
      <c r="F159" s="1" t="str">
        <f ca="1">IFERROR(__xludf.DUMMYFUNCTION("""COMPUTED_VALUE"""),"•  『美男高校地球防衛部LOVE! LOVE!』：別府月彦
•  『サイボーグ009 CALL OF JUSTICE』：009／島村ジョー
•  『私がモテてどうすんだ』：七島希
•  『BORUTO-ボルト-』：枸橘かぐら
•  『RobiHachi』：ハッチ・キタ
•  『怪獣8号』：出雲ハルイチ")</f>
        <v>•  『美男高校地球防衛部LOVE! LOVE!』：別府月彦
•  『サイボーグ009 CALL OF JUSTICE』：009／島村ジョー
•  『私がモテてどうすんだ』：七島希
•  『BORUTO-ボルト-』：枸橘かぐら
•  『RobiHachi』：ハッチ・キタ
•  『怪獣8号』：出雲ハルイチ</v>
      </c>
    </row>
    <row r="160" spans="1:6">
      <c r="A160" s="1" t="str">
        <f ca="1">IFERROR(__xludf.DUMMYFUNCTION("""COMPUTED_VALUE"""),"va_085")</f>
        <v>va_085</v>
      </c>
      <c r="B160" s="1" t="str">
        <f ca="1">IFERROR(__xludf.DUMMYFUNCTION("""COMPUTED_VALUE"""),"坂泰斗")</f>
        <v>坂泰斗</v>
      </c>
      <c r="C160" s="1" t="str">
        <f ca="1">IFERROR(__xludf.DUMMYFUNCTION("""COMPUTED_VALUE"""),"T")</f>
        <v>T</v>
      </c>
      <c r="D160" s="1" t="str">
        <f ca="1">IFERROR(__xludf.DUMMYFUNCTION("""COMPUTED_VALUE"""),"表示")</f>
        <v>表示</v>
      </c>
      <c r="E160" s="1">
        <f ca="1">IFERROR(__xludf.DUMMYFUNCTION("""COMPUTED_VALUE"""),3)</f>
        <v>3</v>
      </c>
      <c r="F160" s="1" t="str">
        <f ca="1">IFERROR(__xludf.DUMMYFUNCTION("""COMPUTED_VALUE"""),"•  『お隣の天使様にいつの間にか駄目人間にされていた件』：藤宮周
•  『ディズニー ツイステッドワンダーランド』：ジャック・ハウル
•  『ギヴン』：八木玄純
•  『俺だけレベルアップな件』：水篠旬
•  『転生貴族、鑑定スキルで成り上がる』：リーツ・ミューセス
•  『悪魔執事と黒い猫』：ハウレス・クリフォード")</f>
        <v>•  『お隣の天使様にいつの間にか駄目人間にされていた件』：藤宮周
•  『ディズニー ツイステッドワンダーランド』：ジャック・ハウル
•  『ギヴン』：八木玄純
•  『俺だけレベルアップな件』：水篠旬
•  『転生貴族、鑑定スキルで成り上がる』：リーツ・ミューセス
•  『悪魔執事と黒い猫』：ハウレス・クリフォード</v>
      </c>
    </row>
    <row r="161" spans="1:6">
      <c r="A161" s="1" t="str">
        <f ca="1">IFERROR(__xludf.DUMMYFUNCTION("""COMPUTED_VALUE"""),"va_099")</f>
        <v>va_099</v>
      </c>
      <c r="B161" s="1" t="str">
        <f ca="1">IFERROR(__xludf.DUMMYFUNCTION("""COMPUTED_VALUE"""),"鈴木千尋")</f>
        <v>鈴木千尋</v>
      </c>
      <c r="C161" s="1" t="str">
        <f ca="1">IFERROR(__xludf.DUMMYFUNCTION("""COMPUTED_VALUE"""),"T")</f>
        <v>T</v>
      </c>
      <c r="D161" s="1" t="str">
        <f ca="1">IFERROR(__xludf.DUMMYFUNCTION("""COMPUTED_VALUE"""),"表示")</f>
        <v>表示</v>
      </c>
      <c r="E161" s="1">
        <f ca="1">IFERROR(__xludf.DUMMYFUNCTION("""COMPUTED_VALUE"""),3)</f>
        <v>3</v>
      </c>
      <c r="F161" s="1" t="str">
        <f ca="1">IFERROR(__xludf.DUMMYFUNCTION("""COMPUTED_VALUE"""),"•  『彼氏彼女の事情』：有馬総一郎
•  『エルフェンリート』：コウタ
•  『砂ぼうず』：砂ぼうず
•  『テニスの王子様』：神尾アキラ
•  『Free!』：鴫野貴澄
•  『プリパラ』：クマ
•  『テイルズ オブ ジ アビス』：ルーク・フォン・ファブレ")</f>
        <v>•  『彼氏彼女の事情』：有馬総一郎
•  『エルフェンリート』：コウタ
•  『砂ぼうず』：砂ぼうず
•  『テニスの王子様』：神尾アキラ
•  『Free!』：鴫野貴澄
•  『プリパラ』：クマ
•  『テイルズ オブ ジ アビス』：ルーク・フォン・ファブレ</v>
      </c>
    </row>
    <row r="162" spans="1:6">
      <c r="A162" s="1" t="str">
        <f ca="1">IFERROR(__xludf.DUMMYFUNCTION("""COMPUTED_VALUE"""),"va_103")</f>
        <v>va_103</v>
      </c>
      <c r="B162" s="1" t="str">
        <f ca="1">IFERROR(__xludf.DUMMYFUNCTION("""COMPUTED_VALUE"""),"関俊彦")</f>
        <v>関俊彦</v>
      </c>
      <c r="C162" s="1" t="str">
        <f ca="1">IFERROR(__xludf.DUMMYFUNCTION("""COMPUTED_VALUE"""),"T")</f>
        <v>T</v>
      </c>
      <c r="D162" s="1" t="str">
        <f ca="1">IFERROR(__xludf.DUMMYFUNCTION("""COMPUTED_VALUE"""),"表示")</f>
        <v>表示</v>
      </c>
      <c r="E162" s="1">
        <f ca="1">IFERROR(__xludf.DUMMYFUNCTION("""COMPUTED_VALUE"""),3)</f>
        <v>3</v>
      </c>
      <c r="F162" s="1" t="str">
        <f ca="1">IFERROR(__xludf.DUMMYFUNCTION("""COMPUTED_VALUE"""),"•  『最遊記』：玄奘三蔵
•  『忍たま乱太郎』：土井半助
•  『仮面ライダー電王』：モモタロス
•  『鬼滅の刃』：鬼舞辻無惨
•  『新機動戦記ガンダムW』：デュオ・マックスウェル
•  『キルラキル』：鮮血
•  『NARUTO -ナルト-』：うみのイルカ")</f>
        <v>•  『最遊記』：玄奘三蔵
•  『忍たま乱太郎』：土井半助
•  『仮面ライダー電王』：モモタロス
•  『鬼滅の刃』：鬼舞辻無惨
•  『新機動戦記ガンダムW』：デュオ・マックスウェル
•  『キルラキル』：鮮血
•  『NARUTO -ナルト-』：うみのイルカ</v>
      </c>
    </row>
    <row r="163" spans="1:6">
      <c r="A163" s="1" t="str">
        <f ca="1">IFERROR(__xludf.DUMMYFUNCTION("""COMPUTED_VALUE"""),"va_109")</f>
        <v>va_109</v>
      </c>
      <c r="B163" s="1" t="str">
        <f ca="1">IFERROR(__xludf.DUMMYFUNCTION("""COMPUTED_VALUE"""),"髙橋孝治")</f>
        <v>髙橋孝治</v>
      </c>
      <c r="C163" s="1" t="str">
        <f ca="1">IFERROR(__xludf.DUMMYFUNCTION("""COMPUTED_VALUE"""),"T")</f>
        <v>T</v>
      </c>
      <c r="D163" s="1" t="str">
        <f ca="1">IFERROR(__xludf.DUMMYFUNCTION("""COMPUTED_VALUE"""),"表示")</f>
        <v>表示</v>
      </c>
      <c r="E163" s="1">
        <f ca="1">IFERROR(__xludf.DUMMYFUNCTION("""COMPUTED_VALUE"""),3)</f>
        <v>3</v>
      </c>
      <c r="F163" s="1" t="str">
        <f ca="1">IFERROR(__xludf.DUMMYFUNCTION("""COMPUTED_VALUE"""),"•  『星刻の竜騎士』：アッシュ・ブレイク
•  『刀剣乱舞』：太鼓鐘貞宗
•  『K』：秋山氷杜／エリック・スルト
•  『文豪とアルケミスト』：堀辰雄
•  『本好きの下剋上』：ヨハン")</f>
        <v>•  『星刻の竜騎士』：アッシュ・ブレイク
•  『刀剣乱舞』：太鼓鐘貞宗
•  『K』：秋山氷杜／エリック・スルト
•  『文豪とアルケミスト』：堀辰雄
•  『本好きの下剋上』：ヨハン</v>
      </c>
    </row>
    <row r="164" spans="1:6">
      <c r="A164" s="1" t="str">
        <f ca="1">IFERROR(__xludf.DUMMYFUNCTION("""COMPUTED_VALUE"""),"va_118")</f>
        <v>va_118</v>
      </c>
      <c r="B164" s="1" t="str">
        <f ca="1">IFERROR(__xludf.DUMMYFUNCTION("""COMPUTED_VALUE"""),"泰勇気")</f>
        <v>泰勇気</v>
      </c>
      <c r="C164" s="1" t="str">
        <f ca="1">IFERROR(__xludf.DUMMYFUNCTION("""COMPUTED_VALUE"""),"T")</f>
        <v>T</v>
      </c>
      <c r="D164" s="1" t="str">
        <f ca="1">IFERROR(__xludf.DUMMYFUNCTION("""COMPUTED_VALUE"""),"表示")</f>
        <v>表示</v>
      </c>
      <c r="E164" s="1">
        <f ca="1">IFERROR(__xludf.DUMMYFUNCTION("""COMPUTED_VALUE"""),3)</f>
        <v>3</v>
      </c>
      <c r="F164" s="1" t="str">
        <f ca="1">IFERROR(__xludf.DUMMYFUNCTION("""COMPUTED_VALUE"""),"•  『D.C. 〜ダ・カーポ〜』：朝倉純一
•  『ゴーストハント』：渋谷一也
•  『シュヴァリエ 〜Le Chevalier D’Eon〜』：デオン・ド・ボーモン
•  『刀剣乱舞』：宗三左文字
•  『ef - a tale of memories.』：堤京介")</f>
        <v>•  『D.C. 〜ダ・カーポ〜』：朝倉純一
•  『ゴーストハント』：渋谷一也
•  『シュヴァリエ 〜Le Chevalier D’Eon〜』：デオン・ド・ボーモン
•  『刀剣乱舞』：宗三左文字
•  『ef - a tale of memories.』：堤京介</v>
      </c>
    </row>
    <row r="165" spans="1:6">
      <c r="A165" s="1" t="str">
        <f ca="1">IFERROR(__xludf.DUMMYFUNCTION("""COMPUTED_VALUE"""),"va_152")</f>
        <v>va_152</v>
      </c>
      <c r="B165" s="1" t="str">
        <f ca="1">IFERROR(__xludf.DUMMYFUNCTION("""COMPUTED_VALUE"""),"浜田賢二")</f>
        <v>浜田賢二</v>
      </c>
      <c r="C165" s="1" t="str">
        <f ca="1">IFERROR(__xludf.DUMMYFUNCTION("""COMPUTED_VALUE"""),"T")</f>
        <v>T</v>
      </c>
      <c r="D165" s="1" t="str">
        <f ca="1">IFERROR(__xludf.DUMMYFUNCTION("""COMPUTED_VALUE"""),"表示")</f>
        <v>表示</v>
      </c>
      <c r="E165" s="1">
        <f ca="1">IFERROR(__xludf.DUMMYFUNCTION("""COMPUTED_VALUE"""),3)</f>
        <v>3</v>
      </c>
      <c r="F165" s="1" t="str">
        <f ca="1">IFERROR(__xludf.DUMMYFUNCTION("""COMPUTED_VALUE"""),"•  『デュエル・マスターズ』シリーズ： 切札勝利
•  『黒子のバスケ』： 木吉鉄平
•  『機動戦士ガンダム00』： パトリック・コーラサワー
•  『鋼の錬金術師 FULLMETAL ALCHEMIST』： ヴァトー・ファルマン
•  『ONE PIECE』： キラー／イナズマ
•  『コップクラフト』： ジャック・ロス")</f>
        <v>•  『デュエル・マスターズ』シリーズ： 切札勝利
•  『黒子のバスケ』： 木吉鉄平
•  『機動戦士ガンダム00』： パトリック・コーラサワー
•  『鋼の錬金術師 FULLMETAL ALCHEMIST』： ヴァトー・ファルマン
•  『ONE PIECE』： キラー／イナズマ
•  『コップクラフト』： ジャック・ロス</v>
      </c>
    </row>
    <row r="166" spans="1:6">
      <c r="A166" s="1" t="str">
        <f ca="1">IFERROR(__xludf.DUMMYFUNCTION("""COMPUTED_VALUE"""),"va_162")</f>
        <v>va_162</v>
      </c>
      <c r="B166" s="1" t="str">
        <f ca="1">IFERROR(__xludf.DUMMYFUNCTION("""COMPUTED_VALUE"""),"古田一紀")</f>
        <v>古田一紀</v>
      </c>
      <c r="C166" s="1" t="str">
        <f ca="1">IFERROR(__xludf.DUMMYFUNCTION("""COMPUTED_VALUE"""),"T")</f>
        <v>T</v>
      </c>
      <c r="D166" s="1" t="str">
        <f ca="1">IFERROR(__xludf.DUMMYFUNCTION("""COMPUTED_VALUE"""),"表示")</f>
        <v>表示</v>
      </c>
      <c r="E166" s="1">
        <f ca="1">IFERROR(__xludf.DUMMYFUNCTION("""COMPUTED_VALUE"""),3)</f>
        <v>3</v>
      </c>
      <c r="F166" s="1" t="str">
        <f ca="1">IFERROR(__xludf.DUMMYFUNCTION("""COMPUTED_VALUE"""),"•  『ディズニー ツイステッドワンダーランド』： カリム・アルアジーム
•  『遊☆戯☆王SEVENS』： 霧島ロア
•  『フットサルボーイズ!!!!!』： 南雲竜
•  『キャロル＆チューズデイ』： リッキー")</f>
        <v>•  『ディズニー ツイステッドワンダーランド』： カリム・アルアジーム
•  『遊☆戯☆王SEVENS』： 霧島ロア
•  『フットサルボーイズ!!!!!』： 南雲竜
•  『キャロル＆チューズデイ』： リッキー</v>
      </c>
    </row>
    <row r="167" spans="1:6">
      <c r="A167" s="1" t="str">
        <f ca="1">IFERROR(__xludf.DUMMYFUNCTION("""COMPUTED_VALUE"""),"va_167")</f>
        <v>va_167</v>
      </c>
      <c r="B167" s="1" t="str">
        <f ca="1">IFERROR(__xludf.DUMMYFUNCTION("""COMPUTED_VALUE"""),"帆世雄一")</f>
        <v>帆世雄一</v>
      </c>
      <c r="C167" s="1" t="str">
        <f ca="1">IFERROR(__xludf.DUMMYFUNCTION("""COMPUTED_VALUE"""),"T")</f>
        <v>T</v>
      </c>
      <c r="D167" s="1" t="str">
        <f ca="1">IFERROR(__xludf.DUMMYFUNCTION("""COMPUTED_VALUE"""),"表示")</f>
        <v>表示</v>
      </c>
      <c r="E167" s="1">
        <f ca="1">IFERROR(__xludf.DUMMYFUNCTION("""COMPUTED_VALUE"""),3)</f>
        <v>3</v>
      </c>
      <c r="F167" s="1" t="str">
        <f ca="1">IFERROR(__xludf.DUMMYFUNCTION("""COMPUTED_VALUE"""),"•  『あんさんぶるスターズ！』： 守沢千秋
•  『A3!』： 古市左京
•  『ようこそ実力至上主義の教室へ』： 石崎大地
•  『Fairy gone フェアリーゴーン』： クリストフ・ラーン
•  『魔法使いの約束』： レノックス
•  『ファイアーエムブレム 風花雪月』： フェリクス")</f>
        <v>•  『あんさんぶるスターズ！』： 守沢千秋
•  『A3!』： 古市左京
•  『ようこそ実力至上主義の教室へ』： 石崎大地
•  『Fairy gone フェアリーゴーン』： クリストフ・ラーン
•  『魔法使いの約束』： レノックス
•  『ファイアーエムブレム 風花雪月』： フェリクス</v>
      </c>
    </row>
    <row r="168" spans="1:6">
      <c r="A168" s="1" t="str">
        <f ca="1">IFERROR(__xludf.DUMMYFUNCTION("""COMPUTED_VALUE"""),"va_171")</f>
        <v>va_171</v>
      </c>
      <c r="B168" s="1" t="str">
        <f ca="1">IFERROR(__xludf.DUMMYFUNCTION("""COMPUTED_VALUE"""),"間島淳司")</f>
        <v>間島淳司</v>
      </c>
      <c r="C168" s="1" t="str">
        <f ca="1">IFERROR(__xludf.DUMMYFUNCTION("""COMPUTED_VALUE"""),"T")</f>
        <v>T</v>
      </c>
      <c r="D168" s="1" t="str">
        <f ca="1">IFERROR(__xludf.DUMMYFUNCTION("""COMPUTED_VALUE"""),"表示")</f>
        <v>表示</v>
      </c>
      <c r="E168" s="1">
        <f ca="1">IFERROR(__xludf.DUMMYFUNCTION("""COMPUTED_VALUE"""),3)</f>
        <v>3</v>
      </c>
      <c r="F168" s="1" t="str">
        <f ca="1">IFERROR(__xludf.DUMMYFUNCTION("""COMPUTED_VALUE"""),"•  『とらドラ！』：高須竜児
•  『これはゾンビですか？』：相川歩
•  『暗殺教室』：千葉龍之介
•  『刀剣乱舞』：にっかり青江
•  『メモリーズオフ』シリーズ： 稲穂信
•  『緋弾のアリア』：遠山金次")</f>
        <v>•  『とらドラ！』：高須竜児
•  『これはゾンビですか？』：相川歩
•  『暗殺教室』：千葉龍之介
•  『刀剣乱舞』：にっかり青江
•  『メモリーズオフ』シリーズ： 稲穂信
•  『緋弾のアリア』：遠山金次</v>
      </c>
    </row>
    <row r="169" spans="1:6">
      <c r="A169" s="1" t="str">
        <f ca="1">IFERROR(__xludf.DUMMYFUNCTION("""COMPUTED_VALUE"""),"va_175")</f>
        <v>va_175</v>
      </c>
      <c r="B169" s="1" t="str">
        <f ca="1">IFERROR(__xludf.DUMMYFUNCTION("""COMPUTED_VALUE"""),"三浦勝之")</f>
        <v>三浦勝之</v>
      </c>
      <c r="C169" s="1" t="str">
        <f ca="1">IFERROR(__xludf.DUMMYFUNCTION("""COMPUTED_VALUE"""),"T")</f>
        <v>T</v>
      </c>
      <c r="D169" s="1" t="str">
        <f ca="1">IFERROR(__xludf.DUMMYFUNCTION("""COMPUTED_VALUE"""),"表示")</f>
        <v>表示</v>
      </c>
      <c r="E169" s="1">
        <f ca="1">IFERROR(__xludf.DUMMYFUNCTION("""COMPUTED_VALUE"""),3)</f>
        <v>3</v>
      </c>
      <c r="F169" s="1" t="str">
        <f ca="1">IFERROR(__xludf.DUMMYFUNCTION("""COMPUTED_VALUE"""),"•  『魔法使いの約束』：ラスティカ
•  『白猫プロジェクト ZERO CHRONICLE』：ヴァルアス
•  『古見さんは、コミュ症です。』：成瀬詩守斗
•  『SDガンダムワールド ヒーローズ』：佐助デルタガンダム
•  『ぼっち・ざ・ろっく！』：吉田銀次郎
•  『Readyyy!』：香坂安吾")</f>
        <v>•  『魔法使いの約束』：ラスティカ
•  『白猫プロジェクト ZERO CHRONICLE』：ヴァルアス
•  『古見さんは、コミュ症です。』：成瀬詩守斗
•  『SDガンダムワールド ヒーローズ』：佐助デルタガンダム
•  『ぼっち・ざ・ろっく！』：吉田銀次郎
•  『Readyyy!』：香坂安吾</v>
      </c>
    </row>
    <row r="170" spans="1:6">
      <c r="A170" s="1" t="str">
        <f ca="1">IFERROR(__xludf.DUMMYFUNCTION("""COMPUTED_VALUE"""),"va_211")</f>
        <v>va_211</v>
      </c>
      <c r="B170" s="1" t="str">
        <f ca="1">IFERROR(__xludf.DUMMYFUNCTION("""COMPUTED_VALUE"""),"増元拓也")</f>
        <v>増元拓也</v>
      </c>
      <c r="C170" s="1" t="str">
        <f ca="1">IFERROR(__xludf.DUMMYFUNCTION("""COMPUTED_VALUE"""),"T")</f>
        <v>T</v>
      </c>
      <c r="D170" s="1" t="str">
        <f ca="1">IFERROR(__xludf.DUMMYFUNCTION("""COMPUTED_VALUE"""),"表示")</f>
        <v>表示</v>
      </c>
      <c r="E170" s="1">
        <f ca="1">IFERROR(__xludf.DUMMYFUNCTION("""COMPUTED_VALUE"""),3)</f>
        <v>3</v>
      </c>
      <c r="F170" s="1" t="str">
        <f ca="1">IFERROR(__xludf.DUMMYFUNCTION("""COMPUTED_VALUE"""),"•  『アイドルマスター SideM』： 信玄誠司
•  『アオペラ -aoppella!?-』： 雛乃秀
•  『VAZZROCK THE ANIMATION』： 大黒岳
•  『かくりよの宿飯』： 縫ノ陰
•  『聲の形』： 広瀬啓祐
•  『野原ひろし 昼メシの流儀』： 川口
•  『バトルスピリッツ 赫盟のガレット』： ルシアン・パークス")</f>
        <v>•  『アイドルマスター SideM』： 信玄誠司
•  『アオペラ -aoppella!?-』： 雛乃秀
•  『VAZZROCK THE ANIMATION』： 大黒岳
•  『かくりよの宿飯』： 縫ノ陰
•  『聲の形』： 広瀬啓祐
•  『野原ひろし 昼メシの流儀』： 川口
•  『バトルスピリッツ 赫盟のガレット』： ルシアン・パークス</v>
      </c>
    </row>
    <row r="171" spans="1:6">
      <c r="A171" s="1" t="str">
        <f ca="1">IFERROR(__xludf.DUMMYFUNCTION("""COMPUTED_VALUE"""),"va_219")</f>
        <v>va_219</v>
      </c>
      <c r="B171" s="1" t="str">
        <f ca="1">IFERROR(__xludf.DUMMYFUNCTION("""COMPUTED_VALUE"""),"近藤孝行")</f>
        <v>近藤孝行</v>
      </c>
      <c r="C171" s="1" t="str">
        <f ca="1">IFERROR(__xludf.DUMMYFUNCTION("""COMPUTED_VALUE"""),"T")</f>
        <v>T</v>
      </c>
      <c r="D171" s="1" t="str">
        <f ca="1">IFERROR(__xludf.DUMMYFUNCTION("""COMPUTED_VALUE"""),"表示")</f>
        <v>表示</v>
      </c>
      <c r="E171" s="1">
        <f ca="1">IFERROR(__xludf.DUMMYFUNCTION("""COMPUTED_VALUE"""),3)</f>
        <v>3</v>
      </c>
      <c r="F171" s="1" t="str">
        <f ca="1">IFERROR(__xludf.DUMMYFUNCTION("""COMPUTED_VALUE"""),"•  『テニスの王子様』： 大石秀一郎
•  『あの日見た花の名前を僕達はまだ知らない。』： 久川鉄道（ぽっぽ）
•  『東京喰種トーキョーグール』： 平子丈
•  『逆転裁判』シリーズ： 成歩堂龍一
•  『ジャックジャンヌ』： 高科更文
•  『灼眼のシャナ』： 田中栄太
•  『Paradox Live』： 翠石依織
•  『おとめ妖怪 ざくろ』： 沢鷹／花楯鷹敏")</f>
        <v>•  『テニスの王子様』： 大石秀一郎
•  『あの日見た花の名前を僕達はまだ知らない。』： 久川鉄道（ぽっぽ）
•  『東京喰種トーキョーグール』： 平子丈
•  『逆転裁判』シリーズ： 成歩堂龍一
•  『ジャックジャンヌ』： 高科更文
•  『灼眼のシャナ』： 田中栄太
•  『Paradox Live』： 翠石依織
•  『おとめ妖怪 ざくろ』： 沢鷹／花楯鷹敏</v>
      </c>
    </row>
    <row r="172" spans="1:6">
      <c r="A172" s="1" t="str">
        <f ca="1">IFERROR(__xludf.DUMMYFUNCTION("""COMPUTED_VALUE"""),"va_264")</f>
        <v>va_264</v>
      </c>
      <c r="B172" s="1" t="str">
        <f ca="1">IFERROR(__xludf.DUMMYFUNCTION("""COMPUTED_VALUE"""),"橘龍丸")</f>
        <v>橘龍丸</v>
      </c>
      <c r="C172" s="1" t="str">
        <f ca="1">IFERROR(__xludf.DUMMYFUNCTION("""COMPUTED_VALUE"""),"T")</f>
        <v>T</v>
      </c>
      <c r="D172" s="1" t="str">
        <f ca="1">IFERROR(__xludf.DUMMYFUNCTION("""COMPUTED_VALUE"""),"表示")</f>
        <v>表示</v>
      </c>
      <c r="E172" s="1">
        <f ca="1">IFERROR(__xludf.DUMMYFUNCTION("""COMPUTED_VALUE"""),3)</f>
        <v>3</v>
      </c>
      <c r="F172" s="1" t="str">
        <f ca="1">IFERROR(__xludf.DUMMYFUNCTION("""COMPUTED_VALUE"""),"・『アオアシ』： 大友栄作
・『薬屋のひとりごと』： 馬閃
・『黒執事 -寄宿学校編-』： グレゴリー・バイオレット
・『Fate/strange Fake』： ジェスター・カルトゥーレ
・『群青のファンファーレ』： 桜庭惣司朗
・『アイドルランドプリパラ』： マリオ")</f>
        <v>・『アオアシ』： 大友栄作
・『薬屋のひとりごと』： 馬閃
・『黒執事 -寄宿学校編-』： グレゴリー・バイオレット
・『Fate/strange Fake』： ジェスター・カルトゥーレ
・『群青のファンファーレ』： 桜庭惣司朗
・『アイドルランドプリパラ』： マリオ</v>
      </c>
    </row>
    <row r="173" spans="1:6">
      <c r="A173" s="1" t="str">
        <f ca="1">IFERROR(__xludf.DUMMYFUNCTION("""COMPUTED_VALUE"""),"va_270")</f>
        <v>va_270</v>
      </c>
      <c r="B173" s="1" t="str">
        <f ca="1">IFERROR(__xludf.DUMMYFUNCTION("""COMPUTED_VALUE"""),"中井和哉")</f>
        <v>中井和哉</v>
      </c>
      <c r="C173" s="1" t="str">
        <f ca="1">IFERROR(__xludf.DUMMYFUNCTION("""COMPUTED_VALUE"""),"T")</f>
        <v>T</v>
      </c>
      <c r="D173" s="1" t="str">
        <f ca="1">IFERROR(__xludf.DUMMYFUNCTION("""COMPUTED_VALUE"""),"表示")</f>
        <v>表示</v>
      </c>
      <c r="E173" s="1">
        <f ca="1">IFERROR(__xludf.DUMMYFUNCTION("""COMPUTED_VALUE"""),3)</f>
        <v>3</v>
      </c>
      <c r="F173" s="1" t="str">
        <f ca="1">IFERROR(__xludf.DUMMYFUNCTION("""COMPUTED_VALUE"""),"・『ONE PIECE』： ロロノア・ゾロ
・『銀魂』： 土方十四郎
・『戦国BASARA』： 伊達政宗
・『サムライチャンプルー』： ムゲン
・『血界戦線』： ザップ・レンフロ
・『xxxHOLiC』： 百目鬼静")</f>
        <v>・『ONE PIECE』： ロロノア・ゾロ
・『銀魂』： 土方十四郎
・『戦国BASARA』： 伊達政宗
・『サムライチャンプルー』： ムゲン
・『血界戦線』： ザップ・レンフロ
・『xxxHOLiC』： 百目鬼静</v>
      </c>
    </row>
    <row r="174" spans="1:6">
      <c r="A174" s="1" t="str">
        <f ca="1">IFERROR(__xludf.DUMMYFUNCTION("""COMPUTED_VALUE"""),"va_275")</f>
        <v>va_275</v>
      </c>
      <c r="B174" s="1" t="str">
        <f ca="1">IFERROR(__xludf.DUMMYFUNCTION("""COMPUTED_VALUE"""),"菅沼久義")</f>
        <v>菅沼久義</v>
      </c>
      <c r="C174" s="1" t="str">
        <f ca="1">IFERROR(__xludf.DUMMYFUNCTION("""COMPUTED_VALUE"""),"T")</f>
        <v>T</v>
      </c>
      <c r="D174" s="1" t="str">
        <f ca="1">IFERROR(__xludf.DUMMYFUNCTION("""COMPUTED_VALUE"""),"表示")</f>
        <v>表示</v>
      </c>
      <c r="E174" s="1">
        <f ca="1">IFERROR(__xludf.DUMMYFUNCTION("""COMPUTED_VALUE"""),3)</f>
        <v>3</v>
      </c>
      <c r="F174" s="1" t="str">
        <f ca="1">IFERROR(__xludf.DUMMYFUNCTION("""COMPUTED_VALUE"""),"・『夏目友人帳』： 北本篤史
・『黒執事』： フレッド・アバーライン
・『真・三國無双』シリーズ： 孫権／姜維
・『ワールドトリガー』： 菊地原士郎
・『天使のしっぽ』： 睦悟郎")</f>
        <v>・『夏目友人帳』： 北本篤史
・『黒執事』： フレッド・アバーライン
・『真・三國無双』シリーズ： 孫権／姜維
・『ワールドトリガー』： 菊地原士郎
・『天使のしっぽ』： 睦悟郎</v>
      </c>
    </row>
    <row r="175" spans="1:6">
      <c r="A175" s="1" t="str">
        <f ca="1">IFERROR(__xludf.DUMMYFUNCTION("""COMPUTED_VALUE"""),"va_276")</f>
        <v>va_276</v>
      </c>
      <c r="B175" s="1" t="str">
        <f ca="1">IFERROR(__xludf.DUMMYFUNCTION("""COMPUTED_VALUE"""),"田邊幸輔")</f>
        <v>田邊幸輔</v>
      </c>
      <c r="C175" s="1" t="str">
        <f ca="1">IFERROR(__xludf.DUMMYFUNCTION("""COMPUTED_VALUE"""),"T")</f>
        <v>T</v>
      </c>
      <c r="D175" s="1" t="str">
        <f ca="1">IFERROR(__xludf.DUMMYFUNCTION("""COMPUTED_VALUE"""),"表示")</f>
        <v>表示</v>
      </c>
      <c r="E175" s="1">
        <f ca="1">IFERROR(__xludf.DUMMYFUNCTION("""COMPUTED_VALUE"""),3)</f>
        <v>3</v>
      </c>
      <c r="F175" s="1" t="str">
        <f ca="1">IFERROR(__xludf.DUMMYFUNCTION("""COMPUTED_VALUE"""),"・『MFゴースト』： 八潮翔
・『Fairy蘭丸～あなたの心お助けします～』： 歩照瀬焔
・『遊☆戯☆王ゴーラッシュ!!』： 竜宮フェイザー
・『ゼノブレイド3』： ランツ")</f>
        <v>・『MFゴースト』： 八潮翔
・『Fairy蘭丸～あなたの心お助けします～』： 歩照瀬焔
・『遊☆戯☆王ゴーラッシュ!!』： 竜宮フェイザー
・『ゼノブレイド3』： ランツ</v>
      </c>
    </row>
    <row r="176" spans="1:6">
      <c r="A176" s="1" t="str">
        <f ca="1">IFERROR(__xludf.DUMMYFUNCTION("""COMPUTED_VALUE"""),"va_295")</f>
        <v>va_295</v>
      </c>
      <c r="B176" s="1" t="str">
        <f ca="1">IFERROR(__xludf.DUMMYFUNCTION("""COMPUTED_VALUE"""),"戸谷菊之介")</f>
        <v>戸谷菊之介</v>
      </c>
      <c r="C176" s="1" t="str">
        <f ca="1">IFERROR(__xludf.DUMMYFUNCTION("""COMPUTED_VALUE"""),"T")</f>
        <v>T</v>
      </c>
      <c r="D176" s="1" t="str">
        <f ca="1">IFERROR(__xludf.DUMMYFUNCTION("""COMPUTED_VALUE"""),"表示")</f>
        <v>表示</v>
      </c>
      <c r="E176" s="1">
        <f ca="1">IFERROR(__xludf.DUMMYFUNCTION("""COMPUTED_VALUE"""),3)</f>
        <v>3</v>
      </c>
      <c r="F176" s="1" t="str">
        <f ca="1">IFERROR(__xludf.DUMMYFUNCTION("""COMPUTED_VALUE"""),"・『チェンソーマン』： デンジ
・『UniteUp!』： 清瀬明良
・『WIND BREAKER』： 兎耳山丁子
・『七つの大罪 黙示録の四騎士』： ドニー
・『逃げ上手の若君』： 吹雪")</f>
        <v>・『チェンソーマン』： デンジ
・『UniteUp!』： 清瀬明良
・『WIND BREAKER』： 兎耳山丁子
・『七つの大罪 黙示録の四騎士』： ドニー
・『逃げ上手の若君』： 吹雪</v>
      </c>
    </row>
    <row r="177" spans="1:6">
      <c r="A177" s="1" t="str">
        <f ca="1">IFERROR(__xludf.DUMMYFUNCTION("""COMPUTED_VALUE"""),"va_305")</f>
        <v>va_305</v>
      </c>
      <c r="B177" s="1" t="str">
        <f ca="1">IFERROR(__xludf.DUMMYFUNCTION("""COMPUTED_VALUE"""),"伊藤健太郎")</f>
        <v>伊藤健太郎</v>
      </c>
      <c r="C177" s="1" t="str">
        <f ca="1">IFERROR(__xludf.DUMMYFUNCTION("""COMPUTED_VALUE"""),"T")</f>
        <v>T</v>
      </c>
      <c r="D177" s="1" t="str">
        <f ca="1">IFERROR(__xludf.DUMMYFUNCTION("""COMPUTED_VALUE"""),"表示")</f>
        <v>表示</v>
      </c>
      <c r="E177" s="1">
        <f ca="1">IFERROR(__xludf.DUMMYFUNCTION("""COMPUTED_VALUE"""),3)</f>
        <v>3</v>
      </c>
      <c r="F177" s="1" t="str">
        <f ca="1">IFERROR(__xludf.DUMMYFUNCTION("""COMPUTED_VALUE"""),"・『BLEACH』： 阿散井恋次
・『ゴールデンカムイ』： 白石由竹
・『NARUTO -ナルト-』： 秋道チョウジ
・『弱虫ペダル』： 田所迅
・『キングダム』： 桓騎
・『とっとこハム太郎』： タイショーくん")</f>
        <v>・『BLEACH』： 阿散井恋次
・『ゴールデンカムイ』： 白石由竹
・『NARUTO -ナルト-』： 秋道チョウジ
・『弱虫ペダル』： 田所迅
・『キングダム』： 桓騎
・『とっとこハム太郎』： タイショーくん</v>
      </c>
    </row>
    <row r="178" spans="1:6">
      <c r="A178" s="1" t="str">
        <f ca="1">IFERROR(__xludf.DUMMYFUNCTION("""COMPUTED_VALUE"""),"va_312")</f>
        <v>va_312</v>
      </c>
      <c r="B178" s="1" t="str">
        <f ca="1">IFERROR(__xludf.DUMMYFUNCTION("""COMPUTED_VALUE"""),"峯田大夢")</f>
        <v>峯田大夢</v>
      </c>
      <c r="C178" s="1" t="str">
        <f ca="1">IFERROR(__xludf.DUMMYFUNCTION("""COMPUTED_VALUE"""),"T")</f>
        <v>T</v>
      </c>
      <c r="D178" s="1" t="str">
        <f ca="1">IFERROR(__xludf.DUMMYFUNCTION("""COMPUTED_VALUE"""),"表示")</f>
        <v>表示</v>
      </c>
      <c r="E178" s="1">
        <f ca="1">IFERROR(__xludf.DUMMYFUNCTION("""COMPUTED_VALUE"""),3)</f>
        <v>3</v>
      </c>
      <c r="F178" s="1" t="str">
        <f ca="1">IFERROR(__xludf.DUMMYFUNCTION("""COMPUTED_VALUE"""),"・『ブルーピリオド』： 矢口八虎
・『セスタス -The Roman Fighter-』： セスタス
・『シャングリラ・フロンティア』： アラミース
・『WIND BREAKER』： 鹿沼稔
・『フットサルボーイズ!!!!!』： 樫良木ルイ
・『テクノロイド オーバーマインド』： ケイ")</f>
        <v>・『ブルーピリオド』： 矢口八虎
・『セスタス -The Roman Fighter-』： セスタス
・『シャングリラ・フロンティア』： アラミース
・『WIND BREAKER』： 鹿沼稔
・『フットサルボーイズ!!!!!』： 樫良木ルイ
・『テクノロイド オーバーマインド』： ケイ</v>
      </c>
    </row>
    <row r="179" spans="1:6">
      <c r="A179" s="1" t="str">
        <f ca="1">IFERROR(__xludf.DUMMYFUNCTION("""COMPUTED_VALUE"""),"va_319")</f>
        <v>va_319</v>
      </c>
      <c r="B179" s="1" t="str">
        <f ca="1">IFERROR(__xludf.DUMMYFUNCTION("""COMPUTED_VALUE"""),"森嶋秀太")</f>
        <v>森嶋秀太</v>
      </c>
      <c r="C179" s="1" t="str">
        <f ca="1">IFERROR(__xludf.DUMMYFUNCTION("""COMPUTED_VALUE"""),"T")</f>
        <v>T</v>
      </c>
      <c r="D179" s="1" t="str">
        <f ca="1">IFERROR(__xludf.DUMMYFUNCTION("""COMPUTED_VALUE"""),"表示")</f>
        <v>表示</v>
      </c>
      <c r="E179" s="1">
        <f ca="1">IFERROR(__xludf.DUMMYFUNCTION("""COMPUTED_VALUE"""),3)</f>
        <v>3</v>
      </c>
      <c r="F179" s="1" t="str">
        <f ca="1">IFERROR(__xludf.DUMMYFUNCTION("""COMPUTED_VALUE"""),"•  『カードファイト!! ヴァンガード』シリーズ： 新田シン
•  『アルゴナビス from BanG Dream!』：桔梗凛生
•  『トライナイツ』：翔谷・ピアーズ・ヴァレンタイン
•  『Helck』：ゼルジオン
•  『ビックリメン』：牛若
•  『DD北斗の拳』：バット")</f>
        <v>•  『カードファイト!! ヴァンガード』シリーズ： 新田シン
•  『アルゴナビス from BanG Dream!』：桔梗凛生
•  『トライナイツ』：翔谷・ピアーズ・ヴァレンタイン
•  『Helck』：ゼルジオン
•  『ビックリメン』：牛若
•  『DD北斗の拳』：バット</v>
      </c>
    </row>
  </sheetData>
  <phoneticPr fontId="19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360"/>
  <sheetViews>
    <sheetView topLeftCell="A70" workbookViewId="0">
      <selection activeCell="B91" sqref="B91"/>
    </sheetView>
  </sheetViews>
  <sheetFormatPr defaultColWidth="12.6640625" defaultRowHeight="15.75" customHeight="1"/>
  <sheetData>
    <row r="1" spans="1:2">
      <c r="A1" s="2" t="s">
        <v>2</v>
      </c>
      <c r="B1" s="2" t="s">
        <v>7</v>
      </c>
    </row>
    <row r="2" spans="1:2">
      <c r="A2" s="1" t="str">
        <f ca="1">IFERROR(__xludf.DUMMYFUNCTION("FILTER({'声優一覧'!B2:B1000, '声優一覧'!F2:F1000}, '声優一覧'!C2:C1000=""T"")"),"赤羽根健治")</f>
        <v>赤羽根健治</v>
      </c>
      <c r="B2" s="1" t="str">
        <f ca="1">IFERROR(__xludf.DUMMYFUNCTION("""COMPUTED_VALUE"""),"•  『真マジンガー 衝撃! Z編』：兜甲児
•  『THE IDOLM@STER』：プロデューサー
•  『ジュエルペット てぃんくる☆』：レオン
•  『宇崎ちゃんは遊びたい！』：桜井真一
•  『世界最高の暗殺者、異世界貴族に転生する』：ルーグ")</f>
        <v>•  『真マジンガー 衝撃! Z編』：兜甲児
•  『THE IDOLM@STER』：プロデューサー
•  『ジュエルペット てぃんくる☆』：レオン
•  『宇崎ちゃんは遊びたい！』：桜井真一
•  『世界最高の暗殺者、異世界貴族に転生する』：ルーグ</v>
      </c>
    </row>
    <row r="3" spans="1:2">
      <c r="A3" s="1" t="str">
        <f ca="1">IFERROR(__xludf.DUMMYFUNCTION("""COMPUTED_VALUE"""),"阿座上洋平")</f>
        <v>阿座上洋平</v>
      </c>
      <c r="B3" s="1" t="str">
        <f ca="1">IFERROR(__xludf.DUMMYFUNCTION("""COMPUTED_VALUE"""),"•  『機動戦士ガンダム 水星の魔女』：グエル・ジェターク
•  『あんさんぶるスターズ！！』：天城燐音
•  『クロムクロ』：青馬剣之介時貞
•  『鴨乃橋ロンの禁断推理』：鴨乃橋ロン")</f>
        <v>•  『機動戦士ガンダム 水星の魔女』：グエル・ジェターク
•  『あんさんぶるスターズ！！』：天城燐音
•  『クロムクロ』：青馬剣之介時貞
•  『鴨乃橋ロンの禁断推理』：鴨乃橋ロン</v>
      </c>
    </row>
    <row r="4" spans="1:2">
      <c r="A4" s="1" t="str">
        <f ca="1">IFERROR(__xludf.DUMMYFUNCTION("""COMPUTED_VALUE"""),"浅沼晋太郎")</f>
        <v>浅沼晋太郎</v>
      </c>
      <c r="B4" s="1" t="str">
        <f ca="1">IFERROR(__xludf.DUMMYFUNCTION("""COMPUTED_VALUE"""),"•  『ヒプノシスマイク』：碧棺左馬刻
•  『あんさんぶるスターズ！』：月永レオ
•  『生徒会役員共』：津田タカトシ
•  『ダイヤのA』：倉持洋一
•  『ギヴン』：村田雨月")</f>
        <v>•  『ヒプノシスマイク』：碧棺左馬刻
•  『あんさんぶるスターズ！』：月永レオ
•  『生徒会役員共』：津田タカトシ
•  『ダイヤのA』：倉持洋一
•  『ギヴン』：村田雨月</v>
      </c>
    </row>
    <row r="5" spans="1:2">
      <c r="A5" s="1" t="str">
        <f ca="1">IFERROR(__xludf.DUMMYFUNCTION("""COMPUTED_VALUE"""),"浅利遼太")</f>
        <v>浅利遼太</v>
      </c>
      <c r="B5" s="1" t="str">
        <f ca="1">IFERROR(__xludf.DUMMYFUNCTION("""COMPUTED_VALUE"""),"•  『刀剣乱舞』：平野藤四郎／明石国行／ソハヤノツルキ
•  『ワールドトリガー』：小荒井登
•  『D.Gray-man HALLOW』：アルマ＝カルマ
•  『妖怪ウォッチ』：砂夫／土蜘蛛
•  『呪術廻戦』：新田新")</f>
        <v>•  『刀剣乱舞』：平野藤四郎／明石国行／ソハヤノツルキ
•  『ワールドトリガー』：小荒井登
•  『D.Gray-man HALLOW』：アルマ＝カルマ
•  『妖怪ウォッチ』：砂夫／土蜘蛛
•  『呪術廻戦』：新田新</v>
      </c>
    </row>
    <row r="6" spans="1:2">
      <c r="A6" s="1" t="str">
        <f ca="1">IFERROR(__xludf.DUMMYFUNCTION("""COMPUTED_VALUE"""),"阿部敦")</f>
        <v>阿部敦</v>
      </c>
      <c r="B6" s="1" t="str">
        <f ca="1">IFERROR(__xludf.DUMMYFUNCTION("""COMPUTED_VALUE"""),"•  『とある魔術の禁書目録』／『とある科学の超電磁砲』：上条当麻
•  『バクマン。』：真城最高
•  『アイドリッシュセブン』：逢坂壮五
•  『しゅごキャラ！』：相馬空海
•  『弱虫ペダル』：泉田塔一郎")</f>
        <v>•  『とある魔術の禁書目録』／『とある科学の超電磁砲』：上条当麻
•  『バクマン。』：真城最高
•  『アイドリッシュセブン』：逢坂壮五
•  『しゅごキャラ！』：相馬空海
•  『弱虫ペダル』：泉田塔一郎</v>
      </c>
    </row>
    <row r="7" spans="1:2">
      <c r="A7" s="1" t="str">
        <f ca="1">IFERROR(__xludf.DUMMYFUNCTION("""COMPUTED_VALUE"""),"天﨑滉平")</f>
        <v>天﨑滉平</v>
      </c>
      <c r="B7" s="1" t="str">
        <f ca="1">IFERROR(__xludf.DUMMYFUNCTION("""COMPUTED_VALUE"""),"•  『ヒプノシスマイク』：山田三郎
•  『Re:ゼロから始める異世界生活』：オットー・スーウェン
•  『ハイスコアガール』：矢口春雄
•  『僕のヒーローアカデミア』：物間寧人
•  『あんさんぶるスターズ！！』：白鳥藍良")</f>
        <v>•  『ヒプノシスマイク』：山田三郎
•  『Re:ゼロから始める異世界生活』：オットー・スーウェン
•  『ハイスコアガール』：矢口春雄
•  『僕のヒーローアカデミア』：物間寧人
•  『あんさんぶるスターズ！！』：白鳥藍良</v>
      </c>
    </row>
    <row r="8" spans="1:2">
      <c r="A8" s="1" t="str">
        <f ca="1">IFERROR(__xludf.DUMMYFUNCTION("""COMPUTED_VALUE"""),"蒼井翔太")</f>
        <v>蒼井翔太</v>
      </c>
      <c r="B8" s="1" t="str">
        <f ca="1">IFERROR(__xludf.DUMMYFUNCTION("""COMPUTED_VALUE"""),"•  『うたの☆プリンスさまっ♪』：美風藍
•  『KING OF PRISM』：如月ルヰ
•  『乙女ゲームの破滅フラグしかない悪役令嬢に転生してしまった…』：ジオルド・スティアート
•  『ツキウタ。』：水無月涙
•  『ヴィジュアルプリズン』：ハイド・ジャイエ")</f>
        <v>•  『うたの☆プリンスさまっ♪』：美風藍
•  『KING OF PRISM』：如月ルヰ
•  『乙女ゲームの破滅フラグしかない悪役令嬢に転生してしまった…』：ジオルド・スティアート
•  『ツキウタ。』：水無月涙
•  『ヴィジュアルプリズン』：ハイド・ジャイエ</v>
      </c>
    </row>
    <row r="9" spans="1:2">
      <c r="A9" s="1" t="str">
        <f ca="1">IFERROR(__xludf.DUMMYFUNCTION("""COMPUTED_VALUE"""),"井口祐一")</f>
        <v>井口祐一</v>
      </c>
      <c r="B9" s="1" t="str">
        <f ca="1">IFERROR(__xludf.DUMMYFUNCTION("""COMPUTED_VALUE"""),"•  『僕らはみんな河合荘』：宇佐和成
•  『はたらく魔王さま！』：猿江三月／サリエル
•  『FAIRY TAIL』：マックス
•  『Spiritpact』：楊敬華
•  『BEASTARS』：キビ")</f>
        <v>•  『僕らはみんな河合荘』：宇佐和成
•  『はたらく魔王さま！』：猿江三月／サリエル
•  『FAIRY TAIL』：マックス
•  『Spiritpact』：楊敬華
•  『BEASTARS』：キビ</v>
      </c>
    </row>
    <row r="10" spans="1:2">
      <c r="A10" s="1" t="str">
        <f ca="1">IFERROR(__xludf.DUMMYFUNCTION("""COMPUTED_VALUE"""),"石川界人")</f>
        <v>石川界人</v>
      </c>
      <c r="B10" s="1" t="str">
        <f ca="1">IFERROR(__xludf.DUMMYFUNCTION("""COMPUTED_VALUE"""),"•  『ハイキュー!!』：影山飛雄
•  『ワンパンマン』：ジェノス
•  『僕のヒーローアカデミア』：飯田天哉
•  『盾の勇者の成り上がり』：岩谷尚文
•  『青春ブタ野郎シリーズ』：梓川咲太
•  『わたしの幸せな結婚』：久堂清霞")</f>
        <v>•  『ハイキュー!!』：影山飛雄
•  『ワンパンマン』：ジェノス
•  『僕のヒーローアカデミア』：飯田天哉
•  『盾の勇者の成り上がり』：岩谷尚文
•  『青春ブタ野郎シリーズ』：梓川咲太
•  『わたしの幸せな結婚』：久堂清霞</v>
      </c>
    </row>
    <row r="11" spans="1:2">
      <c r="A11" s="1" t="str">
        <f ca="1">IFERROR(__xludf.DUMMYFUNCTION("""COMPUTED_VALUE"""),"石谷春貴")</f>
        <v>石谷春貴</v>
      </c>
      <c r="B11" s="1" t="str">
        <f ca="1">IFERROR(__xludf.DUMMYFUNCTION("""COMPUTED_VALUE"""),"•  『響け！ユーフォニアム』：塚本秀一
•  『ヒプノシスマイク』：山田二郎
•  『AKIBA’S TRIP -THE ANIMATION-』：伝木凱タモツ
•  『ぼくたちのリメイク』：鹿苑寺貫之
•  『この音とまれ！』：足立実康")</f>
        <v>•  『響け！ユーフォニアム』：塚本秀一
•  『ヒプノシスマイク』：山田二郎
•  『AKIBA’S TRIP -THE ANIMATION-』：伝木凱タモツ
•  『ぼくたちのリメイク』：鹿苑寺貫之
•  『この音とまれ！』：足立実康</v>
      </c>
    </row>
    <row r="12" spans="1:2">
      <c r="A12" s="1" t="str">
        <f ca="1">IFERROR(__xludf.DUMMYFUNCTION("""COMPUTED_VALUE"""),"市川蒼")</f>
        <v>市川蒼</v>
      </c>
      <c r="B12" s="1" t="str">
        <f ca="1">IFERROR(__xludf.DUMMYFUNCTION("""COMPUTED_VALUE"""),"•  『Just Because!』：泉瑛太
•  『ダーリン・イン・ザ・フランキス』：ミツル
•  『ツルネ ―風舞高校弓道部―』：竹早静弥
•  『ブルーロック』：五十嵐栗夢
•  『地獄楽』：山田浅ェ門付知
•  『ディズニー ツイステッドワンダーランド』：ラギー・ブッチ")</f>
        <v>•  『Just Because!』：泉瑛太
•  『ダーリン・イン・ザ・フランキス』：ミツル
•  『ツルネ ―風舞高校弓道部―』：竹早静弥
•  『ブルーロック』：五十嵐栗夢
•  『地獄楽』：山田浅ェ門付知
•  『ディズニー ツイステッドワンダーランド』：ラギー・ブッチ</v>
      </c>
    </row>
    <row r="13" spans="1:2">
      <c r="A13" s="1" t="str">
        <f ca="1">IFERROR(__xludf.DUMMYFUNCTION("""COMPUTED_VALUE"""),"市川太一")</f>
        <v>市川太一</v>
      </c>
      <c r="B13" s="1" t="str">
        <f ca="1">IFERROR(__xludf.DUMMYFUNCTION("""COMPUTED_VALUE"""),"•  『カブキブ！』：来栖黒悟
•  『やがて君になる』：槙聖司
•  『終末のハーレム』：水原怜人
•  『時々ボソッとロシア語でデレる隣のアーリャさん』：清宮光瑠")</f>
        <v>•  『カブキブ！』：来栖黒悟
•  『やがて君になる』：槙聖司
•  『終末のハーレム』：水原怜人
•  『時々ボソッとロシア語でデレる隣のアーリャさん』：清宮光瑠</v>
      </c>
    </row>
    <row r="14" spans="1:2">
      <c r="A14" s="1" t="str">
        <f ca="1">IFERROR(__xludf.DUMMYFUNCTION("""COMPUTED_VALUE"""),"市来光弘")</f>
        <v>市来光弘</v>
      </c>
      <c r="B14" s="1" t="str">
        <f ca="1">IFERROR(__xludf.DUMMYFUNCTION("""COMPUTED_VALUE"""),"•  『刀剣乱舞』：大和守安定
•  『スクールランブル』：麻生広義
•  『会長はメイド様！』：白川直也
•  『ドロヘドロ』：カスカベ
•  『佐々木と宮野』：田代権三郎
•  『八十亀ちゃんかんさつにっき』：陣界斗")</f>
        <v>•  『刀剣乱舞』：大和守安定
•  『スクールランブル』：麻生広義
•  『会長はメイド様！』：白川直也
•  『ドロヘドロ』：カスカベ
•  『佐々木と宮野』：田代権三郎
•  『八十亀ちゃんかんさつにっき』：陣界斗</v>
      </c>
    </row>
    <row r="15" spans="1:2">
      <c r="A15" s="1" t="str">
        <f ca="1">IFERROR(__xludf.DUMMYFUNCTION("""COMPUTED_VALUE"""),"伊東健人")</f>
        <v>伊東健人</v>
      </c>
      <c r="B15" s="1" t="str">
        <f ca="1">IFERROR(__xludf.DUMMYFUNCTION("""COMPUTED_VALUE"""),"•  『ヲタクに恋は難しい』：二藤宏嵩
•  『【推しの子】』：ゴロー
•  『ヒプノシスマイク』：観音坂独歩
•  『アイドルマスター SideM』：硲道夫
•  『プロジェクトセカイ カラフルステージ！』：青柳冬弥")</f>
        <v>•  『ヲタクに恋は難しい』：二藤宏嵩
•  『【推しの子】』：ゴロー
•  『ヒプノシスマイク』：観音坂独歩
•  『アイドルマスター SideM』：硲道夫
•  『プロジェクトセカイ カラフルステージ！』：青柳冬弥</v>
      </c>
    </row>
    <row r="16" spans="1:2">
      <c r="A16" s="1" t="str">
        <f ca="1">IFERROR(__xludf.DUMMYFUNCTION("""COMPUTED_VALUE"""),"井上和彦")</f>
        <v>井上和彦</v>
      </c>
      <c r="B16" s="1" t="str">
        <f ca="1">IFERROR(__xludf.DUMMYFUNCTION("""COMPUTED_VALUE"""),"•  『NARUTO -ナルト-』：はたけカカシ
•  『夏目友人帳』：ニャンコ先生／斑
•  『美味しんぼ』：山岡士郎
•  『サイボーグ009』：島村ジョー
•  『機動戦士Ζガンダム』：ジェリド・メサ
•  『名探偵コナン』：白鳥任三郎")</f>
        <v>•  『NARUTO -ナルト-』：はたけカカシ
•  『夏目友人帳』：ニャンコ先生／斑
•  『美味しんぼ』：山岡士郎
•  『サイボーグ009』：島村ジョー
•  『機動戦士Ζガンダム』：ジェリド・メサ
•  『名探偵コナン』：白鳥任三郎</v>
      </c>
    </row>
    <row r="17" spans="1:2">
      <c r="A17" s="1" t="str">
        <f ca="1">IFERROR(__xludf.DUMMYFUNCTION("""COMPUTED_VALUE"""),"井上雄貴")</f>
        <v>井上雄貴</v>
      </c>
      <c r="B17" s="1" t="str">
        <f ca="1">IFERROR(__xludf.DUMMYFUNCTION("""COMPUTED_VALUE"""),"•  『天使の3P!』：貫井響
•  『かくりよの宿飯』：サスケ
•  『アトム ザ・ビギニング』：A106
•  『月刊モー想科学』：ノイン
•  『ハイキュー!!』：姫川葵")</f>
        <v>•  『天使の3P!』：貫井響
•  『かくりよの宿飯』：サスケ
•  『アトム ザ・ビギニング』：A106
•  『月刊モー想科学』：ノイン
•  『ハイキュー!!』：姫川葵</v>
      </c>
    </row>
    <row r="18" spans="1:2">
      <c r="A18" s="1" t="str">
        <f ca="1">IFERROR(__xludf.DUMMYFUNCTION("""COMPUTED_VALUE"""),"今井文也")</f>
        <v>今井文也</v>
      </c>
      <c r="B18" s="1" t="str">
        <f ca="1">IFERROR(__xludf.DUMMYFUNCTION("""COMPUTED_VALUE"""),"•  『ギヴン』：鹿島柊
•  『神クズ☆アイドル』：仁淀ユウヤ
•  『プロジェクトセカイ カラフルステージ！』：東雲彰人
•  『ハナビちゃんは遅れがち』：東雲ムサシ
•  『A3!』：木之崎レント")</f>
        <v>•  『ギヴン』：鹿島柊
•  『神クズ☆アイドル』：仁淀ユウヤ
•  『プロジェクトセカイ カラフルステージ！』：東雲彰人
•  『ハナビちゃんは遅れがち』：東雲ムサシ
•  『A3!』：木之崎レント</v>
      </c>
    </row>
    <row r="19" spans="1:2">
      <c r="A19" s="1" t="str">
        <f ca="1">IFERROR(__xludf.DUMMYFUNCTION("""COMPUTED_VALUE"""),"入江玲於奈")</f>
        <v>入江玲於奈</v>
      </c>
      <c r="B19" s="1" t="str">
        <f ca="1">IFERROR(__xludf.DUMMYFUNCTION("""COMPUTED_VALUE"""),"•  『刀剣乱舞』：前田藤四郎
•  『プリンスPiaキャロット』：立花心路
•  『でみめん』：サタン
•  『乙女剣武蔵』：宍戸梅軒")</f>
        <v>•  『刀剣乱舞』：前田藤四郎
•  『プリンスPiaキャロット』：立花心路
•  『でみめん』：サタン
•  『乙女剣武蔵』：宍戸梅軒</v>
      </c>
    </row>
    <row r="20" spans="1:2">
      <c r="A20" s="1" t="str">
        <f ca="1">IFERROR(__xludf.DUMMYFUNCTION("""COMPUTED_VALUE"""),"入野自由")</f>
        <v>入野自由</v>
      </c>
      <c r="B20" s="1" t="str">
        <f ca="1">IFERROR(__xludf.DUMMYFUNCTION("""COMPUTED_VALUE"""),"•  『おそ松さん』：松野トド松
•  『ハイキュー!!』：菅原孝支
•  『千と千尋の神隠し』：ハク
•  『キングダム ハーツ』：ソラ
•  『アイシールド21』：小早川瀬那
•  『あの日見た花の名前を僕達はまだ知らない。』：宿海仁太")</f>
        <v>•  『おそ松さん』：松野トド松
•  『ハイキュー!!』：菅原孝支
•  『千と千尋の神隠し』：ハク
•  『キングダム ハーツ』：ソラ
•  『アイシールド21』：小早川瀬那
•  『あの日見た花の名前を僕達はまだ知らない。』：宿海仁太</v>
      </c>
    </row>
    <row r="21" spans="1:2">
      <c r="A21" s="1" t="str">
        <f ca="1">IFERROR(__xludf.DUMMYFUNCTION("""COMPUTED_VALUE"""),"岩崎諒太")</f>
        <v>岩崎諒太</v>
      </c>
      <c r="B21" s="1" t="str">
        <f ca="1">IFERROR(__xludf.DUMMYFUNCTION("""COMPUTED_VALUE"""),"•  『ヒプノシスマイク』：白膠木簓
•  『僕のヒーローアカデミア』：夜嵐イナサ
•  『ザ・ファブル』：黒塩遼
•  『柚木さんちの四兄弟。』：柚木隼
•  『からくりサーカス』：仲町紀之")</f>
        <v>•  『ヒプノシスマイク』：白膠木簓
•  『僕のヒーローアカデミア』：夜嵐イナサ
•  『ザ・ファブル』：黒塩遼
•  『柚木さんちの四兄弟。』：柚木隼
•  『からくりサーカス』：仲町紀之</v>
      </c>
    </row>
    <row r="22" spans="1:2">
      <c r="A22" s="1" t="str">
        <f ca="1">IFERROR(__xludf.DUMMYFUNCTION("""COMPUTED_VALUE"""),"岩中睦樹")</f>
        <v>岩中睦樹</v>
      </c>
      <c r="B22" s="1" t="str">
        <f ca="1">IFERROR(__xludf.DUMMYFUNCTION("""COMPUTED_VALUE"""),"•  『月がきれい』：立花大輔
•  『ようこそ実力至上主義の教室へ』：山内春樹
•  『キャプテン翼』：井沢守
•  『AIの遺電子』：ジェイ
•  『ネガポジアングラー』：佐々木常宏
•  『妻、小学生になる。』：愛川蓮司")</f>
        <v>•  『月がきれい』：立花大輔
•  『ようこそ実力至上主義の教室へ』：山内春樹
•  『キャプテン翼』：井沢守
•  『AIの遺電子』：ジェイ
•  『ネガポジアングラー』：佐々木常宏
•  『妻、小学生になる。』：愛川蓮司</v>
      </c>
    </row>
    <row r="23" spans="1:2">
      <c r="A23" s="1" t="str">
        <f ca="1">IFERROR(__xludf.DUMMYFUNCTION("""COMPUTED_VALUE"""),"上村祐翔")</f>
        <v>上村祐翔</v>
      </c>
      <c r="B23" s="1" t="str">
        <f ca="1">IFERROR(__xludf.DUMMYFUNCTION("""COMPUTED_VALUE"""),"•  『文豪ストレイドッグス』：中島敦
•  『ダーリン・イン・ザ・フランキス』：ヒロ
•  『僕のヒーローアカデミア』：天喰環
•  『ヴィンランド・サガ』：トルフィン
•  『ツルネ ―風舞高校弓道部―』：鳴宮湊
•  『B-PROJECT』：増長和南")</f>
        <v>•  『文豪ストレイドッグス』：中島敦
•  『ダーリン・イン・ザ・フランキス』：ヒロ
•  『僕のヒーローアカデミア』：天喰環
•  『ヴィンランド・サガ』：トルフィン
•  『ツルネ ―風舞高校弓道部―』：鳴宮湊
•  『B-PROJECT』：増長和南</v>
      </c>
    </row>
    <row r="24" spans="1:2">
      <c r="A24" s="1" t="str">
        <f ca="1">IFERROR(__xludf.DUMMYFUNCTION("""COMPUTED_VALUE"""),"内田修一")</f>
        <v>内田修一</v>
      </c>
      <c r="B24" s="1" t="str">
        <f ca="1">IFERROR(__xludf.DUMMYFUNCTION("""COMPUTED_VALUE"""),"•  『灼熱カバディ』：栄倉祐
•  『カミエラビ GOD.app』：秋津豊
•  『転生貴族、鑑定スキルで成り上がる』：ブラッハム・ジョー
•  『その着せ替え人形は恋をする』：森田健星
•  『夫婦以上、恋人未満。』：寺船周
•  『アンダーニンジャ』：瑛太")</f>
        <v>•  『灼熱カバディ』：栄倉祐
•  『カミエラビ GOD.app』：秋津豊
•  『転生貴族、鑑定スキルで成り上がる』：ブラッハム・ジョー
•  『その着せ替え人形は恋をする』：森田健星
•  『夫婦以上、恋人未満。』：寺船周
•  『アンダーニンジャ』：瑛太</v>
      </c>
    </row>
    <row r="25" spans="1:2">
      <c r="A25" s="1" t="str">
        <f ca="1">IFERROR(__xludf.DUMMYFUNCTION("""COMPUTED_VALUE"""),"内田雄馬")</f>
        <v>内田雄馬</v>
      </c>
      <c r="B25" s="1" t="str">
        <f ca="1">IFERROR(__xludf.DUMMYFUNCTION("""COMPUTED_VALUE"""),"•  『呪術廻戦』：伏黒恵
•  『BANANA FISH』：アッシュ・リンクス
•  『ブルーロック』：御影玲王
•  『WIND BREAKER』：桜遥
•  『フルーツバスケット』：草摩夾
•  『マクロスΔ』：ハヤテ・インメルマン
•  『りゅうおうのおしごと！』：九頭竜八一")</f>
        <v>•  『呪術廻戦』：伏黒恵
•  『BANANA FISH』：アッシュ・リンクス
•  『ブルーロック』：御影玲王
•  『WIND BREAKER』：桜遥
•  『フルーツバスケット』：草摩夾
•  『マクロスΔ』：ハヤテ・インメルマン
•  『りゅうおうのおしごと！』：九頭竜八一</v>
      </c>
    </row>
    <row r="26" spans="1:2">
      <c r="A26" s="1" t="str">
        <f ca="1">IFERROR(__xludf.DUMMYFUNCTION("""COMPUTED_VALUE"""),"内山昂輝")</f>
        <v>内山昂輝</v>
      </c>
      <c r="B26" s="1" t="str">
        <f ca="1">IFERROR(__xludf.DUMMYFUNCTION("""COMPUTED_VALUE"""),"•  『ハイキュー!!』：月島蛍
•  『僕のヒーローアカデミア』：死柄木弔
•  『呪術廻戦』：狗巻棘
•  『機動戦士ガンダムUC』：バナージ・リンクス
•  『Free!』：桐嶋郁弥
•  『キングダム ハーツ』：ロクサス／ヴェントゥス
•  『ホリミヤ』：宮村伊澄")</f>
        <v>•  『ハイキュー!!』：月島蛍
•  『僕のヒーローアカデミア』：死柄木弔
•  『呪術廻戦』：狗巻棘
•  『機動戦士ガンダムUC』：バナージ・リンクス
•  『Free!』：桐嶋郁弥
•  『キングダム ハーツ』：ロクサス／ヴェントゥス
•  『ホリミヤ』：宮村伊澄</v>
      </c>
    </row>
    <row r="27" spans="1:2">
      <c r="A27" s="1" t="str">
        <f ca="1">IFERROR(__xludf.DUMMYFUNCTION("""COMPUTED_VALUE"""),"梅田修一朗")</f>
        <v>梅田修一朗</v>
      </c>
      <c r="B27" s="1" t="str">
        <f ca="1">IFERROR(__xludf.DUMMYFUNCTION("""COMPUTED_VALUE"""),"•  『可愛いだけじゃない式守さん』：和泉くん
•  『魔法使い黎明期』：セービル
•  『ゾンビ100～ゾンビになるまでにしたい100のこと～』：天道輝
•  『負けヒロインが多すぎる！』：温水和彦
•  『光が死んだ夏』：ヒカル
•  『ヴィジランテ -僕のヒーローアカデミア ILLEGALS-』：灰廻航一")</f>
        <v>•  『可愛いだけじゃない式守さん』：和泉くん
•  『魔法使い黎明期』：セービル
•  『ゾンビ100～ゾンビになるまでにしたい100のこと～』：天道輝
•  『負けヒロインが多すぎる！』：温水和彦
•  『光が死んだ夏』：ヒカル
•  『ヴィジランテ -僕のヒーローアカデミア ILLEGALS-』：灰廻航一</v>
      </c>
    </row>
    <row r="28" spans="1:2">
      <c r="A28" s="1" t="str">
        <f ca="1">IFERROR(__xludf.DUMMYFUNCTION("""COMPUTED_VALUE"""),"梅原裕一郎")</f>
        <v>梅原裕一郎</v>
      </c>
      <c r="B28" s="1" t="str">
        <f ca="1">IFERROR(__xludf.DUMMYFUNCTION("""COMPUTED_VALUE"""),"•  『ゴブリンスレイヤー』：ゴブリンスレイヤー
•  『美男高校地球防衛部LOVE!』：由布院煙
•  『あんさんぶるスターズ！』：蓮巳敬人
•  『アイドルマスター SideM』：鷹城恭二
•  『魔王学院の不適合者』：アノス・ヴォルディゴード
•  『WIND BREAKER』：十亀条
•  『ディズニー ツイステッドワンダーランド』：レオナ・キングスカラー")</f>
        <v>•  『ゴブリンスレイヤー』：ゴブリンスレイヤー
•  『美男高校地球防衛部LOVE!』：由布院煙
•  『あんさんぶるスターズ！』：蓮巳敬人
•  『アイドルマスター SideM』：鷹城恭二
•  『魔王学院の不適合者』：アノス・ヴォルディゴード
•  『WIND BREAKER』：十亀条
•  『ディズニー ツイステッドワンダーランド』：レオナ・キングスカラー</v>
      </c>
    </row>
    <row r="29" spans="1:2">
      <c r="A29" s="1" t="str">
        <f ca="1">IFERROR(__xludf.DUMMYFUNCTION("""COMPUTED_VALUE"""),"浦和希")</f>
        <v>浦和希</v>
      </c>
      <c r="B29" s="1" t="str">
        <f ca="1">IFERROR(__xludf.DUMMYFUNCTION("""COMPUTED_VALUE"""),"•  『ブルーロック』：潔世一
•  『シャドウバースF』：真壁スバル
•  『テクノロイド オーバーマインド』：コバルト
•  『桃源暗鬼』：一ノ瀬四季
•  『カミエラビ GOD.app』：ゴロー
•  『悪魔執事と黒い猫』：ナック・シュタイン")</f>
        <v>•  『ブルーロック』：潔世一
•  『シャドウバースF』：真壁スバル
•  『テクノロイド オーバーマインド』：コバルト
•  『桃源暗鬼』：一ノ瀬四季
•  『カミエラビ GOD.app』：ゴロー
•  『悪魔執事と黒い猫』：ナック・シュタイン</v>
      </c>
    </row>
    <row r="30" spans="1:2">
      <c r="A30" s="1" t="str">
        <f ca="1">IFERROR(__xludf.DUMMYFUNCTION("""COMPUTED_VALUE"""),"江口拓也")</f>
        <v>江口拓也</v>
      </c>
      <c r="B30" s="1" t="str">
        <f ca="1">IFERROR(__xludf.DUMMYFUNCTION("""COMPUTED_VALUE"""),"•  『SPY×FAMILY』：ロイド・フォージャー
•  『やはり俺の青春ラブコメはまちがっている。』：比企谷八幡
•  『アイドリッシュセブン』：六弥ナギ
•  『東京リベンジャーズ』：半間修二
•  『転生したらスライムだった件』：ソウエイ
•  『マッシュル-MASHLE-』：ドット・バレット
•  『あんさんぶるスターズ！』：日々樹渉")</f>
        <v>•  『SPY×FAMILY』：ロイド・フォージャー
•  『やはり俺の青春ラブコメはまちがっている。』：比企谷八幡
•  『アイドリッシュセブン』：六弥ナギ
•  『東京リベンジャーズ』：半間修二
•  『転生したらスライムだった件』：ソウエイ
•  『マッシュル-MASHLE-』：ドット・バレット
•  『あんさんぶるスターズ！』：日々樹渉</v>
      </c>
    </row>
    <row r="31" spans="1:2">
      <c r="A31" s="1" t="str">
        <f ca="1">IFERROR(__xludf.DUMMYFUNCTION("""COMPUTED_VALUE"""),"榎木淳弥")</f>
        <v>榎木淳弥</v>
      </c>
      <c r="B31" s="1" t="str">
        <f ca="1">IFERROR(__xludf.DUMMYFUNCTION("""COMPUTED_VALUE"""),"•  『呪術廻戦』：虎杖悠仁
•  『ジョジョの奇妙な冒険 黄金の風』：パンナコッタ・フーゴ
•  『トニカクカワイイ』：由崎星空
•  『アイドルマスター SideM』：舞田類
•  『め組の大吾 救国のオレンジ』：十朱大吾")</f>
        <v>•  『呪術廻戦』：虎杖悠仁
•  『ジョジョの奇妙な冒険 黄金の風』：パンナコッタ・フーゴ
•  『トニカクカワイイ』：由崎星空
•  『アイドルマスター SideM』：舞田類
•  『め組の大吾 救国のオレンジ』：十朱大吾</v>
      </c>
    </row>
    <row r="32" spans="1:2">
      <c r="A32" s="1" t="str">
        <f ca="1">IFERROR(__xludf.DUMMYFUNCTION("""COMPUTED_VALUE"""),"逢坂良太")</f>
        <v>逢坂良太</v>
      </c>
      <c r="B32" s="1" t="str">
        <f ca="1">IFERROR(__xludf.DUMMYFUNCTION("""COMPUTED_VALUE"""),"•  『ダイヤのA』：沢村栄純
•  『はたらく魔王さま！』：真奥貞夫（魔王サタン）
•  『ハイキュー!!』：赤葦京治
•  『あんさんぶるスターズ！！』：七種茨
•  『赤髪の白雪姫』：ゼン
•  『進撃の巨人』：マルコ・ボット
•  『鬼滅の刃』：妓夫太郎")</f>
        <v>•  『ダイヤのA』：沢村栄純
•  『はたらく魔王さま！』：真奥貞夫（魔王サタン）
•  『ハイキュー!!』：赤葦京治
•  『あんさんぶるスターズ！！』：七種茨
•  『赤髪の白雪姫』：ゼン
•  『進撃の巨人』：マルコ・ボット
•  『鬼滅の刃』：妓夫太郎</v>
      </c>
    </row>
    <row r="33" spans="1:2">
      <c r="A33" s="1" t="str">
        <f ca="1">IFERROR(__xludf.DUMMYFUNCTION("""COMPUTED_VALUE"""),"小笠原仁")</f>
        <v>小笠原仁</v>
      </c>
      <c r="B33" s="1" t="str">
        <f ca="1">IFERROR(__xludf.DUMMYFUNCTION("""COMPUTED_VALUE"""),"•  『from ARGONAVIS』：旭那由多
•  『カードファイト!! ヴァンガード will+Dress』：狐芝ライカ
•  『WAVE!!～サーフィンやっぺ!!～』：秋月ショウ
•  『カワイスギクライシス』：向井誠二
•  『18TRIP』：西園練牙
•  『SSSS.DYNAZENON』：淡木")</f>
        <v>•  『from ARGONAVIS』：旭那由多
•  『カードファイト!! ヴァンガード will+Dress』：狐芝ライカ
•  『WAVE!!～サーフィンやっぺ!!～』：秋月ショウ
•  『カワイスギクライシス』：向井誠二
•  『18TRIP』：西園練牙
•  『SSSS.DYNAZENON』：淡木</v>
      </c>
    </row>
    <row r="34" spans="1:2">
      <c r="A34" s="1" t="str">
        <f ca="1">IFERROR(__xludf.DUMMYFUNCTION("""COMPUTED_VALUE"""),"大須賀純")</f>
        <v>大須賀純</v>
      </c>
      <c r="B34" s="1" t="str">
        <f ca="1">IFERROR(__xludf.DUMMYFUNCTION("""COMPUTED_VALUE"""),"•  『あんさんぶるスターズ！』：影片みか
•  『刀剣乱舞』：博多藤四郎
•  『新テニスの王子様』：千歳千里
•  『サンリオ男子』：吉野俊介
•  『おおきく振りかぶって』：叶修悟
•  『PJベリーのもぐもぐむにゃむにゃ』：PJベリー")</f>
        <v>•  『あんさんぶるスターズ！』：影片みか
•  『刀剣乱舞』：博多藤四郎
•  『新テニスの王子様』：千歳千里
•  『サンリオ男子』：吉野俊介
•  『おおきく振りかぶって』：叶修悟
•  『PJベリーのもぐもぐむにゃむにゃ』：PJベリー</v>
      </c>
    </row>
    <row r="35" spans="1:2">
      <c r="A35" s="1" t="str">
        <f ca="1">IFERROR(__xludf.DUMMYFUNCTION("""COMPUTED_VALUE"""),"大谷祐貴")</f>
        <v>大谷祐貴</v>
      </c>
      <c r="B35" s="1" t="str">
        <f ca="1">IFERROR(__xludf.DUMMYFUNCTION("""COMPUTED_VALUE"""),"•  『巨神と氷華の城』：志郎
•  『刀剣乱舞』：太閤左文字
•  『デリシャスパーティ♡プリキュア』：青山のりお")</f>
        <v>•  『巨神と氷華の城』：志郎
•  『刀剣乱舞』：太閤左文字
•  『デリシャスパーティ♡プリキュア』：青山のりお</v>
      </c>
    </row>
    <row r="36" spans="1:2">
      <c r="A36" s="1" t="str">
        <f ca="1">IFERROR(__xludf.DUMMYFUNCTION("""COMPUTED_VALUE"""),"大塚剛央")</f>
        <v>大塚剛央</v>
      </c>
      <c r="B36" s="1" t="str">
        <f ca="1">IFERROR(__xludf.DUMMYFUNCTION("""COMPUTED_VALUE"""),"•  『【推しの子】』：アクア
•  『薬屋のひとりごと』：壬氏
•  『風が強く吹いている』：蔵原走
•  『アイドルマスター SideM』：眉見鋭心
•  『百千さん家のあやかし王子』：七守葵／鵺
•  『トリリオンゲーム』：天王寺陽")</f>
        <v>•  『【推しの子】』：アクア
•  『薬屋のひとりごと』：壬氏
•  『風が強く吹いている』：蔵原走
•  『アイドルマスター SideM』：眉見鋭心
•  『百千さん家のあやかし王子』：七守葵／鵺
•  『トリリオンゲーム』：天王寺陽</v>
      </c>
    </row>
    <row r="37" spans="1:2">
      <c r="A37" s="1" t="str">
        <f ca="1">IFERROR(__xludf.DUMMYFUNCTION("""COMPUTED_VALUE"""),"岡本信彦")</f>
        <v>岡本信彦</v>
      </c>
      <c r="B37" s="1" t="str">
        <f ca="1">IFERROR(__xludf.DUMMYFUNCTION("""COMPUTED_VALUE"""),"•  『僕のヒーローアカデミア』：爆豪勝己
•  『青の祓魔師』：奥村燐
•  『とある魔術の禁書目録』：一方通行（アクセラレータ）
•  『ハイキュー!!』：西谷夕
•  『暗殺教室』：赤羽業
•  『葬送のフリーレン』：ヒンメル
•  『鬼滅の刃』：不死川玄弥")</f>
        <v>•  『僕のヒーローアカデミア』：爆豪勝己
•  『青の祓魔師』：奥村燐
•  『とある魔術の禁書目録』：一方通行（アクセラレータ）
•  『ハイキュー!!』：西谷夕
•  『暗殺教室』：赤羽業
•  『葬送のフリーレン』：ヒンメル
•  『鬼滅の刃』：不死川玄弥</v>
      </c>
    </row>
    <row r="38" spans="1:2">
      <c r="A38" s="1" t="str">
        <f ca="1">IFERROR(__xludf.DUMMYFUNCTION("""COMPUTED_VALUE"""),"置鮎龍太郎")</f>
        <v>置鮎龍太郎</v>
      </c>
      <c r="B38" s="1" t="str">
        <f ca="1">IFERROR(__xludf.DUMMYFUNCTION("""COMPUTED_VALUE"""),"•  『テニスの王子様』：手塚国光
•  『BLEACH』：朽木白哉
•  『SLAM DUNK』：三井寿
•  『地獄先生ぬ～べ～』：鵺野鳴介
•  『鋼の錬金術師』：スカー
•  『トリコ』：トリコ
•  『名探偵コナン』：沖矢昴")</f>
        <v>•  『テニスの王子様』：手塚国光
•  『BLEACH』：朽木白哉
•  『SLAM DUNK』：三井寿
•  『地獄先生ぬ～べ～』：鵺野鳴介
•  『鋼の錬金術師』：スカー
•  『トリコ』：トリコ
•  『名探偵コナン』：沖矢昴</v>
      </c>
    </row>
    <row r="39" spans="1:2">
      <c r="A39" s="1" t="str">
        <f ca="1">IFERROR(__xludf.DUMMYFUNCTION("""COMPUTED_VALUE"""),"興津和幸")</f>
        <v>興津和幸</v>
      </c>
      <c r="B39" s="1" t="str">
        <f ca="1">IFERROR(__xludf.DUMMYFUNCTION("""COMPUTED_VALUE"""),"•  『ジョジョの奇妙な冒険』：ジョナサン・ジョースター
•  『アイドリッシュセブン』：大神万理
•  『BROTHERS CONFLICT』：朝日奈雅臣
•  『刀剣乱舞』：蜂須賀虎徹
•  『蒼き鋼のアルペジオ -アルス・ノヴァ-』：千早群像")</f>
        <v>•  『ジョジョの奇妙な冒険』：ジョナサン・ジョースター
•  『アイドリッシュセブン』：大神万理
•  『BROTHERS CONFLICT』：朝日奈雅臣
•  『刀剣乱舞』：蜂須賀虎徹
•  『蒼き鋼のアルペジオ -アルス・ノヴァ-』：千早群像</v>
      </c>
    </row>
    <row r="40" spans="1:2">
      <c r="A40" s="1" t="str">
        <f ca="1">IFERROR(__xludf.DUMMYFUNCTION("""COMPUTED_VALUE"""),"小野賢章")</f>
        <v>小野賢章</v>
      </c>
      <c r="B40" s="1" t="str">
        <f ca="1">IFERROR(__xludf.DUMMYFUNCTION("""COMPUTED_VALUE"""),"•  『黒子のバスケ』：黒子テツヤ
•  『アイドリッシュセブン』：七瀬陸
•  『文豪ストレイドッグス』：芥川龍之介
•  『ジョジョの奇妙な冒険 黄金の風』：ジョルノ・ジョバァーナ
•  『ハリー・ポッター』シリーズ：ハリー・ポッター
•  『SPY×FAMILY』：ユーリ・ブライア
•  『ツルネ ―風舞高校弓道部―』：藤原愁")</f>
        <v>•  『黒子のバスケ』：黒子テツヤ
•  『アイドリッシュセブン』：七瀬陸
•  『文豪ストレイドッグス』：芥川龍之介
•  『ジョジョの奇妙な冒険 黄金の風』：ジョルノ・ジョバァーナ
•  『ハリー・ポッター』シリーズ：ハリー・ポッター
•  『SPY×FAMILY』：ユーリ・ブライア
•  『ツルネ ―風舞高校弓道部―』：藤原愁</v>
      </c>
    </row>
    <row r="41" spans="1:2">
      <c r="A41" s="1" t="str">
        <f ca="1">IFERROR(__xludf.DUMMYFUNCTION("""COMPUTED_VALUE"""),"小野友樹")</f>
        <v>小野友樹</v>
      </c>
      <c r="B41" s="1" t="str">
        <f ca="1">IFERROR(__xludf.DUMMYFUNCTION("""COMPUTED_VALUE"""),"•  『黒子のバスケ』：火神大我
•  『ジョジョの奇妙な冒険 ダイヤモンドは砕けない』：東方仗助
•  『あんさんぶるスターズ！』：大神晃牙
•  『抱かれたい男1位に脅されています。』：東谷准太
•  『ブルーロック』：國神錬介")</f>
        <v>•  『黒子のバスケ』：火神大我
•  『ジョジョの奇妙な冒険 ダイヤモンドは砕けない』：東方仗助
•  『あんさんぶるスターズ！』：大神晃牙
•  『抱かれたい男1位に脅されています。』：東谷准太
•  『ブルーロック』：國神錬介</v>
      </c>
    </row>
    <row r="42" spans="1:2">
      <c r="A42" s="1" t="str">
        <f ca="1">IFERROR(__xludf.DUMMYFUNCTION("""COMPUTED_VALUE"""),"海渡翼")</f>
        <v>海渡翼</v>
      </c>
      <c r="B42" s="1" t="str">
        <f ca="1">IFERROR(__xludf.DUMMYFUNCTION("""COMPUTED_VALUE"""),"•  『ブルーロック』：蜂楽廻
•  『あんさんぶるスターズ！！』：桜河こはく
•  『戦国 A LIVE』：佑太郎
•  『星芥ショータイム』：四条憶人")</f>
        <v>•  『ブルーロック』：蜂楽廻
•  『あんさんぶるスターズ！！』：桜河こはく
•  『戦国 A LIVE』：佑太郎
•  『星芥ショータイム』：四条憶人</v>
      </c>
    </row>
    <row r="43" spans="1:2">
      <c r="A43" s="1" t="str">
        <f ca="1">IFERROR(__xludf.DUMMYFUNCTION("""COMPUTED_VALUE"""),"柿原徹也")</f>
        <v>柿原徹也</v>
      </c>
      <c r="B43" s="1" t="str">
        <f ca="1">IFERROR(__xludf.DUMMYFUNCTION("""COMPUTED_VALUE"""),"•  『FAIRY TAIL』：ナツ・ドラグニル
•  『天元突破グレンラガン』：シモン
•  『弱虫ペダル』：東堂尽八
•  『青の祓魔師』：アマイモン
•  『B-PROJECT』：音済百太郎
•  『ツキウタ。』：葉月陽")</f>
        <v>•  『FAIRY TAIL』：ナツ・ドラグニル
•  『天元突破グレンラガン』：シモン
•  『弱虫ペダル』：東堂尽八
•  『青の祓魔師』：アマイモン
•  『B-PROJECT』：音済百太郎
•  『ツキウタ。』：葉月陽</v>
      </c>
    </row>
    <row r="44" spans="1:2">
      <c r="A44" s="1" t="str">
        <f ca="1">IFERROR(__xludf.DUMMYFUNCTION("""COMPUTED_VALUE"""),"笠間淳")</f>
        <v>笠間淳</v>
      </c>
      <c r="B44" s="1" t="str">
        <f ca="1">IFERROR(__xludf.DUMMYFUNCTION("""COMPUTED_VALUE"""),"•  『アイドルマスター SideM』：葛之葉雨彦
•  『あんさんぶるスターズ！！』：HiMERU
•  『THE FIRST SLAM DUNK』：三井寿
•  『REVENGER』：繰馬雷蔵
•  『ハイキュー!!』：尾白アラン
•  『幼女戦記』：ヴィリバルト・ケーニッヒ")</f>
        <v>•  『アイドルマスター SideM』：葛之葉雨彦
•  『あんさんぶるスターズ！！』：HiMERU
•  『THE FIRST SLAM DUNK』：三井寿
•  『REVENGER』：繰馬雷蔵
•  『ハイキュー!!』：尾白アラン
•  『幼女戦記』：ヴィリバルト・ケーニッヒ</v>
      </c>
    </row>
    <row r="45" spans="1:2">
      <c r="A45" s="1" t="str">
        <f ca="1">IFERROR(__xludf.DUMMYFUNCTION("""COMPUTED_VALUE"""),"梶裕貴")</f>
        <v>梶裕貴</v>
      </c>
      <c r="B45" s="1" t="str">
        <f ca="1">IFERROR(__xludf.DUMMYFUNCTION("""COMPUTED_VALUE"""),"•  『進撃の巨人』：エレン・イェーガー
•  『僕のヒーローアカデミア』：轟焦凍
•  『七つの大罪』：メリオダス
•  『マギ』：アリババ・サルージャ
•  『ハイキュー!!』：孤爪研磨
•  『黒執事』：フィニアン")</f>
        <v>•  『進撃の巨人』：エレン・イェーガー
•  『僕のヒーローアカデミア』：轟焦凍
•  『七つの大罪』：メリオダス
•  『マギ』：アリババ・サルージャ
•  『ハイキュー!!』：孤爪研磨
•  『黒執事』：フィニアン</v>
      </c>
    </row>
    <row r="46" spans="1:2">
      <c r="A46" s="1" t="str">
        <f ca="1">IFERROR(__xludf.DUMMYFUNCTION("""COMPUTED_VALUE"""),"梶田大嗣")</f>
        <v>梶田大嗣</v>
      </c>
      <c r="B46" s="1" t="str">
        <f ca="1">IFERROR(__xludf.DUMMYFUNCTION("""COMPUTED_VALUE"""),"•  『戦隊大失格』：桜間日々輝
•  『ビックリメン』：ヤマト
•  『NOBLESSE -ノブレス-』：ラエル・ケルティア
•  『ブルーロック』：成早朝日
•  『SDガンダムワールド ヒーローズ』：馬超ガンダムバルバトス
•  『ひみつのアイプリ』：霧島律")</f>
        <v>•  『戦隊大失格』：桜間日々輝
•  『ビックリメン』：ヤマト
•  『NOBLESSE -ノブレス-』：ラエル・ケルティア
•  『ブルーロック』：成早朝日
•  『SDガンダムワールド ヒーローズ』：馬超ガンダムバルバトス
•  『ひみつのアイプリ』：霧島律</v>
      </c>
    </row>
    <row r="47" spans="1:2">
      <c r="A47" s="1" t="str">
        <f ca="1">IFERROR(__xludf.DUMMYFUNCTION("""COMPUTED_VALUE"""),"梶原岳人")</f>
        <v>梶原岳人</v>
      </c>
      <c r="B47" s="1" t="str">
        <f ca="1">IFERROR(__xludf.DUMMYFUNCTION("""COMPUTED_VALUE"""),"•  『ブラッククローバー』：アスタ
•  『炎炎ノ消防隊』：森羅日下部
•  『あんさんぶるスターズ！！』：天城一彩
•  『Paradox Live』：朱雀野アレン
•  『お前はまだグンマを知らない』：神月紀")</f>
        <v>•  『ブラッククローバー』：アスタ
•  『炎炎ノ消防隊』：森羅日下部
•  『あんさんぶるスターズ！！』：天城一彩
•  『Paradox Live』：朱雀野アレン
•  『お前はまだグンマを知らない』：神月紀</v>
      </c>
    </row>
    <row r="48" spans="1:2">
      <c r="A48" s="1" t="str">
        <f ca="1">IFERROR(__xludf.DUMMYFUNCTION("""COMPUTED_VALUE"""),"粕谷雄太")</f>
        <v>粕谷雄太</v>
      </c>
      <c r="B48" s="1" t="str">
        <f ca="1">IFERROR(__xludf.DUMMYFUNCTION("""COMPUTED_VALUE"""),"•  『僕のヒーローアカデミア』：真堂揺
•  『刀剣乱舞』：五虎退
•  『聖闘士星矢セインティア翔』：アンドロメダ星座の瞬
•  『ワールドトリガー』：時枝充
•  『デジモンゴーストゲーム』：ゴツモン")</f>
        <v>•  『僕のヒーローアカデミア』：真堂揺
•  『刀剣乱舞』：五虎退
•  『聖闘士星矢セインティア翔』：アンドロメダ星座の瞬
•  『ワールドトリガー』：時枝充
•  『デジモンゴーストゲーム』：ゴツモン</v>
      </c>
    </row>
    <row r="49" spans="1:2">
      <c r="A49" s="1" t="str">
        <f ca="1">IFERROR(__xludf.DUMMYFUNCTION("""COMPUTED_VALUE"""),"神原大地")</f>
        <v>神原大地</v>
      </c>
      <c r="B49" s="1" t="str">
        <f ca="1">IFERROR(__xludf.DUMMYFUNCTION("""COMPUTED_VALUE"""),"•  『アイドルマスター SideM』：伊集院北斗
•  『カードファイト!! ヴァンガード』：蒼龍レオン
•  『number24』：東坂虎之進
•  『佐々木と宮野』：半澤雅臣
•  『爆丸』シリーズ： ハウルカー")</f>
        <v>•  『アイドルマスター SideM』：伊集院北斗
•  『カードファイト!! ヴァンガード』：蒼龍レオン
•  『number24』：東坂虎之進
•  『佐々木と宮野』：半澤雅臣
•  『爆丸』シリーズ： ハウルカー</v>
      </c>
    </row>
    <row r="50" spans="1:2">
      <c r="A50" s="1" t="str">
        <f ca="1">IFERROR(__xludf.DUMMYFUNCTION("""COMPUTED_VALUE"""),"狩野翔")</f>
        <v>狩野翔</v>
      </c>
      <c r="B50" s="1" t="str">
        <f ca="1">IFERROR(__xludf.DUMMYFUNCTION("""COMPUTED_VALUE"""),"•  『東京リベンジャーズ』：松野千冬
•  『アイドルマスター SideM』：神谷幸広
•  『本好きの下剋上』：フラン
•  『君は放課後インソムニア』：灰田塁
•  『刀剣乱舞』：五月雨江")</f>
        <v>•  『東京リベンジャーズ』：松野千冬
•  『アイドルマスター SideM』：神谷幸広
•  『本好きの下剋上』：フラン
•  『君は放課後インソムニア』：灰田塁
•  『刀剣乱舞』：五月雨江</v>
      </c>
    </row>
    <row r="51" spans="1:2">
      <c r="A51" s="1" t="str">
        <f ca="1">IFERROR(__xludf.DUMMYFUNCTION("""COMPUTED_VALUE"""),"川島零士")</f>
        <v>川島零士</v>
      </c>
      <c r="B51" s="1" t="str">
        <f ca="1">IFERROR(__xludf.DUMMYFUNCTION("""COMPUTED_VALUE"""),"•  『不滅のあなたへ』：フシ
•  『マッシュル-MASHLE-』：フィン・エイムズ
•  『夜桜さんちの大作戦』：朝野太陽
•  『シャドーハウス』：パトリック／リッキー
•  『カードファイト!! ヴァンガード Divinez』：呼続スオウ")</f>
        <v>•  『不滅のあなたへ』：フシ
•  『マッシュル-MASHLE-』：フィン・エイムズ
•  『夜桜さんちの大作戦』：朝野太陽
•  『シャドーハウス』：パトリック／リッキー
•  『カードファイト!! ヴァンガード Divinez』：呼続スオウ</v>
      </c>
    </row>
    <row r="52" spans="1:2">
      <c r="A52" s="1" t="str">
        <f ca="1">IFERROR(__xludf.DUMMYFUNCTION("""COMPUTED_VALUE"""),"河西健吾")</f>
        <v>河西健吾</v>
      </c>
      <c r="B52" s="1" t="str">
        <f ca="1">IFERROR(__xludf.DUMMYFUNCTION("""COMPUTED_VALUE"""),"•  『機動戦士ガンダム 鉄血のオルフェンズ』：三日月・オーガス
•  『鬼滅の刃』：時透無一郎
•  『Dr.STONE』：あさぎりゲン
•  『ヒプノシスマイク』：躑躅森盧笙
•  『怪獣8号』：保科宗四郎
•  『3月のライオン』：桐山零")</f>
        <v>•  『機動戦士ガンダム 鉄血のオルフェンズ』：三日月・オーガス
•  『鬼滅の刃』：時透無一郎
•  『Dr.STONE』：あさぎりゲン
•  『ヒプノシスマイク』：躑躅森盧笙
•  『怪獣8号』：保科宗四郎
•  『3月のライオン』：桐山零</v>
      </c>
    </row>
    <row r="53" spans="1:2">
      <c r="A53" s="1" t="str">
        <f ca="1">IFERROR(__xludf.DUMMYFUNCTION("""COMPUTED_VALUE"""),"川原慶久")</f>
        <v>川原慶久</v>
      </c>
      <c r="B53" s="1" t="str">
        <f ca="1">IFERROR(__xludf.DUMMYFUNCTION("""COMPUTED_VALUE"""),"•  『テニスの王子様』：橘桔平
•  『とある魔術の禁書目録』：青髪ピアス
•  『バキ』：愚地克巳
•  『日常』：笹原幸治郎
•  『アイドリッシュセブン』：姉鷺カオル
•  『ガールズ&amp;パンツァー』：秋山淳五郎")</f>
        <v>•  『テニスの王子様』：橘桔平
•  『とある魔術の禁書目録』：青髪ピアス
•  『バキ』：愚地克巳
•  『日常』：笹原幸治郎
•  『アイドリッシュセブン』：姉鷺カオル
•  『ガールズ&amp;パンツァー』：秋山淳五郎</v>
      </c>
    </row>
    <row r="54" spans="1:2">
      <c r="A54" s="1" t="str">
        <f ca="1">IFERROR(__xludf.DUMMYFUNCTION("""COMPUTED_VALUE"""),"神尾晋一郎")</f>
        <v>神尾晋一郎</v>
      </c>
      <c r="B54" s="1" t="str">
        <f ca="1">IFERROR(__xludf.DUMMYFUNCTION("""COMPUTED_VALUE"""),"•  『ヒプノシスマイク』：毒島メイソン理鶯
•  『あんさんぶるスターズ！』：鬼龍紅郎
•  『THE FIRST SLAM DUNK』：流川楓
•  『悪魔執事と黒い猫』：ボスキ・アリーナス
•  『世界はほしいモノにあふれてる』：ナレーション")</f>
        <v>•  『ヒプノシスマイク』：毒島メイソン理鶯
•  『あんさんぶるスターズ！』：鬼龍紅郎
•  『THE FIRST SLAM DUNK』：流川楓
•  『悪魔執事と黒い猫』：ボスキ・アリーナス
•  『世界はほしいモノにあふれてる』：ナレーション</v>
      </c>
    </row>
    <row r="55" spans="1:2">
      <c r="A55" s="1" t="str">
        <f ca="1">IFERROR(__xludf.DUMMYFUNCTION("""COMPUTED_VALUE"""),"木島隆一")</f>
        <v>木島隆一</v>
      </c>
      <c r="B55" s="1" t="str">
        <f ca="1">IFERROR(__xludf.DUMMYFUNCTION("""COMPUTED_VALUE"""),"•  『ヒプノシスマイク』：伊弉冉一二三
•  『BORUTO-ボルト- NARUTO NEXT GENERATIONS』：ミツキ
•  『転生したらスライムだった件』：ギド
•  『ありふれた職業で世界最強』：坂上龍太郎
•  『映画大好きポンポさん』：アラン
•  『ゴッドイーター』：空木レンカ")</f>
        <v>•  『ヒプノシスマイク』：伊弉冉一二三
•  『BORUTO-ボルト- NARUTO NEXT GENERATIONS』：ミツキ
•  『転生したらスライムだった件』：ギド
•  『ありふれた職業で世界最強』：坂上龍太郎
•  『映画大好きポンポさん』：アラン
•  『ゴッドイーター』：空木レンカ</v>
      </c>
    </row>
    <row r="56" spans="1:2">
      <c r="A56" s="1" t="str">
        <f ca="1">IFERROR(__xludf.DUMMYFUNCTION("""COMPUTED_VALUE"""),"木村昴")</f>
        <v>木村昴</v>
      </c>
      <c r="B56" s="1" t="str">
        <f ca="1">IFERROR(__xludf.DUMMYFUNCTION("""COMPUTED_VALUE"""),"•  『ドラえもん』：剛田武（ジャイアン）
•  『ヒプノシスマイク』：山田一郎
•  『呪術廻戦』：東堂葵
•  『ジョジョの奇妙な冒険 黄金の風』：ペッシ
•  『ハイキュー!!』：天童覚")</f>
        <v>•  『ドラえもん』：剛田武（ジャイアン）
•  『ヒプノシスマイク』：山田一郎
•  『呪術廻戦』：東堂葵
•  『ジョジョの奇妙な冒険 黄金の風』：ペッシ
•  『ハイキュー!!』：天童覚</v>
      </c>
    </row>
    <row r="57" spans="1:2">
      <c r="A57" s="1" t="str">
        <f ca="1">IFERROR(__xludf.DUMMYFUNCTION("""COMPUTED_VALUE"""),"木村太飛")</f>
        <v>木村太飛</v>
      </c>
      <c r="B57" s="1" t="str">
        <f ca="1">IFERROR(__xludf.DUMMYFUNCTION("""COMPUTED_VALUE"""),"•  『陰陽廻天 Re:バース』：業平猛
•  『HUNDRED LINE -最終防衛学園-』：澄野拓海
•  『朱色の仮面』：ペル・ダレスト
•  『最強の王様、二度目の人生は何をする？』：アダム・クレンシュ
•  『カグラバチ』：六平千鉱")</f>
        <v>•  『陰陽廻天 Re:バース』：業平猛
•  『HUNDRED LINE -最終防衛学園-』：澄野拓海
•  『朱色の仮面』：ペル・ダレスト
•  『最強の王様、二度目の人生は何をする？』：アダム・クレンシュ
•  『カグラバチ』：六平千鉱</v>
      </c>
    </row>
    <row r="58" spans="1:2">
      <c r="A58" s="1" t="str">
        <f ca="1">IFERROR(__xludf.DUMMYFUNCTION("""COMPUTED_VALUE"""),"木村良平")</f>
        <v>木村良平</v>
      </c>
      <c r="B58" s="1" t="str">
        <f ca="1">IFERROR(__xludf.DUMMYFUNCTION("""COMPUTED_VALUE"""),"•  『黒子のバスケ』：黄瀬涼太
•  『ハイキュー!!』：木兎光太郎
•  『魔道祖師』：魏無羨
•  『原神』：タルタリヤ
•  『DIABOLIK LOVERS』：無神コウ
•  『ツキウタ。』：霜月隼
•  『東のエデン』：滝沢朗")</f>
        <v>•  『黒子のバスケ』：黄瀬涼太
•  『ハイキュー!!』：木兎光太郎
•  『魔道祖師』：魏無羨
•  『原神』：タルタリヤ
•  『DIABOLIK LOVERS』：無神コウ
•  『ツキウタ。』：霜月隼
•  『東のエデン』：滝沢朗</v>
      </c>
    </row>
    <row r="59" spans="1:2">
      <c r="A59" s="1" t="str">
        <f ca="1">IFERROR(__xludf.DUMMYFUNCTION("""COMPUTED_VALUE"""),"楠大典")</f>
        <v>楠大典</v>
      </c>
      <c r="B59" s="1" t="str">
        <f ca="1">IFERROR(__xludf.DUMMYFUNCTION("""COMPUTED_VALUE"""),"•  『テニスの王子様』：真田弦一郎
•  『TIGER &amp; BUNNY』：アントニオ・ロペス（ロックバイソン）
•  『ONE PIECE』：ウルージ
•  『炎炎ノ消防隊』：レオナルド・バーンズ
•  『トランスフォーマー ギャラクシーフォース』：ギャラクシーコンボイ")</f>
        <v>•  『テニスの王子様』：真田弦一郎
•  『TIGER &amp; BUNNY』：アントニオ・ロペス（ロックバイソン）
•  『ONE PIECE』：ウルージ
•  『炎炎ノ消防隊』：レオナルド・バーンズ
•  『トランスフォーマー ギャラクシーフォース』：ギャラクシーコンボイ</v>
      </c>
    </row>
    <row r="60" spans="1:2">
      <c r="A60" s="1" t="str">
        <f ca="1">IFERROR(__xludf.DUMMYFUNCTION("""COMPUTED_VALUE"""),"熊谷俊輝")</f>
        <v>熊谷俊輝</v>
      </c>
      <c r="B60" s="1" t="str">
        <f ca="1">IFERROR(__xludf.DUMMYFUNCTION("""COMPUTED_VALUE"""),"•  『遊☆戯☆王ゴーラッシュ!!』：王道遊飛
•  『君は冥土様。』：横谷人好
•  『ライオン・キング』：シンバ（子供時代）
•  『18TRIP』：輝矢宗氏
•  『異世界黙示録マイノグーラ』：伊良拓斗")</f>
        <v>•  『遊☆戯☆王ゴーラッシュ!!』：王道遊飛
•  『君は冥土様。』：横谷人好
•  『ライオン・キング』：シンバ（子供時代）
•  『18TRIP』：輝矢宗氏
•  『異世界黙示録マイノグーラ』：伊良拓斗</v>
      </c>
    </row>
    <row r="61" spans="1:2">
      <c r="A61" s="1" t="str">
        <f ca="1">IFERROR(__xludf.DUMMYFUNCTION("""COMPUTED_VALUE"""),"熊谷健太郎")</f>
        <v>熊谷健太郎</v>
      </c>
      <c r="B61" s="1" t="str">
        <f ca="1">IFERROR(__xludf.DUMMYFUNCTION("""COMPUTED_VALUE"""),"•  『ダンジョン飯』：ライオス
•  『アイドルマスター SideM』：握野英雄
•  『A3!』：伏見臣
•  『機動戦士ガンダム 鉄血のオルフェンズ』：アストン・アルトランド
•  『ゴッド・オブ・ハイスクール』：ハン・デウィ
•  『グランクレスト戦記』：テオ・コルネーロ")</f>
        <v>•  『ダンジョン飯』：ライオス
•  『アイドルマスター SideM』：握野英雄
•  『A3!』：伏見臣
•  『機動戦士ガンダム 鉄血のオルフェンズ』：アストン・アルトランド
•  『ゴッド・オブ・ハイスクール』：ハン・デウィ
•  『グランクレスト戦記』：テオ・コルネーロ</v>
      </c>
    </row>
    <row r="62" spans="1:2">
      <c r="A62" s="1" t="str">
        <f ca="1">IFERROR(__xludf.DUMMYFUNCTION("""COMPUTED_VALUE"""),"草野太一")</f>
        <v>草野太一</v>
      </c>
      <c r="B62" s="1" t="str">
        <f ca="1">IFERROR(__xludf.DUMMYFUNCTION("""COMPUTED_VALUE"""),"•  『Fairy蘭丸～あなたの心お助けします～』：陸岡樹果
•  『あんさんぶるスターズ！！』：花群冬芽
•  『ワールドトリガー』：別役太一
•  『ジャックジャンヌ』：忍成稀
•  『美男高校地球防衛部ハイカラ！』：阿蘇空太
•  『JOCHUM』：マイクン")</f>
        <v>•  『Fairy蘭丸～あなたの心お助けします～』：陸岡樹果
•  『あんさんぶるスターズ！！』：花群冬芽
•  『ワールドトリガー』：別役太一
•  『ジャックジャンヌ』：忍成稀
•  『美男高校地球防衛部ハイカラ！』：阿蘇空太
•  『JOCHUM』：マイクン</v>
      </c>
    </row>
    <row r="63" spans="1:2">
      <c r="A63" s="1" t="str">
        <f ca="1">IFERROR(__xludf.DUMMYFUNCTION("""COMPUTED_VALUE"""),"小林大紀")</f>
        <v>小林大紀</v>
      </c>
      <c r="B63" s="1" t="str">
        <f ca="1">IFERROR(__xludf.DUMMYFUNCTION("""COMPUTED_VALUE"""),"•  『地縛少年花子くん』：ミツバ（三葉惣助）
•  『ナンバカ』：ニコ
•  『転生したらスライムだった件』：ヘルメス
•  『魔法使いの嫁』：ゾーイ・アイビー
•  『あんさんぶるスターズ！！』：天満光
•  『きのこいぬ』：きのこいぬ")</f>
        <v>•  『地縛少年花子くん』：ミツバ（三葉惣助）
•  『ナンバカ』：ニコ
•  『転生したらスライムだった件』：ヘルメス
•  『魔法使いの嫁』：ゾーイ・アイビー
•  『あんさんぶるスターズ！！』：天満光
•  『きのこいぬ』：きのこいぬ</v>
      </c>
    </row>
    <row r="64" spans="1:2">
      <c r="A64" s="1" t="str">
        <f ca="1">IFERROR(__xludf.DUMMYFUNCTION("""COMPUTED_VALUE"""),"小林千晃")</f>
        <v>小林千晃</v>
      </c>
      <c r="B64" s="1" t="str">
        <f ca="1">IFERROR(__xludf.DUMMYFUNCTION("""COMPUTED_VALUE"""),"•  『マッシュル-MASHLE-』：マッシュ・バーンデッド
•  『SK∞ エスケーエイト』：馳河ランガ
•  『地獄楽』：画眉丸
•  『葬送のフリーレン』：シュタルク
•  『憂国のモリアーティ』：ルイス・ジェームズ・モリアーティ
•  『クールドジ男子』：一倉颯
•  『30歳まで童貞だと魔法使いになれるらしい』：安達清")</f>
        <v>•  『マッシュル-MASHLE-』：マッシュ・バーンデッド
•  『SK∞ エスケーエイト』：馳河ランガ
•  『地獄楽』：画眉丸
•  『葬送のフリーレン』：シュタルク
•  『憂国のモリアーティ』：ルイス・ジェームズ・モリアーティ
•  『クールドジ男子』：一倉颯
•  『30歳まで童貞だと魔法使いになれるらしい』：安達清</v>
      </c>
    </row>
    <row r="65" spans="1:2">
      <c r="A65" s="1" t="str">
        <f ca="1">IFERROR(__xludf.DUMMYFUNCTION("""COMPUTED_VALUE"""),"小林親弘")</f>
        <v>小林親弘</v>
      </c>
      <c r="B65" s="1" t="s">
        <v>369</v>
      </c>
    </row>
    <row r="66" spans="1:2">
      <c r="A66" s="1" t="str">
        <f ca="1">IFERROR(__xludf.DUMMYFUNCTION("""COMPUTED_VALUE"""),"小林竜之")</f>
        <v>小林竜之</v>
      </c>
      <c r="B66" s="1" t="str">
        <f ca="1">IFERROR(__xludf.DUMMYFUNCTION("""COMPUTED_VALUE"""),"•  『アイドルタイムプリパラ』：三鷹アサヒ
•  『ディズニー ツイステッドワンダーランド』：ケイト・ダイヤモンド
•  『KING OF PRISM』：池袋エィス
•  『神クズ☆アイドル』：内濱アキラ
•  『でーじミーツガール』：すずきいちろう
•  『ひみつのアイプリ』：七浦すばる")</f>
        <v>•  『アイドルタイムプリパラ』：三鷹アサヒ
•  『ディズニー ツイステッドワンダーランド』：ケイト・ダイヤモンド
•  『KING OF PRISM』：池袋エィス
•  『神クズ☆アイドル』：内濱アキラ
•  『でーじミーツガール』：すずきいちろう
•  『ひみつのアイプリ』：七浦すばる</v>
      </c>
    </row>
    <row r="67" spans="1:2">
      <c r="A67" s="1" t="str">
        <f ca="1">IFERROR(__xludf.DUMMYFUNCTION("""COMPUTED_VALUE"""),"小林裕介")</f>
        <v>小林裕介</v>
      </c>
      <c r="B67" s="1" t="str">
        <f ca="1">IFERROR(__xludf.DUMMYFUNCTION("""COMPUTED_VALUE"""),"•  『Re:ゼロから始める異世界生活』：ナツキ・スバル
•  『Dr.STONE』：石神千空
•  『炎炎ノ消防隊』：アーサー・ボイル
•  『アルスラーン戦記』：アルスラーン
•  『ファイアーエムブレム 風花雪月』：ベレト
•  『Paradox Live』：矢戸乃上珂波汰")</f>
        <v>•  『Re:ゼロから始める異世界生活』：ナツキ・スバル
•  『Dr.STONE』：石神千空
•  『炎炎ノ消防隊』：アーサー・ボイル
•  『アルスラーン戦記』：アルスラーン
•  『ファイアーエムブレム 風花雪月』：ベレト
•  『Paradox Live』：矢戸乃上珂波汰</v>
      </c>
    </row>
    <row r="68" spans="1:2">
      <c r="A68" s="1" t="str">
        <f ca="1">IFERROR(__xludf.DUMMYFUNCTION("""COMPUTED_VALUE"""),"小松昌平")</f>
        <v>小松昌平</v>
      </c>
      <c r="B68" s="1" t="str">
        <f ca="1">IFERROR(__xludf.DUMMYFUNCTION("""COMPUTED_VALUE"""),"•  『アイドルマスター SideM』：牙崎漣
•  『賢者の孫』：アウグスト＝フォン＝アールスハイド
•  『number24』：都留靖也
•  『葬送のフリーレン』：ラント
•  『SHOW BY ROCK!!』：ハッチン
•  『刀剣乱舞』：肥前忠広")</f>
        <v>•  『アイドルマスター SideM』：牙崎漣
•  『賢者の孫』：アウグスト＝フォン＝アールスハイド
•  『number24』：都留靖也
•  『葬送のフリーレン』：ラント
•  『SHOW BY ROCK!!』：ハッチン
•  『刀剣乱舞』：肥前忠広</v>
      </c>
    </row>
    <row r="69" spans="1:2">
      <c r="A69" s="1" t="str">
        <f ca="1">IFERROR(__xludf.DUMMYFUNCTION("""COMPUTED_VALUE"""),"駒田航")</f>
        <v>駒田航</v>
      </c>
      <c r="B69" s="1" t="str">
        <f ca="1">IFERROR(__xludf.DUMMYFUNCTION("""COMPUTED_VALUE"""),"•  『ヒプノシスマイク』：入間銃兎
•  『アイドルマスター SideM』：古論クリス
•  『あんさんぶるスターズ！』：椚章臣
•  『ディズニー ツイステッドワンダーランド』：ジェイド・リーチ
•  『華Doll＊』：チセ")</f>
        <v>•  『ヒプノシスマイク』：入間銃兎
•  『アイドルマスター SideM』：古論クリス
•  『あんさんぶるスターズ！』：椚章臣
•  『ディズニー ツイステッドワンダーランド』：ジェイド・リーチ
•  『華Doll＊』：チセ</v>
      </c>
    </row>
    <row r="70" spans="1:2">
      <c r="A70" s="1" t="str">
        <f ca="1">IFERROR(__xludf.DUMMYFUNCTION("""COMPUTED_VALUE"""),"小西克幸")</f>
        <v>小西克幸</v>
      </c>
      <c r="B70" s="1" t="str">
        <f ca="1">IFERROR(__xludf.DUMMYFUNCTION("""COMPUTED_VALUE"""),"•  『鬼滅の刃』：宇髄天元
•  『ヘタリア』：アメリカ
•  『テイルズ オブ シンフォニア』：ロイド・アーヴィング
•  『べるぜバブ』：男鹿辰巳
•  『ゴールデンカムイ』：鯉登音之進
•  『薬屋のひとりごと』：高順
•  『天元突破グレンラガン』：カミナ")</f>
        <v>•  『鬼滅の刃』：宇髄天元
•  『ヘタリア』：アメリカ
•  『テイルズ オブ シンフォニア』：ロイド・アーヴィング
•  『べるぜバブ』：男鹿辰巳
•  『ゴールデンカムイ』：鯉登音之進
•  『薬屋のひとりごと』：高順
•  『天元突破グレンラガン』：カミナ</v>
      </c>
    </row>
    <row r="71" spans="1:2">
      <c r="A71" s="1" t="str">
        <f ca="1">IFERROR(__xludf.DUMMYFUNCTION("""COMPUTED_VALUE"""),"子安武人")</f>
        <v>子安武人</v>
      </c>
      <c r="B71" s="1" t="str">
        <f ca="1">IFERROR(__xludf.DUMMYFUNCTION("""COMPUTED_VALUE"""),"•  『ジョジョの奇妙な冒険』：ディオ・ブランドー／DIO
•  『銀魂』：高杉晋助
•  『進撃の巨人』：ジーク・イェーガー
•  『新機動戦記ガンダムW』：ゼクス・マーキス
•  『機動戦士ガンダムSEED』：ムウ・ラ・フラガ
•  『ONE PIECE』：クザン（青キジ）
•  『Re:ゼロから始める異世界生活』：ロズワール・L・メイザース")</f>
        <v>•  『ジョジョの奇妙な冒険』：ディオ・ブランドー／DIO
•  『銀魂』：高杉晋助
•  『進撃の巨人』：ジーク・イェーガー
•  『新機動戦記ガンダムW』：ゼクス・マーキス
•  『機動戦士ガンダムSEED』：ムウ・ラ・フラガ
•  『ONE PIECE』：クザン（青キジ）
•  『Re:ゼロから始める異世界生活』：ロズワール・L・メイザース</v>
      </c>
    </row>
    <row r="72" spans="1:2">
      <c r="A72" s="1" t="str">
        <f ca="1">IFERROR(__xludf.DUMMYFUNCTION("""COMPUTED_VALUE"""),"近藤隆")</f>
        <v>近藤隆</v>
      </c>
      <c r="B72" s="1" t="str">
        <f ca="1">IFERROR(__xludf.DUMMYFUNCTION("""COMPUTED_VALUE"""),"•  『家庭教師ヒットマンREBORN!』：雲雀恭弥
•  『アイドリッシュセブン』：御堂虎於
•  『世界一初恋』：小野寺律
•  『DIABOLIK LOVERS』：逆巻スバル
•  『ツキウタ。』：長月夜
•  『BLACK CAT』：トレイン＝ハートネット")</f>
        <v>•  『家庭教師ヒットマンREBORN!』：雲雀恭弥
•  『アイドリッシュセブン』：御堂虎於
•  『世界一初恋』：小野寺律
•  『DIABOLIK LOVERS』：逆巻スバル
•  『ツキウタ。』：長月夜
•  『BLACK CAT』：トレイン＝ハートネット</v>
      </c>
    </row>
    <row r="73" spans="1:2">
      <c r="A73" s="1" t="str">
        <f ca="1">IFERROR(__xludf.DUMMYFUNCTION("""COMPUTED_VALUE"""),"河本啓佑")</f>
        <v>河本啓佑</v>
      </c>
      <c r="B73" s="1" t="str">
        <f ca="1">IFERROR(__xludf.DUMMYFUNCTION("""COMPUTED_VALUE"""),"•  『美男高校地球防衛部LOVE! LOVE!』：別府月彦
•  『サイボーグ009 CALL OF JUSTICE』：009／島村ジョー
•  『私がモテてどうすんだ』：七島希
•  『BORUTO-ボルト-』：枸橘かぐら
•  『RobiHachi』：ハッチ・キタ
•  『怪獣8号』：出雲ハルイチ")</f>
        <v>•  『美男高校地球防衛部LOVE! LOVE!』：別府月彦
•  『サイボーグ009 CALL OF JUSTICE』：009／島村ジョー
•  『私がモテてどうすんだ』：七島希
•  『BORUTO-ボルト-』：枸橘かぐら
•  『RobiHachi』：ハッチ・キタ
•  『怪獣8号』：出雲ハルイチ</v>
      </c>
    </row>
    <row r="74" spans="1:2">
      <c r="A74" s="1" t="str">
        <f ca="1">IFERROR(__xludf.DUMMYFUNCTION("""COMPUTED_VALUE"""),"斉藤壮馬")</f>
        <v>斉藤壮馬</v>
      </c>
      <c r="B74" s="1" t="str">
        <f ca="1">IFERROR(__xludf.DUMMYFUNCTION("""COMPUTED_VALUE"""),"•  『ヒプノシスマイク』：夢野幻太郎
•  『アイドリッシュセブン』：九条天
•  『るろうに剣心 -明治剣客浪漫譚-』：緋村剣心
•  『ブルーロック』：千切豹馬
•  『ハイキュー!!』：山口忠
•  『刀剣乱舞』：鶴丸国永
•  『あんさんぶるスターズ！』：葵ひなた／葵ゆうた")</f>
        <v>•  『ヒプノシスマイク』：夢野幻太郎
•  『アイドリッシュセブン』：九条天
•  『るろうに剣心 -明治剣客浪漫譚-』：緋村剣心
•  『ブルーロック』：千切豹馬
•  『ハイキュー!!』：山口忠
•  『刀剣乱舞』：鶴丸国永
•  『あんさんぶるスターズ！』：葵ひなた／葵ゆうた</v>
      </c>
    </row>
    <row r="75" spans="1:2">
      <c r="A75" s="1" t="str">
        <f ca="1">IFERROR(__xludf.DUMMYFUNCTION("""COMPUTED_VALUE"""),"酒井広大")</f>
        <v>酒井広大</v>
      </c>
      <c r="B75" s="1" t="str">
        <f ca="1">IFERROR(__xludf.DUMMYFUNCTION("""COMPUTED_VALUE"""),"•  『A3!』：佐久間咲也
•  『シャドーハウス』：ジョン／ショーン
•  『時々ボソッとロシア語でデレる隣のアーリャさん』：丸山毅
•  『誰ソ彼ホテル』：阿鳥遥斗
•  『オッドタクシー』：今井
•  『迷家-マヨイガ-』：光宗")</f>
        <v>•  『A3!』：佐久間咲也
•  『シャドーハウス』：ジョン／ショーン
•  『時々ボソッとロシア語でデレる隣のアーリャさん』：丸山毅
•  『誰ソ彼ホテル』：阿鳥遥斗
•  『オッドタクシー』：今井
•  『迷家-マヨイガ-』：光宗</v>
      </c>
    </row>
    <row r="76" spans="1:2">
      <c r="A76" s="1" t="str">
        <f ca="1">IFERROR(__xludf.DUMMYFUNCTION("""COMPUTED_VALUE"""),"坂泰斗")</f>
        <v>坂泰斗</v>
      </c>
      <c r="B76" s="1" t="str">
        <f ca="1">IFERROR(__xludf.DUMMYFUNCTION("""COMPUTED_VALUE"""),"•  『お隣の天使様にいつの間にか駄目人間にされていた件』：藤宮周
•  『ディズニー ツイステッドワンダーランド』：ジャック・ハウル
•  『ギヴン』：八木玄純
•  『俺だけレベルアップな件』：水篠旬
•  『転生貴族、鑑定スキルで成り上がる』：リーツ・ミューセス
•  『悪魔執事と黒い猫』：ハウレス・クリフォード")</f>
        <v>•  『お隣の天使様にいつの間にか駄目人間にされていた件』：藤宮周
•  『ディズニー ツイステッドワンダーランド』：ジャック・ハウル
•  『ギヴン』：八木玄純
•  『俺だけレベルアップな件』：水篠旬
•  『転生貴族、鑑定スキルで成り上がる』：リーツ・ミューセス
•  『悪魔執事と黒い猫』：ハウレス・クリフォード</v>
      </c>
    </row>
    <row r="77" spans="1:2">
      <c r="A77" s="1" t="str">
        <f ca="1">IFERROR(__xludf.DUMMYFUNCTION("""COMPUTED_VALUE"""),"坂田将吾")</f>
        <v>坂田将吾</v>
      </c>
      <c r="B77" s="1" t="str">
        <f ca="1">IFERROR(__xludf.DUMMYFUNCTION("""COMPUTED_VALUE"""),"•  『チェンソーマン』：早川アキ
•  『Fairy蘭丸～あなたの心お助けします～』：阿以蘭丸
•  『転生王女と天才令嬢の魔法革命』：アルガルド・ボナ・パレッティア
•  『千歳くんはラムネ瓶のなか』：千歳朔
•  『悪魔執事と黒い猫』：フェネス・オズワルド
•  『桃源暗鬼』：矢颪碇")</f>
        <v>•  『チェンソーマン』：早川アキ
•  『Fairy蘭丸～あなたの心お助けします～』：阿以蘭丸
•  『転生王女と天才令嬢の魔法革命』：アルガルド・ボナ・パレッティア
•  『千歳くんはラムネ瓶のなか』：千歳朔
•  『悪魔執事と黒い猫』：フェネス・オズワルド
•  『桃源暗鬼』：矢颪碇</v>
      </c>
    </row>
    <row r="78" spans="1:2">
      <c r="A78" s="1" t="str">
        <f ca="1">IFERROR(__xludf.DUMMYFUNCTION("""COMPUTED_VALUE"""),"榊原優希")</f>
        <v>榊原優希</v>
      </c>
      <c r="B78" s="1" t="str">
        <f ca="1">IFERROR(__xludf.DUMMYFUNCTION("""COMPUTED_VALUE"""),"•  『ヒプノシスマイク』：四十物十四
•  『デッドマウント・デスプレイ』：四乃山ポルカ
•  『呪術廻戦』：星綺羅羅
•  『シャドウバースF』：白銀ミカド
•  『異世界ワンターンキル姉さん』：軍場朝陽
•  『リコリス・リコイル』：ロボ太")</f>
        <v>•  『ヒプノシスマイク』：四十物十四
•  『デッドマウント・デスプレイ』：四乃山ポルカ
•  『呪術廻戦』：星綺羅羅
•  『シャドウバースF』：白銀ミカド
•  『異世界ワンターンキル姉さん』：軍場朝陽
•  『リコリス・リコイル』：ロボ太</v>
      </c>
    </row>
    <row r="79" spans="1:2">
      <c r="A79" s="1" t="str">
        <f ca="1">IFERROR(__xludf.DUMMYFUNCTION("""COMPUTED_VALUE"""),"阪口大助")</f>
        <v>阪口大助</v>
      </c>
      <c r="B79" s="1" t="str">
        <f ca="1">IFERROR(__xludf.DUMMYFUNCTION("""COMPUTED_VALUE"""),"•  『銀魂』：志村新八
•  『機動戦士Vガンダム』：ウッソ・エヴィン
•  『血界戦線』：レオナルド・ウォッチ
•  『CLANNAD』：春原陽平
•  『炎炎ノ消防隊』：ヴィクトル・リヒト
•  『あたしンち』：立花ユズヒコ
•  『氷菓』：福部里志")</f>
        <v>•  『銀魂』：志村新八
•  『機動戦士Vガンダム』：ウッソ・エヴィン
•  『血界戦線』：レオナルド・ウォッチ
•  『CLANNAD』：春原陽平
•  『炎炎ノ消防隊』：ヴィクトル・リヒト
•  『あたしンち』：立花ユズヒコ
•  『氷菓』：福部里志</v>
      </c>
    </row>
    <row r="80" spans="1:2">
      <c r="A80" s="1" t="str">
        <f ca="1">IFERROR(__xludf.DUMMYFUNCTION("""COMPUTED_VALUE"""),"櫻井トオル")</f>
        <v>櫻井トオル</v>
      </c>
      <c r="B80" s="1" t="str">
        <f ca="1">IFERROR(__xludf.DUMMYFUNCTION("""COMPUTED_VALUE"""),"•  『ハイキュー!!』：花巻貴大
•  『銀の匙 Silver Spoon』：駒場一郎
•  『ドラゴンボールDAIMA』：ミスター・サタン
•  『刀剣乱舞』：同田貫正国／蜻蛉切
•  『SHAMAN KING』：李白竜
•  『THE FIRST SLAM DUNK』：潮崎哲士")</f>
        <v>•  『ハイキュー!!』：花巻貴大
•  『銀の匙 Silver Spoon』：駒場一郎
•  『ドラゴンボールDAIMA』：ミスター・サタン
•  『刀剣乱舞』：同田貫正国／蜻蛉切
•  『SHAMAN KING』：李白竜
•  『THE FIRST SLAM DUNK』：潮崎哲士</v>
      </c>
    </row>
    <row r="81" spans="1:2">
      <c r="A81" s="1" t="str">
        <f ca="1">IFERROR(__xludf.DUMMYFUNCTION("""COMPUTED_VALUE"""),"佐藤拓也")</f>
        <v>佐藤拓也</v>
      </c>
      <c r="B81" s="1" t="str">
        <f ca="1">IFERROR(__xludf.DUMMYFUNCTION("""COMPUTED_VALUE"""),"•  『アイドリッシュセブン』：十龍之介
•  『カードファイト!! ヴァンガード』：櫂トシキ
•  『ジョジョの奇妙な冒険』：シーザー・アントニオ・ツェペリ
•  『憂国のモリアーティ』：アルバート・ジェームズ・モリアーティ
•  『刀剣乱舞』：燭台切光忠
•  『魔入りました！入間くん』：サブノック・サブロ
•  『キャプテン翼』：日向小次郎")</f>
        <v>•  『アイドリッシュセブン』：十龍之介
•  『カードファイト!! ヴァンガード』：櫂トシキ
•  『ジョジョの奇妙な冒険』：シーザー・アントニオ・ツェペリ
•  『憂国のモリアーティ』：アルバート・ジェームズ・モリアーティ
•  『刀剣乱舞』：燭台切光忠
•  『魔入りました！入間くん』：サブノック・サブロ
•  『キャプテン翼』：日向小次郎</v>
      </c>
    </row>
    <row r="82" spans="1:2">
      <c r="A82" s="1" t="str">
        <f ca="1">IFERROR(__xludf.DUMMYFUNCTION("""COMPUTED_VALUE"""),"佐藤祐吾")</f>
        <v>佐藤祐吾</v>
      </c>
      <c r="B82" s="1" t="str">
        <f ca="1">IFERROR(__xludf.DUMMYFUNCTION("""COMPUTED_VALUE"""),"•  『雨色ココア』：都倉望
•  『ACTORS -Songs Connection-』：新木完
•  『遊☆戯☆王SEVENS』：加山シュベール
•  『シュート！ Goal to the Future』：松橋圭
•  『18TRIP』：衣川季肋")</f>
        <v>•  『雨色ココア』：都倉望
•  『ACTORS -Songs Connection-』：新木完
•  『遊☆戯☆王SEVENS』：加山シュベール
•  『シュート！ Goal to the Future』：松橋圭
•  『18TRIP』：衣川季肋</v>
      </c>
    </row>
    <row r="83" spans="1:2">
      <c r="A83" s="1" t="str">
        <f ca="1">IFERROR(__xludf.DUMMYFUNCTION("""COMPUTED_VALUE"""),"沢城千春")</f>
        <v>沢城千春</v>
      </c>
      <c r="B83" s="1" t="str">
        <f ca="1">IFERROR(__xludf.DUMMYFUNCTION("""COMPUTED_VALUE"""),"•  『A3!』：摂津万里
•  『Caligula』：式島律
•  『トライブナイン』：タイガ
•  『ラブ米 -WE LOVE RICE-』：ささにしき
•  『スタンドマイヒーローズ』：九条壮馬
•  『チア男子!!』：安藤タケル")</f>
        <v>•  『A3!』：摂津万里
•  『Caligula』：式島律
•  『トライブナイン』：タイガ
•  『ラブ米 -WE LOVE RICE-』：ささにしき
•  『スタンドマイヒーローズ』：九条壮馬
•  『チア男子!!』：安藤タケル</v>
      </c>
    </row>
    <row r="84" spans="1:2">
      <c r="A84" s="1" t="str">
        <f ca="1">IFERROR(__xludf.DUMMYFUNCTION("""COMPUTED_VALUE"""),"重松千晴")</f>
        <v>重松千晴</v>
      </c>
      <c r="B84" s="1" t="str">
        <f ca="1">IFERROR(__xludf.DUMMYFUNCTION("""COMPUTED_VALUE"""),"•  『あんさんぶるスターズ！！』：礼瀬マヨイ
•  『神様になった日』：鈴木央人
•  『神之塔 -Tower of God-』：ベータ
•  『クレバテス-魔獣の王と赤子と屍の勇者-』：メイナード")</f>
        <v>•  『あんさんぶるスターズ！！』：礼瀬マヨイ
•  『神様になった日』：鈴木央人
•  『神之塔 -Tower of God-』：ベータ
•  『クレバテス-魔獣の王と赤子と屍の勇者-』：メイナード</v>
      </c>
    </row>
    <row r="85" spans="1:2">
      <c r="A85" s="1" t="str">
        <f ca="1">IFERROR(__xludf.DUMMYFUNCTION("""COMPUTED_VALUE"""),"島﨑信長")</f>
        <v>島﨑信長</v>
      </c>
      <c r="B85" s="1" t="str">
        <f ca="1">IFERROR(__xludf.DUMMYFUNCTION("""COMPUTED_VALUE"""),"•  『Free!』：七瀬遙
•  『ブルーロック』：凪誠士郎
•  『フルーツバスケット』：草摩由希
•  『呪術廻戦』：真人
•  『ダイヤのA』：降谷暁
•  『デート・ア・ライブ』：五河士道
•  『ブラッククローバー』：ユノ
•  『WIND BREAKER』：蘇枋隼飛")</f>
        <v>•  『Free!』：七瀬遙
•  『ブルーロック』：凪誠士郎
•  『フルーツバスケット』：草摩由希
•  『呪術廻戦』：真人
•  『ダイヤのA』：降谷暁
•  『デート・ア・ライブ』：五河士道
•  『ブラッククローバー』：ユノ
•  『WIND BREAKER』：蘇枋隼飛</v>
      </c>
    </row>
    <row r="86" spans="1:2">
      <c r="A86" s="1" t="str">
        <f ca="1">IFERROR(__xludf.DUMMYFUNCTION("""COMPUTED_VALUE"""),"下野紘")</f>
        <v>下野紘</v>
      </c>
      <c r="B86" s="1" t="str">
        <f ca="1">IFERROR(__xludf.DUMMYFUNCTION("""COMPUTED_VALUE"""),"•  『鬼滅の刃』：我妻善逸
•  『うたの☆プリンスさまっ♪』：来栖翔
•  『僕のヒーローアカデミア』：荼毘
•  『進撃の巨人』：コニー・スプリンガー
•  『バカとテストと召喚獣』：吉井明久
•  『ACCA13区監察課』：ジーン・オータス")</f>
        <v>•  『鬼滅の刃』：我妻善逸
•  『うたの☆プリンスさまっ♪』：来栖翔
•  『僕のヒーローアカデミア』：荼毘
•  『進撃の巨人』：コニー・スプリンガー
•  『バカとテストと召喚獣』：吉井明久
•  『ACCA13区監察課』：ジーン・オータス</v>
      </c>
    </row>
    <row r="87" spans="1:2">
      <c r="A87" s="1" t="str">
        <f ca="1">IFERROR(__xludf.DUMMYFUNCTION("""COMPUTED_VALUE"""),"白井悠介")</f>
        <v>白井悠介</v>
      </c>
      <c r="B87" s="1" t="str">
        <f ca="1">IFERROR(__xludf.DUMMYFUNCTION("""COMPUTED_VALUE"""),"•  『ヒプノシスマイク』：飴村乱数
•  『アイドリッシュセブン』：二階堂大和
•  『佐々木と宮野』：佐々木秀鳴
•  『美男高校地球防衛部LOVE!』：鳴子硫黄
•  『戦闘員、派遣します!』：戦闘員六号
•  『誰ソ彼ホテル』：大外聖生")</f>
        <v>•  『ヒプノシスマイク』：飴村乱数
•  『アイドリッシュセブン』：二階堂大和
•  『佐々木と宮野』：佐々木秀鳴
•  『美男高校地球防衛部LOVE!』：鳴子硫黄
•  『戦闘員、派遣します!』：戦闘員六号
•  『誰ソ彼ホテル』：大外聖生</v>
      </c>
    </row>
    <row r="88" spans="1:2">
      <c r="A88" s="1" t="str">
        <f ca="1">IFERROR(__xludf.DUMMYFUNCTION("""COMPUTED_VALUE"""),"杉田智和")</f>
        <v>杉田智和</v>
      </c>
      <c r="B88" s="1" t="str">
        <f ca="1">IFERROR(__xludf.DUMMYFUNCTION("""COMPUTED_VALUE"""),"•  『銀魂』：坂田銀時
•  『涼宮ハルヒの憂鬱』：キョン
•  『ジョジョの奇妙な冒険』：ジョセフ・ジョースター
•  『無職転生 ～異世界行ったら本気だす～』：前世の男
•  『鬼滅の刃』：悲鳴嶼行冥
•  『七つの大罪』：エスカノール
•  『SAKAMOTO DAYS』：坂本太郎")</f>
        <v>•  『銀魂』：坂田銀時
•  『涼宮ハルヒの憂鬱』：キョン
•  『ジョジョの奇妙な冒険』：ジョセフ・ジョースター
•  『無職転生 ～異世界行ったら本気だす～』：前世の男
•  『鬼滅の刃』：悲鳴嶼行冥
•  『七つの大罪』：エスカノール
•  『SAKAMOTO DAYS』：坂本太郎</v>
      </c>
    </row>
    <row r="89" spans="1:2">
      <c r="A89" s="1" t="str">
        <f ca="1">IFERROR(__xludf.DUMMYFUNCTION("""COMPUTED_VALUE"""),"杉山紀彰")</f>
        <v>杉山紀彰</v>
      </c>
      <c r="B89" s="1" t="str">
        <f ca="1">IFERROR(__xludf.DUMMYFUNCTION("""COMPUTED_VALUE"""),"•  『NARUTO -ナルト-』：うちはサスケ
•  『BLEACH』：石田雨竜
•  『Fate/stay night』：衛宮士郎
•  『ヘタリア』：イギリス
•  『魔法使いの約束』：ネロ
•  『ONE PIECE』：ヴィンスモーク・イチジ
•  『ディズニー ツイステッドワンダーランド』：グリム")</f>
        <v>•  『NARUTO -ナルト-』：うちはサスケ
•  『BLEACH』：石田雨竜
•  『Fate/stay night』：衛宮士郎
•  『ヘタリア』：イギリス
•  『魔法使いの約束』：ネロ
•  『ONE PIECE』：ヴィンスモーク・イチジ
•  『ディズニー ツイステッドワンダーランド』：グリム</v>
      </c>
    </row>
    <row r="90" spans="1:2">
      <c r="A90" s="1" t="str">
        <f ca="1">IFERROR(__xludf.DUMMYFUNCTION("""COMPUTED_VALUE"""),"鈴木千尋")</f>
        <v>鈴木千尋</v>
      </c>
      <c r="B90" s="1" t="str">
        <f ca="1">IFERROR(__xludf.DUMMYFUNCTION("""COMPUTED_VALUE"""),"•  『彼氏彼女の事情』：有馬総一郎
•  『エルフェンリート』：コウタ
•  『砂ぼうず』：砂ぼうず
•  『テニスの王子様』：神尾アキラ
•  『Free!』：鴫野貴澄
•  『プリパラ』：クマ
•  『テイルズ オブ ジ アビス』：ルーク・フォン・ファブレ")</f>
        <v>•  『彼氏彼女の事情』：有馬総一郎
•  『エルフェンリート』：コウタ
•  『砂ぼうず』：砂ぼうず
•  『テニスの王子様』：神尾アキラ
•  『Free!』：鴫野貴澄
•  『プリパラ』：クマ
•  『テイルズ オブ ジ アビス』：ルーク・フォン・ファブレ</v>
      </c>
    </row>
    <row r="91" spans="1:2">
      <c r="A91" s="1" t="str">
        <f ca="1">IFERROR(__xludf.DUMMYFUNCTION("""COMPUTED_VALUE"""),"鈴木裕斗")</f>
        <v>鈴木裕斗</v>
      </c>
      <c r="B91" s="1" t="str">
        <f ca="1">IFERROR(__xludf.DUMMYFUNCTION("""COMPUTED_VALUE"""),"•  『刀剣乱舞』：骨喰藤四郎
•  『SERVAMP-サーヴァンプ-』：綿貫桜哉
•  『ブラッククローバー』：レブチ・サリーク
•  『魔界王子 devils and realist』：マモン
•  『Dance with Devils』：ジェキ
•  『シンカリオン チェンジ ザ ワールド』：岩手カケル")</f>
        <v>•  『刀剣乱舞』：骨喰藤四郎
•  『SERVAMP-サーヴァンプ-』：綿貫桜哉
•  『ブラッククローバー』：レブチ・サリーク
•  『魔界王子 devils and realist』：マモン
•  『Dance with Devils』：ジェキ
•  『シンカリオン チェンジ ザ ワールド』：岩手カケル</v>
      </c>
    </row>
    <row r="92" spans="1:2">
      <c r="A92" s="1" t="str">
        <f ca="1">IFERROR(__xludf.DUMMYFUNCTION("""COMPUTED_VALUE"""),"鈴木崚汰")</f>
        <v>鈴木崚汰</v>
      </c>
      <c r="B92" s="1" t="str">
        <f ca="1">IFERROR(__xludf.DUMMYFUNCTION("""COMPUTED_VALUE"""),"•  『Dr.STONE』：七海龍水
•  『錆喰いビスコ』：赤星ビスコ
•  『かぐや様は告らせたい～天才たちの恋愛頭脳戦～』：石上優
•  『勇気爆発バーンブレイバーン』：イサミ・アオ
•  『ディズニー ツイステッドワンダーランド』：トレイ・クローバー
•  『地獄楽』：山田浅ェ門殊現
•  『SAKAMOTO DAYS』：眞霜平助
•  『ドラゴンボールDAIMA』：ヤムチャ（2代目）")</f>
        <v>•  『Dr.STONE』：七海龍水
•  『錆喰いビスコ』：赤星ビスコ
•  『かぐや様は告らせたい～天才たちの恋愛頭脳戦～』：石上優
•  『勇気爆発バーンブレイバーン』：イサミ・アオ
•  『ディズニー ツイステッドワンダーランド』：トレイ・クローバー
•  『地獄楽』：山田浅ェ門殊現
•  『SAKAMOTO DAYS』：眞霜平助
•  『ドラゴンボールDAIMA』：ヤムチャ（2代目）</v>
      </c>
    </row>
    <row r="93" spans="1:2">
      <c r="A93" s="1" t="str">
        <f ca="1">IFERROR(__xludf.DUMMYFUNCTION("""COMPUTED_VALUE"""),"諏訪部順一")</f>
        <v>諏訪部順一</v>
      </c>
      <c r="B93" s="1" t="str">
        <f ca="1">IFERROR(__xludf.DUMMYFUNCTION("""COMPUTED_VALUE"""),"•  『テニスの王子様』：跡部景吾
•  『Fate/stay night』：アーチャー
•  『うたの☆プリンスさまっ♪』：神宮寺レン
•  『ユーリ!!! on ICE』：ヴィクトル・ニキフォロフ
•  『呪術廻戦』：両面宿儺
•  『黒執事』：アンダーテイカー
•  『BLEACH』：グリムジョー・ジャガージャック
•  『僕のヒーローアカデミア』：相澤消太")</f>
        <v>•  『テニスの王子様』：跡部景吾
•  『Fate/stay night』：アーチャー
•  『うたの☆プリンスさまっ♪』：神宮寺レン
•  『ユーリ!!! on ICE』：ヴィクトル・ニキフォロフ
•  『呪術廻戦』：両面宿儺
•  『黒執事』：アンダーテイカー
•  『BLEACH』：グリムジョー・ジャガージャック
•  『僕のヒーローアカデミア』：相澤消太</v>
      </c>
    </row>
    <row r="94" spans="1:2">
      <c r="A94" s="1" t="str">
        <f ca="1">IFERROR(__xludf.DUMMYFUNCTION("""COMPUTED_VALUE"""),"関俊彦")</f>
        <v>関俊彦</v>
      </c>
      <c r="B94" s="1" t="str">
        <f ca="1">IFERROR(__xludf.DUMMYFUNCTION("""COMPUTED_VALUE"""),"•  『最遊記』：玄奘三蔵
•  『忍たま乱太郎』：土井半助
•  『仮面ライダー電王』：モモタロス
•  『鬼滅の刃』：鬼舞辻無惨
•  『新機動戦記ガンダムW』：デュオ・マックスウェル
•  『キルラキル』：鮮血
•  『NARUTO -ナルト-』：うみのイルカ")</f>
        <v>•  『最遊記』：玄奘三蔵
•  『忍たま乱太郎』：土井半助
•  『仮面ライダー電王』：モモタロス
•  『鬼滅の刃』：鬼舞辻無惨
•  『新機動戦記ガンダムW』：デュオ・マックスウェル
•  『キルラキル』：鮮血
•  『NARUTO -ナルト-』：うみのイルカ</v>
      </c>
    </row>
    <row r="95" spans="1:2">
      <c r="A95" s="1" t="str">
        <f ca="1">IFERROR(__xludf.DUMMYFUNCTION("""COMPUTED_VALUE"""),"高坂知也")</f>
        <v>高坂知也</v>
      </c>
      <c r="B95" s="1" t="str">
        <f ca="1">IFERROR(__xludf.DUMMYFUNCTION("""COMPUTED_VALUE"""),"•  『あんさんぶるスターズ！』：紫之創
•  『SHOW BY ROCK!!』：はっくん
•  『ガンダムビルドファイターズトライ』：シキ・カズヤ")</f>
        <v>•  『あんさんぶるスターズ！』：紫之創
•  『SHOW BY ROCK!!』：はっくん
•  『ガンダムビルドファイターズトライ』：シキ・カズヤ</v>
      </c>
    </row>
    <row r="96" spans="1:2">
      <c r="A96" s="1" t="str">
        <f ca="1">IFERROR(__xludf.DUMMYFUNCTION("""COMPUTED_VALUE"""),"高城元気")</f>
        <v>高城元気</v>
      </c>
      <c r="B96" s="1" t="str">
        <f ca="1">IFERROR(__xludf.DUMMYFUNCTION("""COMPUTED_VALUE"""),"•  『ef - a tale of memories.』：麻生蓮治
•  『CLAYMORE』：ラキ
•  『宇宙戦艦ヤマト2199』：星名透
•  『BRAVE10』：由利鎌之介
•  『刀剣乱舞』：毛利藤四郎
•  『ヘタリア』：香港
•  『千銃士』：フルサト")</f>
        <v>•  『ef - a tale of memories.』：麻生蓮治
•  『CLAYMORE』：ラキ
•  『宇宙戦艦ヤマト2199』：星名透
•  『BRAVE10』：由利鎌之介
•  『刀剣乱舞』：毛利藤四郎
•  『ヘタリア』：香港
•  『千銃士』：フルサト</v>
      </c>
    </row>
    <row r="97" spans="1:2">
      <c r="A97" s="1" t="str">
        <f ca="1">IFERROR(__xludf.DUMMYFUNCTION("""COMPUTED_VALUE"""),"高塚智人")</f>
        <v>高塚智人</v>
      </c>
      <c r="B97" s="1" t="str">
        <f ca="1">IFERROR(__xludf.DUMMYFUNCTION("""COMPUTED_VALUE"""),"•  『アイドルマスター SideM』：渡辺みのり
•  『スタンドマイヒーローズ』：荒木田蒼生
•  『ALL OUT!!』：大比叡太一
•  『指先から本気の熱情-幼なじみは消防士-』：泉友貴
•  『王子の本命は悪役令嬢』：シリウス・イヴェール")</f>
        <v>•  『アイドルマスター SideM』：渡辺みのり
•  『スタンドマイヒーローズ』：荒木田蒼生
•  『ALL OUT!!』：大比叡太一
•  『指先から本気の熱情-幼なじみは消防士-』：泉友貴
•  『王子の本命は悪役令嬢』：シリウス・イヴェール</v>
      </c>
    </row>
    <row r="98" spans="1:2">
      <c r="A98" s="1" t="str">
        <f ca="1">IFERROR(__xludf.DUMMYFUNCTION("""COMPUTED_VALUE"""),"高梨謙吾")</f>
        <v>高梨謙吾</v>
      </c>
      <c r="B98" s="1" t="str">
        <f ca="1">IFERROR(__xludf.DUMMYFUNCTION("""COMPUTED_VALUE"""),"•  『ドロヘドロ』：藤田
•  『七星のスバル』：天羽陽翔
•  『刀剣乱舞』：山姥切長義
•  『スタミュ』：蜂矢聡
•  『村井の恋』：村井
•  『クールドジ男子』：赤井
•  『白猫プロジェクト ZERO CHRONICLE』：アデル")</f>
        <v>•  『ドロヘドロ』：藤田
•  『七星のスバル』：天羽陽翔
•  『刀剣乱舞』：山姥切長義
•  『スタミュ』：蜂矢聡
•  『村井の恋』：村井
•  『クールドジ男子』：赤井
•  『白猫プロジェクト ZERO CHRONICLE』：アデル</v>
      </c>
    </row>
    <row r="99" spans="1:2">
      <c r="A99" s="1" t="str">
        <f ca="1">IFERROR(__xludf.DUMMYFUNCTION("""COMPUTED_VALUE"""),"髙橋孝治")</f>
        <v>髙橋孝治</v>
      </c>
      <c r="B99" s="1" t="str">
        <f ca="1">IFERROR(__xludf.DUMMYFUNCTION("""COMPUTED_VALUE"""),"•  『星刻の竜騎士』：アッシュ・ブレイク
•  『刀剣乱舞』：太鼓鐘貞宗
•  『K』：秋山氷杜／エリック・スルト
•  『文豪とアルケミスト』：堀辰雄
•  『本好きの下剋上』：ヨハン")</f>
        <v>•  『星刻の竜騎士』：アッシュ・ブレイク
•  『刀剣乱舞』：太鼓鐘貞宗
•  『K』：秋山氷杜／エリック・スルト
•  『文豪とアルケミスト』：堀辰雄
•  『本好きの下剋上』：ヨハン</v>
      </c>
    </row>
    <row r="100" spans="1:2">
      <c r="A100" s="1" t="str">
        <f ca="1">IFERROR(__xludf.DUMMYFUNCTION("""COMPUTED_VALUE"""),"高橋英則")</f>
        <v>高橋英則</v>
      </c>
      <c r="B100" s="1" t="str">
        <f ca="1">IFERROR(__xludf.DUMMYFUNCTION("""COMPUTED_VALUE"""),"•  『BORUTO-ボルト-』：猿飛木ノ葉丸
•  『刀剣乱舞』：石切丸
•  『うたの☆プリンスさまっ♪』：桐生院ヴァン
•  『AMNESIA』：ワカ
•  『トライナイツ』：小熊景太
•  『メガトン級ムサシ』：竹熊繁弘")</f>
        <v>•  『BORUTO-ボルト-』：猿飛木ノ葉丸
•  『刀剣乱舞』：石切丸
•  『うたの☆プリンスさまっ♪』：桐生院ヴァン
•  『AMNESIA』：ワカ
•  『トライナイツ』：小熊景太
•  『メガトン級ムサシ』：竹熊繁弘</v>
      </c>
    </row>
    <row r="101" spans="1:2">
      <c r="A101" s="1" t="str">
        <f ca="1">IFERROR(__xludf.DUMMYFUNCTION("""COMPUTED_VALUE"""),"高橋広樹")</f>
        <v>高橋広樹</v>
      </c>
      <c r="B101" s="1" t="str">
        <f ca="1">IFERROR(__xludf.DUMMYFUNCTION("""COMPUTED_VALUE"""),"•  『ヘタリア』：日本
•  『遊☆戯☆王デュエルモンスターズ』：城之内克也
•  『テニスの王子様』：菊丸英二
•  『金色のガッシュベル!!』：パルコ・フォルゴーレ
•  『抱かれたい男1位に脅されています。』：西條高人
•  『あんさんぶるスターズ！』：斎宮宗
•  『アイドリッシュセブン』：月雲了
•  『HUNTER×HUNTER』（旧アニメ）：ヒソカ")</f>
        <v>•  『ヘタリア』：日本
•  『遊☆戯☆王デュエルモンスターズ』：城之内克也
•  『テニスの王子様』：菊丸英二
•  『金色のガッシュベル!!』：パルコ・フォルゴーレ
•  『抱かれたい男1位に脅されています。』：西條高人
•  『あんさんぶるスターズ！』：斎宮宗
•  『アイドリッシュセブン』：月雲了
•  『HUNTER×HUNTER』（旧アニメ）：ヒソカ</v>
      </c>
    </row>
    <row r="102" spans="1:2">
      <c r="A102" s="1" t="str">
        <f ca="1">IFERROR(__xludf.DUMMYFUNCTION("""COMPUTED_VALUE"""),"武内駿輔")</f>
        <v>武内駿輔</v>
      </c>
      <c r="B102" s="1" t="str">
        <f ca="1">IFERROR(__xludf.DUMMYFUNCTION("""COMPUTED_VALUE"""),"•  『遊☆戯☆王VRAINS』：鴻上了見／リボルバー
•  『THE FIRST SLAM DUNK』：沢北栄治
•  『KING OF PRISM』：大和アレクサンダー
•  『アイドルマスター シンデレラガールズ』：プロデューサー
•  『アナと雪の女王2』：オラフ
•  『機動戦士ガンダム ククルス・ドアンの島』：ククルス・ドアン")</f>
        <v>•  『遊☆戯☆王VRAINS』：鴻上了見／リボルバー
•  『THE FIRST SLAM DUNK』：沢北栄治
•  『KING OF PRISM』：大和アレクサンダー
•  『アイドルマスター シンデレラガールズ』：プロデューサー
•  『アナと雪の女王2』：オラフ
•  『機動戦士ガンダム ククルス・ドアンの島』：ククルス・ドアン</v>
      </c>
    </row>
    <row r="103" spans="1:2">
      <c r="A103" s="1" t="str">
        <f ca="1">IFERROR(__xludf.DUMMYFUNCTION("""COMPUTED_VALUE"""),"竹本英史")</f>
        <v>竹本英史</v>
      </c>
      <c r="B103" s="1" t="str">
        <f ca="1">IFERROR(__xludf.DUMMYFUNCTION("""COMPUTED_VALUE"""),"•  『ゴールデンカムイ』：月島軍曹
•  『テニスの王子様』：柳蓮二
•  『ONE PIECE』：X・ドレーク
•  『戦国無双』：石田三成
•  『ワールドトリガー』：唐沢克己
•  『テイルズ オブ ヴェスペリア』：レイヴン")</f>
        <v>•  『ゴールデンカムイ』：月島軍曹
•  『テニスの王子様』：柳蓮二
•  『ONE PIECE』：X・ドレーク
•  『戦国無双』：石田三成
•  『ワールドトリガー』：唐沢克己
•  『テイルズ オブ ヴェスペリア』：レイヴン</v>
      </c>
    </row>
    <row r="104" spans="1:2">
      <c r="A104" s="1" t="str">
        <f ca="1">IFERROR(__xludf.DUMMYFUNCTION("""COMPUTED_VALUE"""),"立花慎之介")</f>
        <v>立花慎之介</v>
      </c>
      <c r="B104" s="1" t="str">
        <f ca="1">IFERROR(__xludf.DUMMYFUNCTION("""COMPUTED_VALUE"""),"•  『アイドリッシュセブン』：千（ユキ）
•  『神様はじめました』：巴衛
•  『ハイキュー!!』：夜久衛輔
•  『世界一初恋』：吉野千秋
•  『セキレイ』：佐橋皆人
•  『恋と深空』：ホムラ")</f>
        <v>•  『アイドリッシュセブン』：千（ユキ）
•  『神様はじめました』：巴衛
•  『ハイキュー!!』：夜久衛輔
•  『世界一初恋』：吉野千秋
•  『セキレイ』：佐橋皆人
•  『恋と深空』：ホムラ</v>
      </c>
    </row>
    <row r="105" spans="1:2">
      <c r="A105" s="1" t="str">
        <f ca="1">IFERROR(__xludf.DUMMYFUNCTION("""COMPUTED_VALUE"""),"谷山紀章")</f>
        <v>谷山紀章</v>
      </c>
      <c r="B105" s="1" t="str">
        <f ca="1">IFERROR(__xludf.DUMMYFUNCTION("""COMPUTED_VALUE"""),"•  『文豪ストレイドッグス』：中原中也
•  『うたの☆プリンスさまっ♪』：四ノ宮那月
•  『進撃の巨人』：ジャン・キルシュタイン
•  『金色のコルダ』：月森蓮
•  『SHOW BY ROCK!!』：クロウ
•  『BASTARD!! -暗黒の破壊神-』：ダーク・シュナイダー
•  『黒子のバスケ』：氷室辰也")</f>
        <v>•  『文豪ストレイドッグス』：中原中也
•  『うたの☆プリンスさまっ♪』：四ノ宮那月
•  『進撃の巨人』：ジャン・キルシュタイン
•  『金色のコルダ』：月森蓮
•  『SHOW BY ROCK!!』：クロウ
•  『BASTARD!! -暗黒の破壊神-』：ダーク・シュナイダー
•  『黒子のバスケ』：氷室辰也</v>
      </c>
    </row>
    <row r="106" spans="1:2">
      <c r="A106" s="1" t="str">
        <f ca="1">IFERROR(__xludf.DUMMYFUNCTION("""COMPUTED_VALUE"""),"田所陽向")</f>
        <v>田所陽向</v>
      </c>
      <c r="B106" s="1" t="str">
        <f ca="1">IFERROR(__xludf.DUMMYFUNCTION("""COMPUTED_VALUE"""),"•  『王様ランキング』：ドルーシ
•  『からかい上手の高木さん』：田辺先生
•  『黄昏アウトフォーカス』：土谷功緒
•  『地獄楽』：陸郎太
•  『number24』：財津岳十
•  『終末のワルキューレ』：アレス")</f>
        <v>•  『王様ランキング』：ドルーシ
•  『からかい上手の高木さん』：田辺先生
•  『黄昏アウトフォーカス』：土谷功緒
•  『地獄楽』：陸郎太
•  『number24』：財津岳十
•  『終末のワルキューレ』：アレス</v>
      </c>
    </row>
    <row r="107" spans="1:2">
      <c r="A107" s="1" t="str">
        <f ca="1">IFERROR(__xludf.DUMMYFUNCTION("""COMPUTED_VALUE"""),"田丸篤志")</f>
        <v>田丸篤志</v>
      </c>
      <c r="B107" s="1" t="str">
        <f ca="1">IFERROR(__xludf.DUMMYFUNCTION("""COMPUTED_VALUE"""),"•  『A3!』：月岡紬
•  『ディズニー ツイステッドワンダーランド』：アズール・アーシェングロット
•  『刀剣乱舞』：一期一振
•  『七つの魔剣が支配する』：オリバー＝ホーン
•  『魔法科高校の劣等生』：吉田幹比古
•  『ハイキュー!!』：国見英
•  『月がきれい』：比良拓海")</f>
        <v>•  『A3!』：月岡紬
•  『ディズニー ツイステッドワンダーランド』：アズール・アーシェングロット
•  『刀剣乱舞』：一期一振
•  『七つの魔剣が支配する』：オリバー＝ホーン
•  『魔法科高校の劣等生』：吉田幹比古
•  『ハイキュー!!』：国見英
•  『月がきれい』：比良拓海</v>
      </c>
    </row>
    <row r="108" spans="1:2">
      <c r="A108" s="1" t="str">
        <f ca="1">IFERROR(__xludf.DUMMYFUNCTION("""COMPUTED_VALUE"""),"泰勇気")</f>
        <v>泰勇気</v>
      </c>
      <c r="B108" s="1" t="str">
        <f ca="1">IFERROR(__xludf.DUMMYFUNCTION("""COMPUTED_VALUE"""),"•  『D.C. 〜ダ・カーポ〜』：朝倉純一
•  『ゴーストハント』：渋谷一也
•  『シュヴァリエ 〜Le Chevalier D’Eon〜』：デオン・ド・ボーモン
•  『刀剣乱舞』：宗三左文字
•  『ef - a tale of memories.』：堤京介")</f>
        <v>•  『D.C. 〜ダ・カーポ〜』：朝倉純一
•  『ゴーストハント』：渋谷一也
•  『シュヴァリエ 〜Le Chevalier D’Eon〜』：デオン・ド・ボーモン
•  『刀剣乱舞』：宗三左文字
•  『ef - a tale of memories.』：堤京介</v>
      </c>
    </row>
    <row r="109" spans="1:2">
      <c r="A109" s="1" t="str">
        <f ca="1">IFERROR(__xludf.DUMMYFUNCTION("""COMPUTED_VALUE"""),"千葉翔也")</f>
        <v>千葉翔也</v>
      </c>
      <c r="B109" s="1" t="str">
        <f ca="1">IFERROR(__xludf.DUMMYFUNCTION("""COMPUTED_VALUE"""),"•  『ようこそ実力至上主義の教室へ』：綾小路清隆
•  『86-エイティシックス-』：シンエイ・ノウゼン
•  『アオのハコ』：猪股大喜
•  『地縛少年花子くん』：源光
•  『ALL OUT!!』：祇園健次
•  『青のオーケストラ』：青野一
•  『WIND BREAKER』：楡井秋彦
•  『アイドルマスター SideM』：秋山隼人")</f>
        <v>•  『ようこそ実力至上主義の教室へ』：綾小路清隆
•  『86-エイティシックス-』：シンエイ・ノウゼン
•  『アオのハコ』：猪股大喜
•  『地縛少年花子くん』：源光
•  『ALL OUT!!』：祇園健次
•  『青のオーケストラ』：青野一
•  『WIND BREAKER』：楡井秋彦
•  『アイドルマスター SideM』：秋山隼人</v>
      </c>
    </row>
    <row r="110" spans="1:2">
      <c r="A110" s="1" t="str">
        <f ca="1">IFERROR(__xludf.DUMMYFUNCTION("""COMPUTED_VALUE"""),"津田健次郎")</f>
        <v>津田健次郎</v>
      </c>
      <c r="B110" s="1" t="str">
        <f ca="1">IFERROR(__xludf.DUMMYFUNCTION("""COMPUTED_VALUE"""),"•  『遊☆戯☆王デュエルモンスターズ』：海馬瀬人
•  『テニスの王子様』：乾貞治
•  『ゴールデンカムイ』：尾形百之助
•  『呪術廻戦』：七海建人
•  『チェンソーマン』：岸辺
•  『TIGER &amp; BUNNY』：ネイサン・シーモア（ファイヤーエンブレム）
•  『薄桜鬼』：風間千景
•  『チ。―地球の運動について―』：ノヴァク")</f>
        <v>•  『遊☆戯☆王デュエルモンスターズ』：海馬瀬人
•  『テニスの王子様』：乾貞治
•  『ゴールデンカムイ』：尾形百之助
•  『呪術廻戦』：七海建人
•  『チェンソーマン』：岸辺
•  『TIGER &amp; BUNNY』：ネイサン・シーモア（ファイヤーエンブレム）
•  『薄桜鬼』：風間千景
•  『チ。―地球の運動について―』：ノヴァク</v>
      </c>
    </row>
    <row r="111" spans="1:2">
      <c r="A111" s="1" t="str">
        <f ca="1">IFERROR(__xludf.DUMMYFUNCTION("""COMPUTED_VALUE"""),"辻史人")</f>
        <v>辻史人</v>
      </c>
      <c r="B111" s="1" t="str">
        <f ca="1">IFERROR(__xludf.DUMMYFUNCTION("""COMPUTED_VALUE"""),"•  『あんさんぶるスターズ！！』：久遠舞珠
•  『DIGIMON BEATBREAK』：芹沢ユウト")</f>
        <v>•  『あんさんぶるスターズ！！』：久遠舞珠
•  『DIGIMON BEATBREAK』：芹沢ユウト</v>
      </c>
    </row>
    <row r="112" spans="1:2">
      <c r="A112" s="1" t="str">
        <f ca="1">IFERROR(__xludf.DUMMYFUNCTION("""COMPUTED_VALUE"""),"土田玲央")</f>
        <v>土田玲央</v>
      </c>
      <c r="B112" s="1" t="str">
        <f ca="1">IFERROR(__xludf.DUMMYFUNCTION("""COMPUTED_VALUE"""),"•  『あんさんぶるスターズ！！』：朱桜司
•  『スケートリーディング☆スターズ』：望月暁光
•  『先輩がうざい後輩の話』：風間蒼太
•  『アイドルタイムプリパラ』：高瀬コヨイ
•  『VS AMBIVALENZ』：TAIYO／SUBARU")</f>
        <v>•  『あんさんぶるスターズ！！』：朱桜司
•  『スケートリーディング☆スターズ』：望月暁光
•  『先輩がうざい後輩の話』：風間蒼太
•  『アイドルタイムプリパラ』：高瀬コヨイ
•  『VS AMBIVALENZ』：TAIYO／SUBARU</v>
      </c>
    </row>
    <row r="113" spans="1:2">
      <c r="A113" s="1" t="str">
        <f ca="1">IFERROR(__xludf.DUMMYFUNCTION("""COMPUTED_VALUE"""),"土屋神葉")</f>
        <v>土屋神葉</v>
      </c>
      <c r="B113" s="1" t="str">
        <f ca="1">IFERROR(__xludf.DUMMYFUNCTION("""COMPUTED_VALUE"""),"•  『ハイキュー!!』：五色工
•  『バクテン!!』：双葉翔太郎
•  『ディズニー ツイステッドワンダーランド』：エペル・フェルミエ
•  『アンジェリーク ルミナライズ』：ユエ
•  『シュート！ Goal to the Future』：小久保公平
•  『シンカリオン チェンジ ザ ワールド』：九頭竜リョータ
•  『群青のファンファーレ』：風波駿")</f>
        <v>•  『ハイキュー!!』：五色工
•  『バクテン!!』：双葉翔太郎
•  『ディズニー ツイステッドワンダーランド』：エペル・フェルミエ
•  『アンジェリーク ルミナライズ』：ユエ
•  『シュート！ Goal to the Future』：小久保公平
•  『シンカリオン チェンジ ザ ワールド』：九頭竜リョータ
•  『群青のファンファーレ』：風波駿</v>
      </c>
    </row>
    <row r="114" spans="1:2">
      <c r="A114" s="1" t="str">
        <f ca="1">IFERROR(__xludf.DUMMYFUNCTION("""COMPUTED_VALUE"""),"寺島惇太")</f>
        <v>寺島惇太</v>
      </c>
      <c r="B114" s="1" t="str">
        <f ca="1">IFERROR(__xludf.DUMMYFUNCTION("""COMPUTED_VALUE"""),"•  『KING OF PRISM』：一条シン
•  『アイドルマスター SideM』：大河タケル
•  『A3!』：御影密
•  『ツキプロ』：藤村衛
•  『Paradox Live』：闇堂四季
•  『この音とまれ！』：桐生桜介")</f>
        <v>•  『KING OF PRISM』：一条シン
•  『アイドルマスター SideM』：大河タケル
•  『A3!』：御影密
•  『ツキプロ』：藤村衛
•  『Paradox Live』：闇堂四季
•  『この音とまれ！』：桐生桜介</v>
      </c>
    </row>
    <row r="115" spans="1:2">
      <c r="A115" s="1" t="str">
        <f ca="1">IFERROR(__xludf.DUMMYFUNCTION("""COMPUTED_VALUE"""),"寺島拓篤")</f>
        <v>寺島拓篤</v>
      </c>
      <c r="B115" s="1" t="str">
        <f ca="1">IFERROR(__xludf.DUMMYFUNCTION("""COMPUTED_VALUE"""),"•  『うたの☆プリンスさまっ♪』：一十木音也
•  『創聖のアクエリオン』：アポロ
•  『ログ・ホライズン』：シロエ
•  『転生したらスライムだった件』：三上悟
•  『EDENS ZERO』：シキ・グランベル
•  『魔法科高校の劣等生』：西城レオンハルト
•  『メカクシティアクターズ』：シンタロー
•  『アイドルマスター SideM』：天ヶ瀬冬馬")</f>
        <v>•  『うたの☆プリンスさまっ♪』：一十木音也
•  『創聖のアクエリオン』：アポロ
•  『ログ・ホライズン』：シロエ
•  『転生したらスライムだった件』：三上悟
•  『EDENS ZERO』：シキ・グランベル
•  『魔法科高校の劣等生』：西城レオンハルト
•  『メカクシティアクターズ』：シンタロー
•  『アイドルマスター SideM』：天ヶ瀬冬馬</v>
      </c>
    </row>
    <row r="116" spans="1:2">
      <c r="A116" s="1" t="str">
        <f ca="1">IFERROR(__xludf.DUMMYFUNCTION("""COMPUTED_VALUE"""),"手塚ヒロミチ")</f>
        <v>手塚ヒロミチ</v>
      </c>
      <c r="B116" s="1" t="str">
        <f ca="1">IFERROR(__xludf.DUMMYFUNCTION("""COMPUTED_VALUE"""),"•  『EDENS ZERO』：ワイズ・シュタイナー
•  『ALL OUT!!』：鹿島耕一郎
•  『ブラック・ブレット』：伊熊将監
•  『ゴジラ S.P＜シンギュラポイント＞』：マキタ・K・中川
•  『ワンパンマン』：オールバックマン")</f>
        <v>•  『EDENS ZERO』：ワイズ・シュタイナー
•  『ALL OUT!!』：鹿島耕一郎
•  『ブラック・ブレット』：伊熊将監
•  『ゴジラ S.P＜シンギュラポイント＞』：マキタ・K・中川
•  『ワンパンマン』：オールバックマン</v>
      </c>
    </row>
    <row r="117" spans="1:2">
      <c r="A117" s="1" t="str">
        <f ca="1">IFERROR(__xludf.DUMMYFUNCTION("""COMPUTED_VALUE"""),"照井悠希")</f>
        <v>照井悠希</v>
      </c>
      <c r="B117" s="1" t="str">
        <f ca="1">IFERROR(__xludf.DUMMYFUNCTION("""COMPUTED_VALUE"""),"•  『BEYBLADE X』：鷹野ツバサ
•  『AYAKA -あやか-』：屋敷小太郎
•  『ここは俺に任せて先に行けと言ってから10年がたったら伝説になっていた。』：アリオ
•  『あんさんぶるスターズ！！』：宝丈萊香")</f>
        <v>•  『BEYBLADE X』：鷹野ツバサ
•  『AYAKA -あやか-』：屋敷小太郎
•  『ここは俺に任せて先に行けと言ってから10年がたったら伝説になっていた。』：アリオ
•  『あんさんぶるスターズ！！』：宝丈萊香</v>
      </c>
    </row>
    <row r="118" spans="1:2">
      <c r="A118" s="1" t="str">
        <f ca="1">IFERROR(__xludf.DUMMYFUNCTION("""COMPUTED_VALUE"""),"堂島颯人")</f>
        <v>堂島颯人</v>
      </c>
      <c r="B118" s="1" t="str">
        <f ca="1">IFERROR(__xludf.DUMMYFUNCTION("""COMPUTED_VALUE"""),"•  『ラブオールプレー』：一ノ瀬俊輔
•  『川越ボーイズ・シング』：森村充
•  『神之塔 -Tower of God-』：アウグスグス
•  『18TRIP』：久楽間潮
•  『A3!』：辛科景句
•  『女神降臨』：ハン・ソジュン")</f>
        <v>•  『ラブオールプレー』：一ノ瀬俊輔
•  『川越ボーイズ・シング』：森村充
•  『神之塔 -Tower of God-』：アウグスグス
•  『18TRIP』：久楽間潮
•  『A3!』：辛科景句
•  『女神降臨』：ハン・ソジュン</v>
      </c>
    </row>
    <row r="119" spans="1:2">
      <c r="A119" s="1" t="str">
        <f ca="1">IFERROR(__xludf.DUMMYFUNCTION("""COMPUTED_VALUE"""),"土岐隼一")</f>
        <v>土岐隼一</v>
      </c>
      <c r="B119" s="1" t="str">
        <f ca="1">IFERROR(__xludf.DUMMYFUNCTION("""COMPUTED_VALUE"""),"•  『プロジェクトセカイ カラフルステージ！ feat. 初音ミク』：神代類
•  『アイドルマスター SideM』：都築圭
•  『ツキプロ』：衛藤昂輝
•  『A3!』：瑠璃川幸
•  『かくりよの宿飯』：銀次
•  『Paradox Live』：征木北斎
•  『原神』：フレミネ")</f>
        <v>•  『プロジェクトセカイ カラフルステージ！ feat. 初音ミク』：神代類
•  『アイドルマスター SideM』：都築圭
•  『ツキプロ』：衛藤昂輝
•  『A3!』：瑠璃川幸
•  『かくりよの宿飯』：銀次
•  『Paradox Live』：征木北斎
•  『原神』：フレミネ</v>
      </c>
    </row>
    <row r="120" spans="1:2">
      <c r="A120" s="1" t="str">
        <f ca="1">IFERROR(__xludf.DUMMYFUNCTION("""COMPUTED_VALUE"""),"豊島修平")</f>
        <v>豊島修平</v>
      </c>
      <c r="B120" s="1" t="str">
        <f ca="1">IFERROR(__xludf.DUMMYFUNCTION("""COMPUTED_VALUE"""),"•  『ワンパンマン』：ギアスパー
•  『あんさんぶるスターズ！！』：冴霧笑主
•  『アルカナ・ファミリア コレツィオーネ！』：シモン")</f>
        <v>•  『ワンパンマン』：ギアスパー
•  『あんさんぶるスターズ！！』：冴霧笑主
•  『アルカナ・ファミリア コレツィオーネ！』：シモン</v>
      </c>
    </row>
    <row r="121" spans="1:2">
      <c r="A121" s="1" t="str">
        <f ca="1">IFERROR(__xludf.DUMMYFUNCTION("""COMPUTED_VALUE"""),"豊永利行")</f>
        <v>豊永利行</v>
      </c>
      <c r="B121" s="1" t="str">
        <f ca="1">IFERROR(__xludf.DUMMYFUNCTION("""COMPUTED_VALUE"""),"•  『デュラララ!!』：竜ヶ峰帝人
•  『ユーリ!!! on ICE』：勝生勇利
•  『Free!』：椎名旭
•  『文豪ストレイドッグス』：谷崎潤一郎
•  『ハイキュー!!』：白布賢二郎
•  『ドラゴンクエスト ダイの大冒険』：ポップ
•  『東京喰種トーキョーグール』：永近英良")</f>
        <v>•  『デュラララ!!』：竜ヶ峰帝人
•  『ユーリ!!! on ICE』：勝生勇利
•  『Free!』：椎名旭
•  『文豪ストレイドッグス』：谷崎潤一郎
•  『ハイキュー!!』：白布賢二郎
•  『ドラゴンクエスト ダイの大冒険』：ポップ
•  『東京喰種トーキョーグール』：永近英良</v>
      </c>
    </row>
    <row r="122" spans="1:2">
      <c r="A122" s="1" t="str">
        <f ca="1">IFERROR(__xludf.DUMMYFUNCTION("""COMPUTED_VALUE"""),"鳥海浩輔")</f>
        <v>鳥海浩輔</v>
      </c>
      <c r="B122" s="1" t="str">
        <f ca="1">IFERROR(__xludf.DUMMYFUNCTION("""COMPUTED_VALUE"""),"•  『うたの☆プリンスさまっ♪』：愛島セシル
•  『薄桜鬼』：斎藤一
•  『刀剣乱舞』：三日月宗近
•  『弱虫ペダル』：今泉俊輔
•  『あんさんぶるスターズ！！』：三毛縞斑
•  『DIABOLIK LOVERS』：逆巻シュウ
•  『ハイキュー!!』：佐久早聖臣
•  『ジョジョの奇妙な冒険 黄金の風』：グイード・ミスタ
•  『NARUTO』：犬塚キバ
•  『Thunderbolt Fantasy 東離劍遊紀』：凜雪鴉")</f>
        <v>•  『うたの☆プリンスさまっ♪』：愛島セシル
•  『薄桜鬼』：斎藤一
•  『刀剣乱舞』：三日月宗近
•  『弱虫ペダル』：今泉俊輔
•  『あんさんぶるスターズ！！』：三毛縞斑
•  『DIABOLIK LOVERS』：逆巻シュウ
•  『ハイキュー!!』：佐久早聖臣
•  『ジョジョの奇妙な冒険 黄金の風』：グイード・ミスタ
•  『NARUTO』：犬塚キバ
•  『Thunderbolt Fantasy 東離劍遊紀』：凜雪鴉</v>
      </c>
    </row>
    <row r="123" spans="1:2">
      <c r="A123" s="1" t="str">
        <f ca="1">IFERROR(__xludf.DUMMYFUNCTION("""COMPUTED_VALUE"""),"中澤まさとも")</f>
        <v>中澤まさとも</v>
      </c>
      <c r="B123" s="1" t="str">
        <f ca="1">IFERROR(__xludf.DUMMYFUNCTION("""COMPUTED_VALUE"""),"•  『ギヴン』：中山春樹
•  『あんさんぶるスターズ！！』：風早巽
•  『ハイキュー!!』：二口堅治
•  『ブルーロック』：久遠渉
•  『DRAMAtical Murder』：クリア
•  『ヤリチン☆ビッチ部』：鹿谷樹")</f>
        <v>•  『ギヴン』：中山春樹
•  『あんさんぶるスターズ！！』：風早巽
•  『ハイキュー!!』：二口堅治
•  『ブルーロック』：久遠渉
•  『DRAMAtical Murder』：クリア
•  『ヤリチン☆ビッチ部』：鹿谷樹</v>
      </c>
    </row>
    <row r="124" spans="1:2">
      <c r="A124" s="1" t="str">
        <f ca="1">IFERROR(__xludf.DUMMYFUNCTION("""COMPUTED_VALUE"""),"中島ヨシキ")</f>
        <v>中島ヨシキ</v>
      </c>
      <c r="B124" s="1" t="str">
        <f ca="1">IFERROR(__xludf.DUMMYFUNCTION("""COMPUTED_VALUE"""),"•  『あんさんぶるスターズ！』：南雲鉄虎
•  『アイドルマスター SideM』：山下次郎
•  『ヒナまつり』：新田義史
•  『プランダラ』：リヒトー＝バッハ
•  『スタンドマイヒーローズ』：桐嶋宏弥
•  『Dr.STONE』：上井陽
•  『Unnamed Memory』：オスカー")</f>
        <v>•  『あんさんぶるスターズ！』：南雲鉄虎
•  『アイドルマスター SideM』：山下次郎
•  『ヒナまつり』：新田義史
•  『プランダラ』：リヒトー＝バッハ
•  『スタンドマイヒーローズ』：桐嶋宏弥
•  『Dr.STONE』：上井陽
•  『Unnamed Memory』：オスカー</v>
      </c>
    </row>
    <row r="125" spans="1:2">
      <c r="A125" s="1" t="str">
        <f ca="1">IFERROR(__xludf.DUMMYFUNCTION("""COMPUTED_VALUE"""),"仲村宗悟")</f>
        <v>仲村宗悟</v>
      </c>
      <c r="B125" s="1" t="str">
        <f ca="1">IFERROR(__xludf.DUMMYFUNCTION("""COMPUTED_VALUE"""),"•  『アイドルマスター SideM』：天道輝
•  『THE FIRST SLAM DUNK』：宮城リョータ
•  『ブルーロック』：我牙丸吟
•  『TSUKIPRO THE ANIMATION』：久我壱星
•  『MILGRAM』：シドウ（桐崎獅童）
•  『アオペラ -aoppella!?-』：深海ふかみ
•  『刀剣乱舞』：北谷菜切")</f>
        <v>•  『アイドルマスター SideM』：天道輝
•  『THE FIRST SLAM DUNK』：宮城リョータ
•  『ブルーロック』：我牙丸吟
•  『TSUKIPRO THE ANIMATION』：久我壱星
•  『MILGRAM』：シドウ（桐崎獅童）
•  『アオペラ -aoppella!?-』：深海ふかみ
•  『刀剣乱舞』：北谷菜切</v>
      </c>
    </row>
    <row r="126" spans="1:2">
      <c r="A126" s="1" t="str">
        <f ca="1">IFERROR(__xludf.DUMMYFUNCTION("""COMPUTED_VALUE"""),"仲村水希")</f>
        <v>仲村水希</v>
      </c>
      <c r="B126" s="1" t="str">
        <f ca="1">IFERROR(__xludf.DUMMYFUNCTION("""COMPUTED_VALUE"""),"•  『魔法使いの約束』：ムル
•  『ちはやふる3』：土屋憲一")</f>
        <v>•  『魔法使いの約束』：ムル
•  『ちはやふる3』：土屋憲一</v>
      </c>
    </row>
    <row r="127" spans="1:2">
      <c r="A127" s="1" t="str">
        <f ca="1">IFERROR(__xludf.DUMMYFUNCTION("""COMPUTED_VALUE"""),"中村悠一")</f>
        <v>中村悠一</v>
      </c>
      <c r="B127" s="1" t="str">
        <f ca="1">IFERROR(__xludf.DUMMYFUNCTION("""COMPUTED_VALUE"""),"•  『呪術廻戦』：五条悟
•  『魔法科高校の劣等生』：司波達也
•  『CLANNAD』：岡崎朋也
•  『マクロスF』：早乙女アルト
•  『おそ松さん』：松野カラ松
•  『ハイキュー!!』：黒尾鉄朗
•  『ジョジョの奇妙な冒険 黄金の風』：ブローノ・ブチャラティ
•  『氷菓』：折木奉太郎
•  『ワールドトリガー』：迅悠一
•  『僕のヒーローアカデミア』：ホークス
•  『Dr.STONE』：獅子王司")</f>
        <v>•  『呪術廻戦』：五条悟
•  『魔法科高校の劣等生』：司波達也
•  『CLANNAD』：岡崎朋也
•  『マクロスF』：早乙女アルト
•  『おそ松さん』：松野カラ松
•  『ハイキュー!!』：黒尾鉄朗
•  『ジョジョの奇妙な冒険 黄金の風』：ブローノ・ブチャラティ
•  『氷菓』：折木奉太郎
•  『ワールドトリガー』：迅悠一
•  『僕のヒーローアカデミア』：ホークス
•  『Dr.STONE』：獅子王司</v>
      </c>
    </row>
    <row r="128" spans="1:2">
      <c r="A128" s="1" t="str">
        <f ca="1">IFERROR(__xludf.DUMMYFUNCTION("""COMPUTED_VALUE"""),"浪川大輔")</f>
        <v>浪川大輔</v>
      </c>
      <c r="B128" s="1" t="str">
        <f ca="1">IFERROR(__xludf.DUMMYFUNCTION("""COMPUTED_VALUE"""),"•  『ルパン三世』：石川五ェ門
•  『ハイキュー!!』：及川徹
•  『ヘタリア』：イタリア
•  『君に届け』：風早翔太
•  『HUNTER×HUNTER』（2011年版）：ヒソカ＝モロウ
•  『BLEACH』：ウルキオラ・シファー
•  『ONE PIECE』：ユースタス・キッド
•  『呪術廻戦』：脹相
•  『FAIRY TAIL』：ジェラール・フェルナンデス／ミストガン")</f>
        <v>•  『ルパン三世』：石川五ェ門
•  『ハイキュー!!』：及川徹
•  『ヘタリア』：イタリア
•  『君に届け』：風早翔太
•  『HUNTER×HUNTER』（2011年版）：ヒソカ＝モロウ
•  『BLEACH』：ウルキオラ・シファー
•  『ONE PIECE』：ユースタス・キッド
•  『呪術廻戦』：脹相
•  『FAIRY TAIL』：ジェラール・フェルナンデス／ミストガン</v>
      </c>
    </row>
    <row r="129" spans="1:2">
      <c r="A129" s="1" t="str">
        <f ca="1">IFERROR(__xludf.DUMMYFUNCTION("""COMPUTED_VALUE"""),"新田杏樹")</f>
        <v>新田杏樹</v>
      </c>
      <c r="B129" s="1" t="str">
        <f ca="1">IFERROR(__xludf.DUMMYFUNCTION("""COMPUTED_VALUE"""),"•  『あんさんぶるスターズ！』：仙石忍
•  『白猫プロジェクト』：ショウ")</f>
        <v>•  『あんさんぶるスターズ！』：仙石忍
•  『白猫プロジェクト』：ショウ</v>
      </c>
    </row>
    <row r="130" spans="1:2">
      <c r="A130" s="1" t="str">
        <f ca="1">IFERROR(__xludf.DUMMYFUNCTION("""COMPUTED_VALUE"""),"西山宏太朗")</f>
        <v>西山宏太朗</v>
      </c>
      <c r="B130" s="1" t="str">
        <f ca="1">IFERROR(__xludf.DUMMYFUNCTION("""COMPUTED_VALUE"""),"•  『アイドリッシュセブン』：棗巳波
•  『あんさんぶるスターズ！』：深海奏汰
•  『学園ベビーシッターズ』：鹿島竜一
•  『A3!』：皆木綴
•  『B-PROJECT』：寺光唯月
•  『美男高校地球防衛部LOVE！』：鬼怒川熱史
•  『スタンドマイヒーローズ』：都築京介")</f>
        <v>•  『アイドリッシュセブン』：棗巳波
•  『あんさんぶるスターズ！』：深海奏汰
•  『学園ベビーシッターズ』：鹿島竜一
•  『A3!』：皆木綴
•  『B-PROJECT』：寺光唯月
•  『美男高校地球防衛部LOVE！』：鬼怒川熱史
•  『スタンドマイヒーローズ』：都築京介</v>
      </c>
    </row>
    <row r="131" spans="1:2">
      <c r="A131" s="1" t="str">
        <f ca="1">IFERROR(__xludf.DUMMYFUNCTION("""COMPUTED_VALUE"""),"野上翔")</f>
        <v>野上翔</v>
      </c>
      <c r="B131" s="1" t="str">
        <f ca="1">IFERROR(__xludf.DUMMYFUNCTION("""COMPUTED_VALUE"""),"•  『アイドルマスター SideM』：伊瀬谷四季
•  『ゾイドワイルド ZERO』：レオ・コンラッド
•  『TSUKIPRO THE ANIMATION』：久我壱流
•  『A3!』：迫田ケン
•  『夫婦以上、恋人未満。』：賀茂貞春")</f>
        <v>•  『アイドルマスター SideM』：伊瀬谷四季
•  『ゾイドワイルド ZERO』：レオ・コンラッド
•  『TSUKIPRO THE ANIMATION』：久我壱流
•  『A3!』：迫田ケン
•  『夫婦以上、恋人未満。』：賀茂貞春</v>
      </c>
    </row>
    <row r="132" spans="1:2">
      <c r="A132" s="1" t="str">
        <f ca="1">IFERROR(__xludf.DUMMYFUNCTION("""COMPUTED_VALUE"""),"野島健児")</f>
        <v>野島健児</v>
      </c>
      <c r="B132" s="1" t="str">
        <f ca="1">IFERROR(__xludf.DUMMYFUNCTION("""COMPUTED_VALUE"""),"•  『PSYCHO-PASS サイコパス』：宜野座伸元
•  『BANANA FISH』：奥村英二
•  『あんさんぶるスターズ！』：逆先夏目
•  『美少女戦士セーラームーンCrystal』：地場衛／タキシード仮面
•  『ハイキュー!!』：北信介
•  『ハイスクールD×D』：木場祐斗
•  『干物妹！うまるちゃん』：土間タイヘイ
•  『弱虫ペダル』：黒田雪成
•  『原神』：アルベド
•  『恋と深空』：マヒル")</f>
        <v>•  『PSYCHO-PASS サイコパス』：宜野座伸元
•  『BANANA FISH』：奥村英二
•  『あんさんぶるスターズ！』：逆先夏目
•  『美少女戦士セーラームーンCrystal』：地場衛／タキシード仮面
•  『ハイキュー!!』：北信介
•  『ハイスクールD×D』：木場祐斗
•  『干物妹！うまるちゃん』：土間タイヘイ
•  『弱虫ペダル』：黒田雪成
•  『原神』：アルベド
•  『恋と深空』：マヒル</v>
      </c>
    </row>
    <row r="133" spans="1:2">
      <c r="A133" s="1" t="str">
        <f ca="1">IFERROR(__xludf.DUMMYFUNCTION("""COMPUTED_VALUE"""),"野島裕史")</f>
        <v>野島裕史</v>
      </c>
      <c r="B133" s="1" t="str">
        <f ca="1">IFERROR(__xludf.DUMMYFUNCTION("""COMPUTED_VALUE"""),"•  『イナズマイレブン』：豪炎寺修也
•  『黒子のバスケ』：伊月俊
•  『ARIA』：出雲暁
•  『キングダム』：蒙恬
•  『OVERMAN キングゲイナー』：ゲイナー・サンガ
•  『デジモンセイバーズ』：トーマ・H・ノルシュタイン
•  『灼眼のシャナ』：池速人
•  『ワールドトリガー』：村上鋼")</f>
        <v>•  『イナズマイレブン』：豪炎寺修也
•  『黒子のバスケ』：伊月俊
•  『ARIA』：出雲暁
•  『キングダム』：蒙恬
•  『OVERMAN キングゲイナー』：ゲイナー・サンガ
•  『デジモンセイバーズ』：トーマ・H・ノルシュタイン
•  『灼眼のシャナ』：池速人
•  『ワールドトリガー』：村上鋼</v>
      </c>
    </row>
    <row r="134" spans="1:2">
      <c r="A134" s="1" t="str">
        <f ca="1">IFERROR(__xludf.DUMMYFUNCTION("""COMPUTED_VALUE"""),"野津山幸宏")</f>
        <v>野津山幸宏</v>
      </c>
      <c r="B134" s="1" t="str">
        <f ca="1">IFERROR(__xludf.DUMMYFUNCTION("""COMPUTED_VALUE"""),"•  『ヒプノシスマイク -Division Rap Battle-』：有栖川帝統
•  『東京リベンジャーズ』：林良平（ぺーやん）
•  『終末のワルキューレ』：ヘイムダル
•  『戦隊大失格』：小熊蘭丸
•  『ラグナクリムゾン』：フー")</f>
        <v>•  『ヒプノシスマイク -Division Rap Battle-』：有栖川帝統
•  『東京リベンジャーズ』：林良平（ぺーやん）
•  『終末のワルキューレ』：ヘイムダル
•  『戦隊大失格』：小熊蘭丸
•  『ラグナクリムゾン』：フー</v>
      </c>
    </row>
    <row r="135" spans="1:2">
      <c r="A135" s="1" t="str">
        <f ca="1">IFERROR(__xludf.DUMMYFUNCTION("""COMPUTED_VALUE"""),"橋本晃太朗")</f>
        <v>橋本晃太朗</v>
      </c>
      <c r="B135" s="1" t="str">
        <f ca="1">IFERROR(__xludf.DUMMYFUNCTION("""COMPUTED_VALUE"""),"•  『あんさんぶるスターズ！』：伏見弓弦
•  『KING OF PRISM』：御徒町ツルギ
•  『トライナイツ』：島原淳")</f>
        <v>•  『あんさんぶるスターズ！』：伏見弓弦
•  『KING OF PRISM』：御徒町ツルギ
•  『トライナイツ』：島原淳</v>
      </c>
    </row>
    <row r="136" spans="1:2">
      <c r="A136" s="1" t="str">
        <f ca="1">IFERROR(__xludf.DUMMYFUNCTION("""COMPUTED_VALUE"""),"畠中祐")</f>
        <v>畠中祐</v>
      </c>
      <c r="B136" s="1" t="str">
        <f ca="1">IFERROR(__xludf.DUMMYFUNCTION("""COMPUTED_VALUE"""),"•  『遊☆戯☆王ZEXAL』：九十九遊馬
•  『僕のヒーローアカデミア』：上鳴電気
•  『KING OF PRISM』：香賀美タイガ
•  『東京リベンジャーズ』：柴八戒
•  『SK∞ エスケーエイト』：喜屋武暦
•  『甲鉄城のカバネリ』：生駒
•  『うしおととら』：蒼月潮
•  『ウルトラマンZ』：ナツカワ・ハルキ
•  『ザ・スーパーマリオブラザーズ・ムービー』：ルイージ")</f>
        <v>•  『遊☆戯☆王ZEXAL』：九十九遊馬
•  『僕のヒーローアカデミア』：上鳴電気
•  『KING OF PRISM』：香賀美タイガ
•  『東京リベンジャーズ』：柴八戒
•  『SK∞ エスケーエイト』：喜屋武暦
•  『甲鉄城のカバネリ』：生駒
•  『うしおととら』：蒼月潮
•  『ウルトラマンZ』：ナツカワ・ハルキ
•  『ザ・スーパーマリオブラザーズ・ムービー』：ルイージ</v>
      </c>
    </row>
    <row r="137" spans="1:2">
      <c r="A137" s="1" t="str">
        <f ca="1">IFERROR(__xludf.DUMMYFUNCTION("""COMPUTED_VALUE"""),"羽多野渉")</f>
        <v>羽多野渉</v>
      </c>
      <c r="B137" s="1" t="str">
        <f ca="1">IFERROR(__xludf.DUMMYFUNCTION("""COMPUTED_VALUE"""),"•  『FAIRY TAIL』： ガジル・レッドフォックス
•  『アイドリッシュセブン』： 八乙女楽
•  『僕のヒーローアカデミア』： 心操人使
•  『黒子のバスケ』： 実渕玲央
•  『あんさんぶるスターズ！』： 乙狩アドニス
•  『ユーリ!!! on ICE』： ギオルギー・ポポーヴィッチ
•  『ダイヤのA』： 増子透
•  『信長の忍び』： 織田信長")</f>
        <v>•  『FAIRY TAIL』： ガジル・レッドフォックス
•  『アイドリッシュセブン』： 八乙女楽
•  『僕のヒーローアカデミア』： 心操人使
•  『黒子のバスケ』： 実渕玲央
•  『あんさんぶるスターズ！』： 乙狩アドニス
•  『ユーリ!!! on ICE』： ギオルギー・ポポーヴィッチ
•  『ダイヤのA』： 増子透
•  『信長の忍び』： 織田信長</v>
      </c>
    </row>
    <row r="138" spans="1:2">
      <c r="A138" s="1" t="str">
        <f ca="1">IFERROR(__xludf.DUMMYFUNCTION("""COMPUTED_VALUE"""),"服部想之介")</f>
        <v>服部想之介</v>
      </c>
      <c r="B138" s="1" t="str">
        <f ca="1">IFERROR(__xludf.DUMMYFUNCTION("""COMPUTED_VALUE"""),"•  『Readyyy!』： 真田淳之介
•  『ときめきメモリアル Girl’s Side 4th Heart』： 本多行
•  『あんさんぶるスターズ！！』： 甘楽チトセ")</f>
        <v>•  『Readyyy!』： 真田淳之介
•  『ときめきメモリアル Girl’s Side 4th Heart』： 本多行
•  『あんさんぶるスターズ！！』： 甘楽チトセ</v>
      </c>
    </row>
    <row r="139" spans="1:2">
      <c r="A139" s="1" t="str">
        <f ca="1">IFERROR(__xludf.DUMMYFUNCTION("""COMPUTED_VALUE"""),"花江夏樹")</f>
        <v>花江夏樹</v>
      </c>
      <c r="B139" s="1" t="str">
        <f ca="1">IFERROR(__xludf.DUMMYFUNCTION("""COMPUTED_VALUE"""),"•  『鬼滅の刃』： 竈門炭治郎
•  『東京喰種トーキョーグール』： 金木研／佐々木琲世
•  『四月は君の嘘』： 有馬公生
•  『ヴァニタスの手記』： ヴァニタス
•  『サマータイムレンダ』： 網代慎平
•  『ALDNOAH.ZERO』： 界塚伊奈帆
•  『ダイヤのA』： 小湊春市")</f>
        <v>•  『鬼滅の刃』： 竈門炭治郎
•  『東京喰種トーキョーグール』： 金木研／佐々木琲世
•  『四月は君の嘘』： 有馬公生
•  『ヴァニタスの手記』： ヴァニタス
•  『サマータイムレンダ』： 網代慎平
•  『ALDNOAH.ZERO』： 界塚伊奈帆
•  『ダイヤのA』： 小湊春市</v>
      </c>
    </row>
    <row r="140" spans="1:2">
      <c r="A140" s="1" t="str">
        <f ca="1">IFERROR(__xludf.DUMMYFUNCTION("""COMPUTED_VALUE"""),"濱健人")</f>
        <v>濱健人</v>
      </c>
      <c r="B140" s="1" t="str">
        <f ca="1">IFERROR(__xludf.DUMMYFUNCTION("""COMPUTED_VALUE"""),"•  『刀剣乱舞』： 陸奥守吉行
•  『アイドルマスター SideM』： 木村龍
•  『A3!』： 七尾太一
•  『カードファイト!! ヴァンガード レギオンメイト編』： オリビエ・ガイヤール")</f>
        <v>•  『刀剣乱舞』： 陸奥守吉行
•  『アイドルマスター SideM』： 木村龍
•  『A3!』： 七尾太一
•  『カードファイト!! ヴァンガード レギオンメイト編』： オリビエ・ガイヤール</v>
      </c>
    </row>
    <row r="141" spans="1:2">
      <c r="A141" s="1" t="str">
        <f ca="1">IFERROR(__xludf.DUMMYFUNCTION("""COMPUTED_VALUE"""),"浜田賢二")</f>
        <v>浜田賢二</v>
      </c>
      <c r="B141" s="1" t="str">
        <f ca="1">IFERROR(__xludf.DUMMYFUNCTION("""COMPUTED_VALUE"""),"•  『デュエル・マスターズ』シリーズ： 切札勝利
•  『黒子のバスケ』： 木吉鉄平
•  『機動戦士ガンダム00』： パトリック・コーラサワー
•  『鋼の錬金術師 FULLMETAL ALCHEMIST』： ヴァトー・ファルマン
•  『ONE PIECE』： キラー／イナズマ
•  『コップクラフト』： ジャック・ロス")</f>
        <v>•  『デュエル・マスターズ』シリーズ： 切札勝利
•  『黒子のバスケ』： 木吉鉄平
•  『機動戦士ガンダム00』： パトリック・コーラサワー
•  『鋼の錬金術師 FULLMETAL ALCHEMIST』： ヴァトー・ファルマン
•  『ONE PIECE』： キラー／イナズマ
•  『コップクラフト』： ジャック・ロス</v>
      </c>
    </row>
    <row r="142" spans="1:2">
      <c r="A142" s="1" t="str">
        <f ca="1">IFERROR(__xludf.DUMMYFUNCTION("""COMPUTED_VALUE"""),"比留間俊哉")</f>
        <v>比留間俊哉</v>
      </c>
      <c r="B142" s="1" t="str">
        <f ca="1">IFERROR(__xludf.DUMMYFUNCTION("""COMPUTED_VALUE"""),"•  『あんさんぶるスターズ！』： 真白友也
•  『アイドルマスター SideM』： 九十九一希（2代目）
•  『THE NEW GATE』： ヴィルヘルム・エイビス
•  『DAYS』： 甲斐貴文
•  『かみさまみならい ヒミツのここたま』： 一之瀬清太郎")</f>
        <v>•  『あんさんぶるスターズ！』： 真白友也
•  『アイドルマスター SideM』： 九十九一希（2代目）
•  『THE NEW GATE』： ヴィルヘルム・エイビス
•  『DAYS』： 甲斐貴文
•  『かみさまみならい ヒミツのここたま』： 一之瀬清太郎</v>
      </c>
    </row>
    <row r="143" spans="1:2">
      <c r="A143" s="1" t="str">
        <f ca="1">IFERROR(__xludf.DUMMYFUNCTION("""COMPUTED_VALUE"""),"廣瀬大介")</f>
        <v>廣瀬大介</v>
      </c>
      <c r="B143" s="1" t="str">
        <f ca="1">IFERROR(__xludf.DUMMYFUNCTION("""COMPUTED_VALUE"""),"•  『プロジェクトセカイ カラフルステージ！ feat. 初音ミク』： 天馬司
•  『A3!』： 斑鳩三角
•  『王室教師ハイネ』： レオンハルト・フォン・グランツライヒ
•  『グッド・ナイト・ワールド』： イチ／有間太一郎")</f>
        <v>•  『プロジェクトセカイ カラフルステージ！ feat. 初音ミク』： 天馬司
•  『A3!』： 斑鳩三角
•  『王室教師ハイネ』： レオンハルト・フォン・グランツライヒ
•  『グッド・ナイト・ワールド』： イチ／有間太一郎</v>
      </c>
    </row>
    <row r="144" spans="1:2">
      <c r="A144" s="1" t="str">
        <f ca="1">IFERROR(__xludf.DUMMYFUNCTION("""COMPUTED_VALUE"""),"広瀬裕也")</f>
        <v>広瀬裕也</v>
      </c>
      <c r="B144" s="1" t="str">
        <f ca="1">IFERROR(__xludf.DUMMYFUNCTION("""COMPUTED_VALUE"""),"•  『SSSS.GRIDMAN』： 響裕太
•  『アイドリッシュセブン』： 亥清悠
•  『金装のヴェルメイユ～崖っぷち魔術師は最強の厄災と魔法世界を突き進む～』： アルト・ゴールドフィルド
•  『魔都精兵のスレイブ』： 和倉優希
•  『ダンジョン飯』： ホルム")</f>
        <v>•  『SSSS.GRIDMAN』： 響裕太
•  『アイドリッシュセブン』： 亥清悠
•  『金装のヴェルメイユ～崖っぷち魔術師は最強の厄災と魔法世界を突き進む～』： アルト・ゴールドフィルド
•  『魔都精兵のスレイブ』： 和倉優希
•  『ダンジョン飯』： ホルム</v>
      </c>
    </row>
    <row r="145" spans="1:2">
      <c r="A145" s="1" t="str">
        <f ca="1">IFERROR(__xludf.DUMMYFUNCTION("""COMPUTED_VALUE"""),"日野聡")</f>
        <v>日野聡</v>
      </c>
      <c r="B145" s="1" t="str">
        <f ca="1">IFERROR(__xludf.DUMMYFUNCTION("""COMPUTED_VALUE"""),"•  『オーバーロード』： アインズ・ウール・ゴウン／モモンガ
•  『鬼滅の刃』： 煉獄杏寿郎
•  『ハイキュー!!』： 澤村大地
•  『銀魂』： 神威
•  『ゼロの使い魔』： 平賀才人
•  『灼眼のシャナ』： 坂井悠二
•  『NARUTO -ナルト- 疾風伝』： サイ
•  『弱虫ペダル』： 新開隼人")</f>
        <v>•  『オーバーロード』： アインズ・ウール・ゴウン／モモンガ
•  『鬼滅の刃』： 煉獄杏寿郎
•  『ハイキュー!!』： 澤村大地
•  『銀魂』： 神威
•  『ゼロの使い魔』： 平賀才人
•  『灼眼のシャナ』： 坂井悠二
•  『NARUTO -ナルト- 疾風伝』： サイ
•  『弱虫ペダル』： 新開隼人</v>
      </c>
    </row>
    <row r="146" spans="1:2">
      <c r="A146" s="1" t="str">
        <f ca="1">IFERROR(__xludf.DUMMYFUNCTION("""COMPUTED_VALUE"""),"平川大輔")</f>
        <v>平川大輔</v>
      </c>
      <c r="B146" s="1" t="str">
        <f ca="1">IFERROR(__xludf.DUMMYFUNCTION("""COMPUTED_VALUE"""),"•  『ジョジョの奇妙な冒険 スターダストクルセイダース』： 花京院典明
•  『Free!』： 竜ヶ崎怜
•  『DIABOLIK LOVERS』： 逆巻ライト
•  『イタズラなKiss』： 入江直樹
•  『School Days』： 伊藤誠
•  『巌窟王』： フランツ・デピネー
•  『鬼滅の刃』： 魘夢")</f>
        <v>•  『ジョジョの奇妙な冒険 スターダストクルセイダース』： 花京院典明
•  『Free!』： 竜ヶ崎怜
•  『DIABOLIK LOVERS』： 逆巻ライト
•  『イタズラなKiss』： 入江直樹
•  『School Days』： 伊藤誠
•  『巌窟王』： フランツ・デピネー
•  『鬼滅の刃』： 魘夢</v>
      </c>
    </row>
    <row r="147" spans="1:2">
      <c r="A147" s="1" t="str">
        <f ca="1">IFERROR(__xludf.DUMMYFUNCTION("""COMPUTED_VALUE"""),"深町寿成")</f>
        <v>深町寿成</v>
      </c>
      <c r="B147" s="1" t="str">
        <f ca="1">IFERROR(__xludf.DUMMYFUNCTION("""COMPUTED_VALUE"""),"•  『ありふれた職業で世界最強』： 南雲ハジメ
•  『アイドルマスター SideM』： 黒野玄武
•  『史上最強の大魔王、村人Aに転生する』： アード・メテオール
•  『18TRIP』： 神名雪風
•  『DREAM!ing』： 虎澤一生
•  『神之塔 -Tower of God-』： ハツ")</f>
        <v>•  『ありふれた職業で世界最強』： 南雲ハジメ
•  『アイドルマスター SideM』： 黒野玄武
•  『史上最強の大魔王、村人Aに転生する』： アード・メテオール
•  『18TRIP』： 神名雪風
•  『DREAM!ing』： 虎澤一生
•  『神之塔 -Tower of God-』： ハツ</v>
      </c>
    </row>
    <row r="148" spans="1:2">
      <c r="A148" s="1" t="str">
        <f ca="1">IFERROR(__xludf.DUMMYFUNCTION("""COMPUTED_VALUE"""),"福島潤")</f>
        <v>福島潤</v>
      </c>
      <c r="B148" s="1" t="str">
        <f ca="1">IFERROR(__xludf.DUMMYFUNCTION("""COMPUTED_VALUE"""),"•  『この素晴らしい世界に祝福を！』： カズマ
•  『弱虫ペダル』： 鳴子章吉
•  『転生したらスライムだった件』： ガビル
•  『アクエリオンEVOL』： ジン・ムソウ
•  『琴浦さん』： 真鍋義久
•  『理系が恋に落ちたので証明してみた。』： 犬飼虎輔")</f>
        <v>•  『この素晴らしい世界に祝福を！』： カズマ
•  『弱虫ペダル』： 鳴子章吉
•  『転生したらスライムだった件』： ガビル
•  『アクエリオンEVOL』： ジン・ムソウ
•  『琴浦さん』： 真鍋義久
•  『理系が恋に落ちたので証明してみた。』： 犬飼虎輔</v>
      </c>
    </row>
    <row r="149" spans="1:2">
      <c r="A149" s="1" t="str">
        <f ca="1">IFERROR(__xludf.DUMMYFUNCTION("""COMPUTED_VALUE"""),"福山潤")</f>
        <v>福山潤</v>
      </c>
      <c r="B149" s="1" t="str">
        <f ca="1">IFERROR(__xludf.DUMMYFUNCTION("""COMPUTED_VALUE"""),"•  『コードギアス 反逆のルルーシュ』： ルルーシュ・ランペルージ
•  『暗殺教室』： 殺せんせー
•  『おそ松さん』： 松野一松
•  『青の祓魔師』： 奥村雪男
•  『中二病でも恋がしたい！』： 富樫勇太
•  『WORKING!!』： 小鳥遊宗太
•  『七つの大罪』： キング
•  『ペルソナ5』： 主人公（ジョーカー）
•  『吸血鬼すぐ死ぬ』： ドラルク")</f>
        <v>•  『コードギアス 反逆のルルーシュ』： ルルーシュ・ランペルージ
•  『暗殺教室』： 殺せんせー
•  『おそ松さん』： 松野一松
•  『青の祓魔師』： 奥村雪男
•  『中二病でも恋がしたい！』： 富樫勇太
•  『WORKING!!』： 小鳥遊宗太
•  『七つの大罪』： キング
•  『ペルソナ5』： 主人公（ジョーカー）
•  『吸血鬼すぐ死ぬ』： ドラルク</v>
      </c>
    </row>
    <row r="150" spans="1:2">
      <c r="A150" s="1" t="str">
        <f ca="1">IFERROR(__xludf.DUMMYFUNCTION("""COMPUTED_VALUE"""),"古川慎")</f>
        <v>古川慎</v>
      </c>
      <c r="B150" s="1" t="str">
        <f ca="1">IFERROR(__xludf.DUMMYFUNCTION("""COMPUTED_VALUE"""),"•  『ワンパンマン』： サイタマ
•  『かぐや様は告らせたい〜天才たちの恋愛頭脳戦〜』： 白銀御行
•  『転生したらスライムだった件』： ベニマル
•  『憂国のモリアーティ』： シャーロック・ホームズ
•  『ゴールデンタイム』： 多田万里
•  『吸血鬼すぐ死ぬ』： ロナルド
•  『機動戦士ガンダム 水星の魔女』： シャディク・ゼネリ")</f>
        <v>•  『ワンパンマン』： サイタマ
•  『かぐや様は告らせたい〜天才たちの恋愛頭脳戦〜』： 白銀御行
•  『転生したらスライムだった件』： ベニマル
•  『憂国のモリアーティ』： シャーロック・ホームズ
•  『ゴールデンタイム』： 多田万里
•  『吸血鬼すぐ死ぬ』： ロナルド
•  『機動戦士ガンダム 水星の魔女』： シャディク・ゼネリ</v>
      </c>
    </row>
    <row r="151" spans="1:2">
      <c r="A151" s="1" t="str">
        <f ca="1">IFERROR(__xludf.DUMMYFUNCTION("""COMPUTED_VALUE"""),"古田一紀")</f>
        <v>古田一紀</v>
      </c>
      <c r="B151" s="1" t="str">
        <f ca="1">IFERROR(__xludf.DUMMYFUNCTION("""COMPUTED_VALUE"""),"•  『ディズニー ツイステッドワンダーランド』： カリム・アルアジーム
•  『遊☆戯☆王SEVENS』： 霧島ロア
•  『フットサルボーイズ!!!!!』： 南雲竜
•  『キャロル＆チューズデイ』： リッキー")</f>
        <v>•  『ディズニー ツイステッドワンダーランド』： カリム・アルアジーム
•  『遊☆戯☆王SEVENS』： 霧島ロア
•  『フットサルボーイズ!!!!!』： 南雲竜
•  『キャロル＆チューズデイ』： リッキー</v>
      </c>
    </row>
    <row r="152" spans="1:2">
      <c r="A152" s="1" t="str">
        <f ca="1">IFERROR(__xludf.DUMMYFUNCTION("""COMPUTED_VALUE"""),"細谷佳正")</f>
        <v>細谷佳正</v>
      </c>
      <c r="B152" s="1" t="str">
        <f ca="1">IFERROR(__xludf.DUMMYFUNCTION("""COMPUTED_VALUE"""),"•  『進撃の巨人』： ライナー・ブラウン
•  『テニスの王子様』： 白石蔵ノ介
•  『機動戦士ガンダム 鉄血のオルフェンズ』： オルガ・イツカ
•  『黒子のバスケ』： 日向順平
•  『文豪ストレイドッグス』： 国木田独歩
•  『ハイキュー!!』： 東峰旭
•  『Free!』： 山崎宗介
•  『僕のヒーローアカデミア』： 常闇踏陰
•  『キングダム』： 王賁")</f>
        <v>•  『進撃の巨人』： ライナー・ブラウン
•  『テニスの王子様』： 白石蔵ノ介
•  『機動戦士ガンダム 鉄血のオルフェンズ』： オルガ・イツカ
•  『黒子のバスケ』： 日向順平
•  『文豪ストレイドッグス』： 国木田独歩
•  『ハイキュー!!』： 東峰旭
•  『Free!』： 山崎宗介
•  『僕のヒーローアカデミア』： 常闇踏陰
•  『キングダム』： 王賁</v>
      </c>
    </row>
    <row r="153" spans="1:2">
      <c r="A153" s="1" t="str">
        <f ca="1">IFERROR(__xludf.DUMMYFUNCTION("""COMPUTED_VALUE"""),"堀金蒼平")</f>
        <v>堀金蒼平</v>
      </c>
      <c r="B153" s="1" t="str">
        <f ca="1">IFERROR(__xludf.DUMMYFUNCTION("""COMPUTED_VALUE"""),"•  『18TRIP』： 畔川幾成
•  『信者ゼロの女神サマと始める異世界攻略』： 高月マコト
•  『メビウス・ダスト』： ハルト
•  『顔に出ない柏田さんと顔に出る太田君』： 佐田君")</f>
        <v>•  『18TRIP』： 畔川幾成
•  『信者ゼロの女神サマと始める異世界攻略』： 高月マコト
•  『メビウス・ダスト』： ハルト
•  『顔に出ない柏田さんと顔に出る太田君』： 佐田君</v>
      </c>
    </row>
    <row r="154" spans="1:2">
      <c r="A154" s="1" t="str">
        <f ca="1">IFERROR(__xludf.DUMMYFUNCTION("""COMPUTED_VALUE"""),"堀江瞬")</f>
        <v>堀江瞬</v>
      </c>
      <c r="B154" s="1" t="str">
        <f ca="1">IFERROR(__xludf.DUMMYFUNCTION("""COMPUTED_VALUE"""),"•  『僕の心のヤバイやつ』： 市川京太郎
•  『彼女、お借りします』： 木ノ下和也
•  『ドラゴン、家を買う。』： レティ
•  『蜘蛛ですが、なにか？』： シュン
•  『さらざんまい』： 陣内燕太
•  『アクダマドライブ』： ハッカー
•  『アイドルマスター SideM』： ピエール
•  『社長、バトルの時間です！』： ミナト")</f>
        <v>•  『僕の心のヤバイやつ』： 市川京太郎
•  『彼女、お借りします』： 木ノ下和也
•  『ドラゴン、家を買う。』： レティ
•  『蜘蛛ですが、なにか？』： シュン
•  『さらざんまい』： 陣内燕太
•  『アクダマドライブ』： ハッカー
•  『アイドルマスター SideM』： ピエール
•  『社長、バトルの時間です！』： ミナト</v>
      </c>
    </row>
    <row r="155" spans="1:2">
      <c r="A155" s="1" t="str">
        <f ca="1">IFERROR(__xludf.DUMMYFUNCTION("""COMPUTED_VALUE"""),"帆世雄一")</f>
        <v>帆世雄一</v>
      </c>
      <c r="B155" s="1" t="str">
        <f ca="1">IFERROR(__xludf.DUMMYFUNCTION("""COMPUTED_VALUE"""),"•  『あんさんぶるスターズ！』： 守沢千秋
•  『A3!』： 古市左京
•  『ようこそ実力至上主義の教室へ』： 石崎大地
•  『Fairy gone フェアリーゴーン』： クリストフ・ラーン
•  『魔法使いの約束』： レノックス
•  『ファイアーエムブレム 風花雪月』： フェリクス")</f>
        <v>•  『あんさんぶるスターズ！』： 守沢千秋
•  『A3!』： 古市左京
•  『ようこそ実力至上主義の教室へ』： 石崎大地
•  『Fairy gone フェアリーゴーン』： クリストフ・ラーン
•  『魔法使いの約束』： レノックス
•  『ファイアーエムブレム 風花雪月』： フェリクス</v>
      </c>
    </row>
    <row r="156" spans="1:2">
      <c r="A156" s="1" t="str">
        <f ca="1">IFERROR(__xludf.DUMMYFUNCTION("""COMPUTED_VALUE"""),"保志総一朗")</f>
        <v>保志総一朗</v>
      </c>
      <c r="B156" s="1" t="str">
        <f ca="1">IFERROR(__xludf.DUMMYFUNCTION("""COMPUTED_VALUE"""),"•  『機動戦士ガンダムSEED』／『SEED FREEDOM』： キラ・ヤマト
•  『最遊記』シリーズ： 孫悟空
•  『戦国BASARA』： 真田幸村
•  『アイドリッシュセブン』： 百
•  『ひぐらしのなく頃に』： 前原圭一
•  『スクライド』： カズマ
•  『そらのおとしもの』： 桜井智樹
•  『黒子のバスケ』： 笠松幸男")</f>
        <v>•  『機動戦士ガンダムSEED』／『SEED FREEDOM』： キラ・ヤマト
•  『最遊記』シリーズ： 孫悟空
•  『戦国BASARA』： 真田幸村
•  『アイドリッシュセブン』： 百
•  『ひぐらしのなく頃に』： 前原圭一
•  『スクライド』： カズマ
•  『そらのおとしもの』： 桜井智樹
•  『黒子のバスケ』： 笠松幸男</v>
      </c>
    </row>
    <row r="157" spans="1:2">
      <c r="A157" s="1" t="str">
        <f ca="1">IFERROR(__xludf.DUMMYFUNCTION("""COMPUTED_VALUE"""),"前野智昭")</f>
        <v>前野智昭</v>
      </c>
      <c r="B157" s="1" t="str">
        <f ca="1">IFERROR(__xludf.DUMMYFUNCTION("""COMPUTED_VALUE"""),"•  『図書館戦争』：堂上篤
•  『うたの☆プリンスさまっ♪』：カミュ
•  『KING OF PRISM』：速水ヒロ
•  『はたらく細胞』：白血球（好中球）
•  『転生したらスライムだった件』：ヴェルドラ
•  『原神』：鍾離
•  『暁のヨナ』：ソン・ハク
•  『刀剣乱舞』：山姥切国広")</f>
        <v>•  『図書館戦争』：堂上篤
•  『うたの☆プリンスさまっ♪』：カミュ
•  『KING OF PRISM』：速水ヒロ
•  『はたらく細胞』：白血球（好中球）
•  『転生したらスライムだった件』：ヴェルドラ
•  『原神』：鍾離
•  『暁のヨナ』：ソン・ハク
•  『刀剣乱舞』：山姥切国広</v>
      </c>
    </row>
    <row r="158" spans="1:2">
      <c r="A158" s="1" t="str">
        <f ca="1">IFERROR(__xludf.DUMMYFUNCTION("""COMPUTED_VALUE"""),"益山武明")</f>
        <v>益山武明</v>
      </c>
      <c r="B158" s="1" t="str">
        <f ca="1">IFERROR(__xludf.DUMMYFUNCTION("""COMPUTED_VALUE"""),"•  『アイドルマスター SideM』：紅井朱雀
•  『ソードアート・オンライン アリシゼーション』：エルドリエ・シンセシス・サーティワン
•  『ドメスティックな彼女』：柾岡悠弥
•  『プレイタの傷』：鷲峰ラン
•  『岸辺露伴は動かない』：修一")</f>
        <v>•  『アイドルマスター SideM』：紅井朱雀
•  『ソードアート・オンライン アリシゼーション』：エルドリエ・シンセシス・サーティワン
•  『ドメスティックな彼女』：柾岡悠弥
•  『プレイタの傷』：鷲峰ラン
•  『岸辺露伴は動かない』：修一</v>
      </c>
    </row>
    <row r="159" spans="1:2">
      <c r="A159" s="1" t="str">
        <f ca="1">IFERROR(__xludf.DUMMYFUNCTION("""COMPUTED_VALUE"""),"間島淳司")</f>
        <v>間島淳司</v>
      </c>
      <c r="B159" s="1" t="str">
        <f ca="1">IFERROR(__xludf.DUMMYFUNCTION("""COMPUTED_VALUE"""),"•  『とらドラ！』：高須竜児
•  『これはゾンビですか？』：相川歩
•  『暗殺教室』：千葉龍之介
•  『刀剣乱舞』：にっかり青江
•  『メモリーズオフ』シリーズ： 稲穂信
•  『緋弾のアリア』：遠山金次")</f>
        <v>•  『とらドラ！』：高須竜児
•  『これはゾンビですか？』：相川歩
•  『暗殺教室』：千葉龍之介
•  『刀剣乱舞』：にっかり青江
•  『メモリーズオフ』シリーズ： 稲穂信
•  『緋弾のアリア』：遠山金次</v>
      </c>
    </row>
    <row r="160" spans="1:2">
      <c r="A160" s="1" t="str">
        <f ca="1">IFERROR(__xludf.DUMMYFUNCTION("""COMPUTED_VALUE"""),"増田俊樹")</f>
        <v>増田俊樹</v>
      </c>
      <c r="B160" s="1" t="str">
        <f ca="1">IFERROR(__xludf.DUMMYFUNCTION("""COMPUTED_VALUE"""),"•  『僕のヒーローアカデミア』：切島鋭児郎
•  『アイドリッシュセブン』：和泉一織
•  『あんさんぶるスターズ！！』：朔間零
•  『刀剣乱舞』：加州清光
•  『遊☆戯☆王ZEXAL』：神代凌牙
•  『進撃の巨人』：ポルコ・ガリアード
•  『ハイキュー!!』：縁下力")</f>
        <v>•  『僕のヒーローアカデミア』：切島鋭児郎
•  『アイドリッシュセブン』：和泉一織
•  『あんさんぶるスターズ！！』：朔間零
•  『刀剣乱舞』：加州清光
•  『遊☆戯☆王ZEXAL』：神代凌牙
•  『進撃の巨人』：ポルコ・ガリアード
•  『ハイキュー!!』：縁下力</v>
      </c>
    </row>
    <row r="161" spans="1:2">
      <c r="A161" s="1" t="str">
        <f ca="1">IFERROR(__xludf.DUMMYFUNCTION("""COMPUTED_VALUE"""),"松岡禎丞")</f>
        <v>松岡禎丞</v>
      </c>
      <c r="B161" s="1" t="str">
        <f ca="1">IFERROR(__xludf.DUMMYFUNCTION("""COMPUTED_VALUE"""),"•  『ソードアート・オンライン』：キリト／桐ヶ谷和人
•  『鬼滅の刃』：嘴平伊之助
•  『食戟のソーマ』：幸平創真
•  『ダンジョンに出会いを求めるのは間違っているだろうか』：ベル・クラネル
•  『五等分の花嫁』：上杉風太郎
•  『ノーゲーム・ノーライフ』：空
•  『冴えない彼女の育てかた』：安芸倫也")</f>
        <v>•  『ソードアート・オンライン』：キリト／桐ヶ谷和人
•  『鬼滅の刃』：嘴平伊之助
•  『食戟のソーマ』：幸平創真
•  『ダンジョンに出会いを求めるのは間違っているだろうか』：ベル・クラネル
•  『五等分の花嫁』：上杉風太郎
•  『ノーゲーム・ノーライフ』：空
•  『冴えない彼女の育てかた』：安芸倫也</v>
      </c>
    </row>
    <row r="162" spans="1:2">
      <c r="A162" s="1" t="str">
        <f ca="1">IFERROR(__xludf.DUMMYFUNCTION("""COMPUTED_VALUE"""),"松田健一郎")</f>
        <v>松田健一郎</v>
      </c>
      <c r="B162" s="1" t="str">
        <f ca="1">IFERROR(__xludf.DUMMYFUNCTION("""COMPUTED_VALUE"""),"•  『SPY×FAMILY』：ボンド・フォージャー
•  『ヴィンランド・サガ』：トールズ
•  『ブラッククローバー』：ゴードン・アグリッパ
•  『刀剣乱舞』：祢々切丸
•  『DRAMAtical Murder』：ミンク
•  『ディスク・ウォーズ：アベンジャーズ』：ハルク")</f>
        <v>•  『SPY×FAMILY』：ボンド・フォージャー
•  『ヴィンランド・サガ』：トールズ
•  『ブラッククローバー』：ゴードン・アグリッパ
•  『刀剣乱舞』：祢々切丸
•  『DRAMAtical Murder』：ミンク
•  『ディスク・ウォーズ：アベンジャーズ』：ハルク</v>
      </c>
    </row>
    <row r="163" spans="1:2">
      <c r="A163" s="1" t="str">
        <f ca="1">IFERROR(__xludf.DUMMYFUNCTION("""COMPUTED_VALUE"""),"三浦勝之")</f>
        <v>三浦勝之</v>
      </c>
      <c r="B163" s="1" t="str">
        <f ca="1">IFERROR(__xludf.DUMMYFUNCTION("""COMPUTED_VALUE"""),"•  『魔法使いの約束』：ラスティカ
•  『白猫プロジェクト ZERO CHRONICLE』：ヴァルアス
•  『古見さんは、コミュ症です。』：成瀬詩守斗
•  『SDガンダムワールド ヒーローズ』：佐助デルタガンダム
•  『ぼっち・ざ・ろっく！』：吉田銀次郎
•  『Readyyy!』：香坂安吾")</f>
        <v>•  『魔法使いの約束』：ラスティカ
•  『白猫プロジェクト ZERO CHRONICLE』：ヴァルアス
•  『古見さんは、コミュ症です。』：成瀬詩守斗
•  『SDガンダムワールド ヒーローズ』：佐助デルタガンダム
•  『ぼっち・ざ・ろっく！』：吉田銀次郎
•  『Readyyy!』：香坂安吾</v>
      </c>
    </row>
    <row r="164" spans="1:2">
      <c r="A164" s="1" t="str">
        <f ca="1">IFERROR(__xludf.DUMMYFUNCTION("""COMPUTED_VALUE"""),"三木眞一郎")</f>
        <v>三木眞一郎</v>
      </c>
      <c r="B164" s="1" t="str">
        <f ca="1">IFERROR(__xludf.DUMMYFUNCTION("""COMPUTED_VALUE"""),"•  『ポケットモンスター』：コジロウ
•  『頭文字D』：藤原拓海
•  『鋼の錬金術師 FULLMETAL ALCHEMIST』：ロイ・マスタング
•  『BLEACH』：浦原喜助
•  『機動戦士ガンダム00』：ロックオン・ストラトス（ニール／ライル）
•  『銀魂』：坂本辰馬
•  『薄桜鬼』：土方歳三")</f>
        <v>•  『ポケットモンスター』：コジロウ
•  『頭文字D』：藤原拓海
•  『鋼の錬金術師 FULLMETAL ALCHEMIST』：ロイ・マスタング
•  『BLEACH』：浦原喜助
•  『機動戦士ガンダム00』：ロックオン・ストラトス（ニール／ライル）
•  『銀魂』：坂本辰馬
•  『薄桜鬼』：土方歳三</v>
      </c>
    </row>
    <row r="165" spans="1:2">
      <c r="A165" s="1" t="str">
        <f ca="1">IFERROR(__xludf.DUMMYFUNCTION("""COMPUTED_VALUE"""),"光富崇雄")</f>
        <v>光富崇雄</v>
      </c>
      <c r="B165" s="1" t="str">
        <f ca="1">IFERROR(__xludf.DUMMYFUNCTION("""COMPUTED_VALUE"""),"•  『ナンバカ』：ハニー
•  『妖怪学校の先生はじめました！』：狢八雲
•  『18TRIP』：棗夜鷹
•  『転生したらスライムだった件』：魔術師風の男")</f>
        <v>•  『ナンバカ』：ハニー
•  『妖怪学校の先生はじめました！』：狢八雲
•  『18TRIP』：棗夜鷹
•  『転生したらスライムだった件』：魔術師風の男</v>
      </c>
    </row>
    <row r="166" spans="1:2">
      <c r="A166" s="1" t="str">
        <f ca="1">IFERROR(__xludf.DUMMYFUNCTION("""COMPUTED_VALUE"""),"水島大宙")</f>
        <v>水島大宙</v>
      </c>
      <c r="B166" s="1" t="str">
        <f ca="1">IFERROR(__xludf.DUMMYFUNCTION("""COMPUTED_VALUE"""),"•  『コードギアス 反逆のルルーシュ R2』：ロロ・ランペルージ
•  『瀬戸の花嫁』：満潮永澄
•  『WHITE ALBUM2』：北原春希
•  『地縛少年花子くん』：日向夏彦
•  『Fate』シリーズ：ガウェイン／シャーロック・ホームズ
•  『GIANT KILLING』：椿大介
•  『僕だけがいない街』：白鳥潤")</f>
        <v>•  『コードギアス 反逆のルルーシュ R2』：ロロ・ランペルージ
•  『瀬戸の花嫁』：満潮永澄
•  『WHITE ALBUM2』：北原春希
•  『地縛少年花子くん』：日向夏彦
•  『Fate』シリーズ：ガウェイン／シャーロック・ホームズ
•  『GIANT KILLING』：椿大介
•  『僕だけがいない街』：白鳥潤</v>
      </c>
    </row>
    <row r="167" spans="1:2">
      <c r="A167" s="1" t="str">
        <f ca="1">IFERROR(__xludf.DUMMYFUNCTION("""COMPUTED_VALUE"""),"水中雅章")</f>
        <v>水中雅章</v>
      </c>
      <c r="B167" s="1" t="str">
        <f ca="1">IFERROR(__xludf.DUMMYFUNCTION("""COMPUTED_VALUE"""),"•  『ようこそ実力至上主義の教室へ』：龍園翔
•  『異世界魔王と召喚少女の奴隷魔術』：ディアヴロ
•  『東京リベンジャーズ』：場地圭介
•  『シュガーアップル・フェアリーテイル』：シャル・フェン・シャル
•  『後宮の烏』：夏高峻
•  『現実主義勇者の王国再建記』：ポンチョ・パナコッタ")</f>
        <v>•  『ようこそ実力至上主義の教室へ』：龍園翔
•  『異世界魔王と召喚少女の奴隷魔術』：ディアヴロ
•  『東京リベンジャーズ』：場地圭介
•  『シュガーアップル・フェアリーテイル』：シャル・フェン・シャル
•  『後宮の烏』：夏高峻
•  『現実主義勇者の王国再建記』：ポンチョ・パナコッタ</v>
      </c>
    </row>
    <row r="168" spans="1:2">
      <c r="A168" s="1" t="str">
        <f ca="1">IFERROR(__xludf.DUMMYFUNCTION("""COMPUTED_VALUE"""),"緑川光")</f>
        <v>緑川光</v>
      </c>
      <c r="B168" s="1" t="str">
        <f ca="1">IFERROR(__xludf.DUMMYFUNCTION("""COMPUTED_VALUE"""),"•  『SLAM DUNK』：流川楓
•  『新機動戦記ガンダムW』：ヒイロ・ユイ
•  『スレイヤーズ』：ゼルガディス＝グレイワーズ
•  『あんさんぶるスターズ！』：天祥院英智
•  『DIABOLIK LOVERS』：逆巻アヤト
•  『ワンパンマン』：ガロウ
•  『名探偵コナン』：諸伏景光／スコッチ
•  『SSSS.GRIDMAN』：グリッドマン")</f>
        <v>•  『SLAM DUNK』：流川楓
•  『新機動戦記ガンダムW』：ヒイロ・ユイ
•  『スレイヤーズ』：ゼルガディス＝グレイワーズ
•  『あんさんぶるスターズ！』：天祥院英智
•  『DIABOLIK LOVERS』：逆巻アヤト
•  『ワンパンマン』：ガロウ
•  『名探偵コナン』：諸伏景光／スコッチ
•  『SSSS.GRIDMAN』：グリッドマン</v>
      </c>
    </row>
    <row r="169" spans="1:2">
      <c r="A169" s="1" t="str">
        <f ca="1">IFERROR(__xludf.DUMMYFUNCTION("""COMPUTED_VALUE"""),"宮下栄治")</f>
        <v>宮下栄治</v>
      </c>
      <c r="B169" s="1" t="str">
        <f ca="1">IFERROR(__xludf.DUMMYFUNCTION("""COMPUTED_VALUE"""),"•  『結界師』：志々尾限
•  『暗殺教室』：菅谷創介
•  『蒼き鋼のアルペジオ -アルス・ノヴァ-』：橿原杏平
•  『刀剣乱舞』：次郎太刀／岩融")</f>
        <v>•  『結界師』：志々尾限
•  『暗殺教室』：菅谷創介
•  『蒼き鋼のアルペジオ -アルス・ノヴァ-』：橿原杏平
•  『刀剣乱舞』：次郎太刀／岩融</v>
      </c>
    </row>
    <row r="170" spans="1:2">
      <c r="A170" s="1" t="str">
        <f ca="1">IFERROR(__xludf.DUMMYFUNCTION("""COMPUTED_VALUE"""),"宮田幸季")</f>
        <v>宮田幸季</v>
      </c>
      <c r="B170" s="1" t="str">
        <f ca="1">IFERROR(__xludf.DUMMYFUNCTION("""COMPUTED_VALUE"""),"•  『今日からマ王！』：村田健
•  『Free!』：似鳥愛一郎
•  『バカとテストと召喚獣』：土屋康太
•  『tactics』：一ノ宮勘太郎
•  『BLEACH』：山田花太郎
•  『鬼滅の刃』：村田
•  『弱虫ペダル』：杉元照文")</f>
        <v>•  『今日からマ王！』：村田健
•  『Free!』：似鳥愛一郎
•  『バカとテストと召喚獣』：土屋康太
•  『tactics』：一ノ宮勘太郎
•  『BLEACH』：山田花太郎
•  『鬼滅の刃』：村田
•  『弱虫ペダル』：杉元照文</v>
      </c>
    </row>
    <row r="171" spans="1:2">
      <c r="A171" s="1" t="str">
        <f ca="1">IFERROR(__xludf.DUMMYFUNCTION("""COMPUTED_VALUE"""),"村瀬歩")</f>
        <v>村瀬歩</v>
      </c>
      <c r="B171" s="1" t="str">
        <f ca="1">IFERROR(__xludf.DUMMYFUNCTION("""COMPUTED_VALUE"""),"•  『ハイキュー!!』：日向翔陽
•  『魔入りました！入間くん』：鈴木入間
•  『あんさんぶるスターズ！』：姫宮桃李
•  『原神』：ウェンティ
•  『アイドルマスター SideM』：姫野かのん
•  『ひろがるスカイ！プリキュア』：夕凪ツバサ／キュアウィング
•  『王様ランキング』：カゲ")</f>
        <v>•  『ハイキュー!!』：日向翔陽
•  『魔入りました！入間くん』：鈴木入間
•  『あんさんぶるスターズ！』：姫宮桃李
•  『原神』：ウェンティ
•  『アイドルマスター SideM』：姫野かのん
•  『ひろがるスカイ！プリキュア』：夕凪ツバサ／キュアウィング
•  『王様ランキング』：カゲ</v>
      </c>
    </row>
    <row r="172" spans="1:2">
      <c r="A172" s="1" t="str">
        <f ca="1">IFERROR(__xludf.DUMMYFUNCTION("""COMPUTED_VALUE"""),"村田太志")</f>
        <v>村田太志</v>
      </c>
      <c r="B172" s="1" t="str">
        <f ca="1">IFERROR(__xludf.DUMMYFUNCTION("""COMPUTED_VALUE"""),"•  『機動戦士ガンダム 鉄血のオルフェンズ』：ノルバ・シノ
•  『メイドインアビス』：ジルオ
•  『ベイビーステップ』：丸尾栄一郎
•  『美少女戦士セーラームーンEternal／Cosmos』：アルテミス
•  『THE FIRST SLAM DUNK』：桑田登紀
•  『WIND BREAKER』：榎本健史
•  『TSUKIPRO THE ANIMATION』：宗像廉")</f>
        <v>•  『機動戦士ガンダム 鉄血のオルフェンズ』：ノルバ・シノ
•  『メイドインアビス』：ジルオ
•  『ベイビーステップ』：丸尾栄一郎
•  『美少女戦士セーラームーンEternal／Cosmos』：アルテミス
•  『THE FIRST SLAM DUNK』：桑田登紀
•  『WIND BREAKER』：榎本健史
•  『TSUKIPRO THE ANIMATION』：宗像廉</v>
      </c>
    </row>
    <row r="173" spans="1:2">
      <c r="A173" s="1" t="str">
        <f ca="1">IFERROR(__xludf.DUMMYFUNCTION("""COMPUTED_VALUE"""),"森久保祥太郎")</f>
        <v>森久保祥太郎</v>
      </c>
      <c r="B173" s="1" t="str">
        <f ca="1">IFERROR(__xludf.DUMMYFUNCTION("""COMPUTED_VALUE"""),"•  『NARUTO -ナルト-』：奈良シカマル
•  『メジャー』：茂野吾郎
•  『弱虫ペダル』：巻島裕介
•  『うたの☆プリンスさまっ♪』：寿嶺二
•  『東京リベンジャーズ』：稀咲鉄太
•  『ペルソナ4』：花村陽介
•  『GetBackers -奪還屋-』：天野銀次
•  『薄桜鬼』：沖田総司")</f>
        <v>•  『NARUTO -ナルト-』：奈良シカマル
•  『メジャー』：茂野吾郎
•  『弱虫ペダル』：巻島裕介
•  『うたの☆プリンスさまっ♪』：寿嶺二
•  『東京リベンジャーズ』：稀咲鉄太
•  『ペルソナ4』：花村陽介
•  『GetBackers -奪還屋-』：天野銀次
•  『薄桜鬼』：沖田総司</v>
      </c>
    </row>
    <row r="174" spans="1:2">
      <c r="A174" s="1" t="str">
        <f ca="1">IFERROR(__xludf.DUMMYFUNCTION("""COMPUTED_VALUE"""),"森川智之")</f>
        <v>森川智之</v>
      </c>
      <c r="B174" s="1" t="str">
        <f ca="1">IFERROR(__xludf.DUMMYFUNCTION("""COMPUTED_VALUE"""),"•  『クレヨンしんちゃん』：野原ひろし（2代目）
•  『ファイナルファンタジーVII』：セフィロス
•  『鬼滅の刃』：産屋敷耀哉
•  『犬夜叉』：奈落
•  『ジョジョの奇妙な冒険 ダイヤモンドは砕けない』：吉良吉影
•  『名探偵コナン』：羽田秀吉
•  『メイドインアビス』：ボンドルド")</f>
        <v>•  『クレヨンしんちゃん』：野原ひろし（2代目）
•  『ファイナルファンタジーVII』：セフィロス
•  『鬼滅の刃』：産屋敷耀哉
•  『犬夜叉』：奈落
•  『ジョジョの奇妙な冒険 ダイヤモンドは砕けない』：吉良吉影
•  『名探偵コナン』：羽田秀吉
•  『メイドインアビス』：ボンドルド</v>
      </c>
    </row>
    <row r="175" spans="1:2">
      <c r="A175" s="1" t="str">
        <f ca="1">IFERROR(__xludf.DUMMYFUNCTION("""COMPUTED_VALUE"""),"八代拓")</f>
        <v>八代拓</v>
      </c>
      <c r="B175" s="1" t="str">
        <f ca="1">IFERROR(__xludf.DUMMYFUNCTION("""COMPUTED_VALUE"""),"•  『KING OF PRISM』：十王院カケル
•  『タイガーマスクW』：東ナオト／タイガーマスク
•  『炎炎ノ消防隊』：ヴァルカン・ジョゼフ
•  『アイドルマスター SideM』：柏木翼
•  『ドメスティックな彼女』：藤井夏生
•  『るろうに剣心 －明治剣客浪漫譚－』：相楽左之助
•  『ポケットモンスター』（2023年版）：フリード
•  『千銃士』：ブラウン・ベス")</f>
        <v>•  『KING OF PRISM』：十王院カケル
•  『タイガーマスクW』：東ナオト／タイガーマスク
•  『炎炎ノ消防隊』：ヴァルカン・ジョゼフ
•  『アイドルマスター SideM』：柏木翼
•  『ドメスティックな彼女』：藤井夏生
•  『るろうに剣心 －明治剣客浪漫譚－』：相楽左之助
•  『ポケットモンスター』（2023年版）：フリード
•  『千銃士』：ブラウン・ベス</v>
      </c>
    </row>
    <row r="176" spans="1:2">
      <c r="A176" s="1" t="str">
        <f ca="1">IFERROR(__xludf.DUMMYFUNCTION("""COMPUTED_VALUE"""),"安元洋貴")</f>
        <v>安元洋貴</v>
      </c>
      <c r="B176" s="1" t="str">
        <f ca="1">IFERROR(__xludf.DUMMYFUNCTION("""COMPUTED_VALUE"""),"•  『鬼灯の冷徹』：鬼灯
•  『BLEACH』：茶渡泰虎
•  『ヘタリア』：ドイツ
•  『弱虫ペダル』：金城真護
•  『ワンパンマン』：キング
•  『炎炎ノ消防隊』：カロン
•  『王様ランキング』：アピス")</f>
        <v>•  『鬼灯の冷徹』：鬼灯
•  『BLEACH』：茶渡泰虎
•  『ヘタリア』：ドイツ
•  『弱虫ペダル』：金城真護
•  『ワンパンマン』：キング
•  『炎炎ノ消防隊』：カロン
•  『王様ランキング』：アピス</v>
      </c>
    </row>
    <row r="177" spans="1:2">
      <c r="A177" s="1" t="str">
        <f ca="1">IFERROR(__xludf.DUMMYFUNCTION("""COMPUTED_VALUE"""),"山口智広")</f>
        <v>山口智広</v>
      </c>
      <c r="B177" s="1" t="str">
        <f ca="1">IFERROR(__xludf.DUMMYFUNCTION("""COMPUTED_VALUE"""),"・『あんさんぶるスターズ！！』： 椎名ニキ
・『ぷにるんず』： うるるん
・『ドラゴンボールDAIMA』： ピッコロ（ミニ）
・『CHEATING CRAFT』： 諸葛睦明
・『終末のワルキューレ』： ムニン")</f>
        <v>・『あんさんぶるスターズ！！』： 椎名ニキ
・『ぷにるんず』： うるるん
・『ドラゴンボールDAIMA』： ピッコロ（ミニ）
・『CHEATING CRAFT』： 諸葛睦明
・『終末のワルキューレ』： ムニン</v>
      </c>
    </row>
    <row r="178" spans="1:2">
      <c r="A178" s="1" t="str">
        <f ca="1">IFERROR(__xludf.DUMMYFUNCTION("""COMPUTED_VALUE"""),"山崎たくみ")</f>
        <v>山崎たくみ</v>
      </c>
      <c r="B178" s="1" t="str">
        <f ca="1">IFERROR(__xludf.DUMMYFUNCTION("""COMPUTED_VALUE"""),"・『マクロスプラス』： イサム・ダイソン
・『機動武闘伝Gガンダム』： ジョルジュ・ド・サンド
・『忍たま乱太郎』： 鉢屋三郎／小松田秀作
・『銀魂』： 河上万斉
・『Fate/Zero』： ケイネス・エルメロイ・アーチボルト
・『しまじろう』： とりっぴー")</f>
        <v>・『マクロスプラス』： イサム・ダイソン
・『機動武闘伝Gガンダム』： ジョルジュ・ド・サンド
・『忍たま乱太郎』： 鉢屋三郎／小松田秀作
・『銀魂』： 河上万斉
・『Fate/Zero』： ケイネス・エルメロイ・アーチボルト
・『しまじろう』： とりっぴー</v>
      </c>
    </row>
    <row r="179" spans="1:2">
      <c r="A179" s="1" t="str">
        <f ca="1">IFERROR(__xludf.DUMMYFUNCTION("""COMPUTED_VALUE"""),"山下誠一郎")</f>
        <v>山下誠一郎</v>
      </c>
      <c r="B179" s="1" t="str">
        <f ca="1">IFERROR(__xludf.DUMMYFUNCTION("""COMPUTED_VALUE"""),"・『陰の実力者になりたくて！』： シド・カゲノー／シャドウ
・『ホリミヤ』： 石川透
・『86-エイティシックス-』： ライデン・シュガ
・『夫婦以上、恋人未満。』： 薬院次郎
・『刀剣乱舞』： 薬研藤四郎
・『ディズニー ツイステッドワンダーランド』： エース・トラッポラ")</f>
        <v>・『陰の実力者になりたくて！』： シド・カゲノー／シャドウ
・『ホリミヤ』： 石川透
・『86-エイティシックス-』： ライデン・シュガ
・『夫婦以上、恋人未満。』： 薬院次郎
・『刀剣乱舞』： 薬研藤四郎
・『ディズニー ツイステッドワンダーランド』： エース・トラッポラ</v>
      </c>
    </row>
    <row r="180" spans="1:2">
      <c r="A180" s="1" t="str">
        <f ca="1">IFERROR(__xludf.DUMMYFUNCTION("""COMPUTED_VALUE"""),"山下大輝")</f>
        <v>山下大輝</v>
      </c>
      <c r="B180" s="1" t="str">
        <f ca="1">IFERROR(__xludf.DUMMYFUNCTION("""COMPUTED_VALUE"""),"・『僕のヒーローアカデミア』： 緑谷出久
・『弱虫ペダル』： 小野田坂道
・『あんさんぶるスターズ！！』： 朔間凛月
・『ジョジョの奇妙な冒険 黄金の風』： ナランチャ・ギルガ
・『ポケットモンスター』： ゴウ")</f>
        <v>・『僕のヒーローアカデミア』： 緑谷出久
・『弱虫ペダル』： 小野田坂道
・『あんさんぶるスターズ！！』： 朔間凛月
・『ジョジョの奇妙な冒険 黄金の風』： ナランチャ・ギルガ
・『ポケットモンスター』： ゴウ</v>
      </c>
    </row>
    <row r="181" spans="1:2">
      <c r="A181" s="1" t="str">
        <f ca="1">IFERROR(__xludf.DUMMYFUNCTION("""COMPUTED_VALUE"""),"山中真尋")</f>
        <v>山中真尋</v>
      </c>
      <c r="B181" s="1" t="str">
        <f ca="1">IFERROR(__xludf.DUMMYFUNCTION("""COMPUTED_VALUE"""),"・『刀剣乱舞』： 亀甲貞宗
・『君に届け』： 城之内宗一
・『ツキウタ。THE ANIMATION』： 月城奏
・『真の仲間じゃないと勇者のパーティーを追い出されたので、辺境でスローライフすることにしました』： ゴンズ
・『ゼロの使い魔』： ウェールズ・テューダー／レイナール
・『ヤリチン☆ビッチ部』： 糸目幸士郎")</f>
        <v>・『刀剣乱舞』： 亀甲貞宗
・『君に届け』： 城之内宗一
・『ツキウタ。THE ANIMATION』： 月城奏
・『真の仲間じゃないと勇者のパーティーを追い出されたので、辺境でスローライフすることにしました』： ゴンズ
・『ゼロの使い魔』： ウェールズ・テューダー／レイナール
・『ヤリチン☆ビッチ部』： 糸目幸士郎</v>
      </c>
    </row>
    <row r="182" spans="1:2">
      <c r="A182" s="1" t="str">
        <f ca="1">IFERROR(__xludf.DUMMYFUNCTION("""COMPUTED_VALUE"""),"山本和臣")</f>
        <v>山本和臣</v>
      </c>
      <c r="B182" s="1" t="str">
        <f ca="1">IFERROR(__xludf.DUMMYFUNCTION("""COMPUTED_VALUE"""),"・『機動戦士ガンダムAGE』： キオ・アスノ
・『美男高校地球防衛部LOVE!』： 箱根有基
・『グレイプニル』： 春日勇
・『なんでここに先生が!?』： 高橋隆
・『あんさんぶるスターズ！』： 春川宙
・『日常』： 中之条剛")</f>
        <v>・『機動戦士ガンダムAGE』： キオ・アスノ
・『美男高校地球防衛部LOVE!』： 箱根有基
・『グレイプニル』： 春日勇
・『なんでここに先生が!?』： 高橋隆
・『あんさんぶるスターズ！』： 春川宙
・『日常』： 中之条剛</v>
      </c>
    </row>
    <row r="183" spans="1:2">
      <c r="A183" s="1" t="str">
        <f ca="1">IFERROR(__xludf.DUMMYFUNCTION("""COMPUTED_VALUE"""),"山谷祥生")</f>
        <v>山谷祥生</v>
      </c>
      <c r="B183" s="1" t="str">
        <f ca="1">IFERROR(__xludf.DUMMYFUNCTION("""COMPUTED_VALUE"""),"・『一週間フレンズ。』： 長谷祐樹
・『暗殺教室』： 杉野友人
・『盾の勇者の成り上がり』： 川澄樹
・『A3!』： 向坂椋
・『魔入りました！入間くん』： シャックス・リード
・『アルドノア・ゼロ』： 箕国起助")</f>
        <v>・『一週間フレンズ。』： 長谷祐樹
・『暗殺教室』： 杉野友人
・『盾の勇者の成り上がり』： 川澄樹
・『A3!』： 向坂椋
・『魔入りました！入間くん』： シャックス・リード
・『アルドノア・ゼロ』： 箕国起助</v>
      </c>
    </row>
    <row r="184" spans="1:2">
      <c r="A184" s="1" t="str">
        <f ca="1">IFERROR(__xludf.DUMMYFUNCTION("""COMPUTED_VALUE"""),"吉野裕行")</f>
        <v>吉野裕行</v>
      </c>
      <c r="B184" s="1" t="str">
        <f ca="1">IFERROR(__xludf.DUMMYFUNCTION("""COMPUTED_VALUE"""),"・『機動戦士ガンダム00』： アレルヤ・ハプティズム
・『ハイキュー!!』： 岩泉一
・『僕のヒーローアカデミア』： プレゼント・マイク（山田ひざし）
・『SPY×FAMILY』： フランキー・フランクリン
・『イナズマイレブン』： 鬼道有人
・『弱虫ペダル』： 荒北靖友")</f>
        <v>・『機動戦士ガンダム00』： アレルヤ・ハプティズム
・『ハイキュー!!』： 岩泉一
・『僕のヒーローアカデミア』： プレゼント・マイク（山田ひざし）
・『SPY×FAMILY』： フランキー・フランクリン
・『イナズマイレブン』： 鬼道有人
・『弱虫ペダル』： 荒北靖友</v>
      </c>
    </row>
    <row r="185" spans="1:2">
      <c r="A185" s="1" t="str">
        <f ca="1">IFERROR(__xludf.DUMMYFUNCTION("""COMPUTED_VALUE"""),"代永翼")</f>
        <v>代永翼</v>
      </c>
      <c r="B185" s="1" t="str">
        <f ca="1">IFERROR(__xludf.DUMMYFUNCTION("""COMPUTED_VALUE"""),"・『Free!』： 葉月渚
・『アイドリッシュセブン』： 和泉三月
・『おおきく振りかぶって』： 三橋廉
・『カードファイト!! ヴァンガード』： 先導アイチ
・『弱虫ペダル』： 真波山岳
・『ちはやふる』： 駒野勉")</f>
        <v>・『Free!』： 葉月渚
・『アイドリッシュセブン』： 和泉三月
・『おおきく振りかぶって』： 三橋廉
・『カードファイト!! ヴァンガード』： 先導アイチ
・『弱虫ペダル』： 真波山岳
・『ちはやふる』： 駒野勉</v>
      </c>
    </row>
    <row r="186" spans="1:2">
      <c r="A186" s="1" t="str">
        <f ca="1">IFERROR(__xludf.DUMMYFUNCTION("""COMPUTED_VALUE"""),"米内佑希")</f>
        <v>米内佑希</v>
      </c>
      <c r="B186" s="1" t="str">
        <f ca="1">IFERROR(__xludf.DUMMYFUNCTION("""COMPUTED_VALUE"""),"・『あんさんぶるスターズ！』： 仁兎なずな
・『チア男子!!』： 坂東晴希
・『ピアシェ～私のイタリアン～』： 北原マロ")</f>
        <v>・『あんさんぶるスターズ！』： 仁兎なずな
・『チア男子!!』： 坂東晴希
・『ピアシェ～私のイタリアン～』： 北原マロ</v>
      </c>
    </row>
    <row r="187" spans="1:2">
      <c r="A187" s="1" t="str">
        <f ca="1">IFERROR(__xludf.DUMMYFUNCTION("""COMPUTED_VALUE"""),"KENN")</f>
        <v>KENN</v>
      </c>
      <c r="B187" s="1" t="str">
        <f ca="1">IFERROR(__xludf.DUMMYFUNCTION("""COMPUTED_VALUE"""),"•  『遊☆戯☆王デュエルモンスターズGX』： 遊城十代
•  『アイドリッシュセブン』： 四葉環
•  『宇宙兄弟』： 南波日々人
•  『境界の彼方』： 神原秋人
•  『サイバーパンク エッジランナーズ』： デイビッド・マルティネス
•  『逆転裁判』シリーズ： 王泥喜法介
•  『エア・ギア』： 美鞍葛馬（カズ）
•  『アイ★チュウ』： 愛童星夜")</f>
        <v>•  『遊☆戯☆王デュエルモンスターズGX』： 遊城十代
•  『アイドリッシュセブン』： 四葉環
•  『宇宙兄弟』： 南波日々人
•  『境界の彼方』： 神原秋人
•  『サイバーパンク エッジランナーズ』： デイビッド・マルティネス
•  『逆転裁判』シリーズ： 王泥喜法介
•  『エア・ギア』： 美鞍葛馬（カズ）
•  『アイ★チュウ』： 愛童星夜</v>
      </c>
    </row>
    <row r="188" spans="1:2">
      <c r="A188" s="1" t="str">
        <f ca="1">IFERROR(__xludf.DUMMYFUNCTION("""COMPUTED_VALUE"""),"新垣樽助")</f>
        <v>新垣樽助</v>
      </c>
      <c r="B188" s="1" t="str">
        <f ca="1">IFERROR(__xludf.DUMMYFUNCTION("""COMPUTED_VALUE"""),"•  『テニスの王子様』： 木手永四郎
•  『Fate/Zero』： 間桐雁夜
•  『僕のヒーローアカデミア』： 通形ミリオ
•  『刀剣乱舞』： へし切長谷部／長曽祢虎徹
•  『囀る鳥は羽ばたかない』： 矢代
•  『NOBLESSE -ノブレス-』： カディス・エトラマ・デ・ライジェル
•  『攻殻機動隊 ARISE』： トグサ")</f>
        <v>•  『テニスの王子様』： 木手永四郎
•  『Fate/Zero』： 間桐雁夜
•  『僕のヒーローアカデミア』： 通形ミリオ
•  『刀剣乱舞』： へし切長谷部／長曽祢虎徹
•  『囀る鳥は羽ばたかない』： 矢代
•  『NOBLESSE -ノブレス-』： カディス・エトラマ・デ・ライジェル
•  『攻殻機動隊 ARISE』： トグサ</v>
      </c>
    </row>
    <row r="189" spans="1:2">
      <c r="A189" s="1" t="str">
        <f ca="1">IFERROR(__xludf.DUMMYFUNCTION("""COMPUTED_VALUE"""),"小村 将")</f>
        <v>小村 将</v>
      </c>
      <c r="B189" s="1" t="str">
        <f ca="1">IFERROR(__xludf.DUMMYFUNCTION("""COMPUTED_VALUE"""),"•  『七つの大罪 黙示録の四騎士』： パーシバル（主人公）
•  『劇場版 イナズマイレブン 新たなる英雄たちの序章』：笹波雲明
•  『オタクに優しいギャルはいない!?』： 瀬尾卓也")</f>
        <v>•  『七つの大罪 黙示録の四騎士』： パーシバル（主人公）
•  『劇場版 イナズマイレブン 新たなる英雄たちの序章』：笹波雲明
•  『オタクに優しいギャルはいない!?』： 瀬尾卓也</v>
      </c>
    </row>
    <row r="190" spans="1:2">
      <c r="A190" s="1" t="str">
        <f ca="1">IFERROR(__xludf.DUMMYFUNCTION("""COMPUTED_VALUE"""),"永野由祐")</f>
        <v>永野由祐</v>
      </c>
      <c r="B190" s="1" t="str">
        <f ca="1">IFERROR(__xludf.DUMMYFUNCTION("""COMPUTED_VALUE"""),"•  『アイドルマスター SideM』： 神楽麗
•  『魔法使いの約束』： リケ
•  『白い砂のアクアトープ』： 比嘉瑛士
•  『機動戦士Gundam GQuuuuuuX』： ケーン
•  『王様ゲーム The Animation』： 山下敬太
•  『泣きたい私は猫をかぶる』： 新堀歩")</f>
        <v>•  『アイドルマスター SideM』： 神楽麗
•  『魔法使いの約束』： リケ
•  『白い砂のアクアトープ』： 比嘉瑛士
•  『機動戦士Gundam GQuuuuuuX』： ケーン
•  『王様ゲーム The Animation』： 山下敬太
•  『泣きたい私は猫をかぶる』： 新堀歩</v>
      </c>
    </row>
    <row r="191" spans="1:2">
      <c r="A191" s="1" t="str">
        <f ca="1">IFERROR(__xludf.DUMMYFUNCTION("""COMPUTED_VALUE"""),"渡辺拓海")</f>
        <v>渡辺拓海</v>
      </c>
      <c r="B191" s="1" t="str">
        <f ca="1">IFERROR(__xludf.DUMMYFUNCTION("""COMPUTED_VALUE"""),"•  『ハイキュー!!』： 芝山優生
•  『あんさんぶるスターズ！』： 高峯翠
•  『文豪とアルケミスト 〜審判ノ歯車〜』： 徳田秋声
•  『銀の匙 Silver Spoon』： 木野広行
•  『12歳。』： エイコー
•  『エリアの騎士』： 真屋信之介")</f>
        <v>•  『ハイキュー!!』： 芝山優生
•  『あんさんぶるスターズ！』： 高峯翠
•  『文豪とアルケミスト 〜審判ノ歯車〜』： 徳田秋声
•  『銀の匙 Silver Spoon』： 木野広行
•  『12歳。』： エイコー
•  『エリアの騎士』： 真屋信之介</v>
      </c>
    </row>
    <row r="192" spans="1:2">
      <c r="A192" s="1" t="str">
        <f ca="1">IFERROR(__xludf.DUMMYFUNCTION("""COMPUTED_VALUE"""),"速水奨")</f>
        <v>速水奨</v>
      </c>
      <c r="B192" s="1" t="str">
        <f ca="1">IFERROR(__xludf.DUMMYFUNCTION("""COMPUTED_VALUE"""),"•  『超時空要塞マクロス』： マクシミリアン・ジーナス（マックス）
•  『BLEACH』： 藍染惣右介
•  『Fate/Zero』： 遠坂時臣
•  『銀魂』： 星海坊主
•  『ヒプノシスマイク』： 神宮寺寂雷
•  『戦国BASARA』： 明智光秀
•  『本好きの下剋上』： フェルディナンド
•  『ジョジョの奇妙な冒険 スターダストクルセイダース』： ヴァニラ・アイス")</f>
        <v>•  『超時空要塞マクロス』： マクシミリアン・ジーナス（マックス）
•  『BLEACH』： 藍染惣右介
•  『Fate/Zero』： 遠坂時臣
•  『銀魂』： 星海坊主
•  『ヒプノシスマイク』： 神宮寺寂雷
•  『戦国BASARA』： 明智光秀
•  『本好きの下剋上』： フェルディナンド
•  『ジョジョの奇妙な冒険 スターダストクルセイダース』： ヴァニラ・アイス</v>
      </c>
    </row>
    <row r="193" spans="1:2">
      <c r="A193" s="1" t="str">
        <f ca="1">IFERROR(__xludf.DUMMYFUNCTION("""COMPUTED_VALUE"""),"黒田崇矢")</f>
        <v>黒田崇矢</v>
      </c>
      <c r="B193" s="1" t="str">
        <f ca="1">IFERROR(__xludf.DUMMYFUNCTION("""COMPUTED_VALUE"""),"•  『龍が如く』シリーズ： 桐生一馬
•  『ヒプノシスマイク』： 天谷奴零
•  『魔入りました！入間くん』： サリバン
•  『呪術廻戦』： 夜蛾正道
•  『デュラララ!!』： サイモン・ブレジネフ
•  『妖怪ウォッチ シャドウサイド』： ジバニャン
•  『夏目友人帳』： 三篠
•  『オッドタクシー』： 黒田")</f>
        <v>•  『龍が如く』シリーズ： 桐生一馬
•  『ヒプノシスマイク』： 天谷奴零
•  『魔入りました！入間くん』： サリバン
•  『呪術廻戦』： 夜蛾正道
•  『デュラララ!!』： サイモン・ブレジネフ
•  『妖怪ウォッチ シャドウサイド』： ジバニャン
•  『夏目友人帳』： 三篠
•  『オッドタクシー』： 黒田</v>
      </c>
    </row>
    <row r="194" spans="1:2">
      <c r="A194" s="1" t="str">
        <f ca="1">IFERROR(__xludf.DUMMYFUNCTION("""COMPUTED_VALUE"""),"葉山翔太")</f>
        <v>葉山翔太</v>
      </c>
      <c r="B194" s="1" t="str">
        <f ca="1">IFERROR(__xludf.DUMMYFUNCTION("""COMPUTED_VALUE"""),"•  『ヒプノシスマイク』： 波羅夷空却
•  『美男高校地球防衛部HAPPY KISS!』： 道後一六
•  『東京リベンジャーズ』： 山岸一司
•  『ウルトラマンタイガ』： ウルトラマンフーマ
•  『ぶっちぎり?!』： 刃暮
•  『川越ボーイズ・シング』： 葉加瀬友
•  『REVENGER』： 惣二")</f>
        <v>•  『ヒプノシスマイク』： 波羅夷空却
•  『美男高校地球防衛部HAPPY KISS!』： 道後一六
•  『東京リベンジャーズ』： 山岸一司
•  『ウルトラマンタイガ』： ウルトラマンフーマ
•  『ぶっちぎり?!』： 刃暮
•  『川越ボーイズ・シング』： 葉加瀬友
•  『REVENGER』： 惣二</v>
      </c>
    </row>
    <row r="195" spans="1:2">
      <c r="A195" s="1" t="str">
        <f ca="1">IFERROR(__xludf.DUMMYFUNCTION("""COMPUTED_VALUE"""),"竹内栄治")</f>
        <v>竹内栄治</v>
      </c>
      <c r="B195" s="1" t="str">
        <f ca="1">IFERROR(__xludf.DUMMYFUNCTION("""COMPUTED_VALUE"""),"•  『ヒプノシスマイク』： 天国獄
•  『ようこそ実力至上主義の教室へ』： 須藤健
•  『デカダンス』： フェンネル
•  『東京リベンジャーズ』： 長内信高
•  『BANANA FISH』： スティーブン・トムソン
•  『ザ・スーパーマリオギャラクシー・ムービー』： フォックス・マクラウド")</f>
        <v>•  『ヒプノシスマイク』： 天国獄
•  『ようこそ実力至上主義の教室へ』： 須藤健
•  『デカダンス』： フェンネル
•  『東京リベンジャーズ』： 長内信高
•  『BANANA FISH』： スティーブン・トムソン
•  『ザ・スーパーマリオギャラクシー・ムービー』： フォックス・マクラウド</v>
      </c>
    </row>
    <row r="196" spans="1:2">
      <c r="A196" s="1" t="str">
        <f ca="1">IFERROR(__xludf.DUMMYFUNCTION("""COMPUTED_VALUE"""),"浦田わたる")</f>
        <v>浦田わたる</v>
      </c>
      <c r="B196" s="1" t="str">
        <f ca="1">IFERROR(__xludf.DUMMYFUNCTION("""COMPUTED_VALUE"""),"•  『ACTORS -Songs Connection-』： 神樂蒼介
•  『アオペラ -aoppella!?-』： 紫垣明
•  『浦島坂田船の日常』： うらた
•  『KING OF PRISM』： 五反田ココロ／三枝タカヤ
•  『トライナイツ』： 片城雪也
•  『異世界のんびり農家』： グッチ
•  『ダイヤのA actII』： 高津広臣
•  『BORUTO-ボルト-』： クロヤギ・タヨリ")</f>
        <v>•  『ACTORS -Songs Connection-』： 神樂蒼介
•  『アオペラ -aoppella!?-』： 紫垣明
•  『浦島坂田船の日常』： うらた
•  『KING OF PRISM』： 五反田ココロ／三枝タカヤ
•  『トライナイツ』： 片城雪也
•  『異世界のんびり農家』： グッチ
•  『ダイヤのA actII』： 高津広臣
•  『BORUTO-ボルト-』： クロヤギ・タヨリ</v>
      </c>
    </row>
    <row r="197" spans="1:2">
      <c r="A197" s="1" t="str">
        <f ca="1">IFERROR(__xludf.DUMMYFUNCTION("""COMPUTED_VALUE"""),"濱野大輝")</f>
        <v>濱野大輝</v>
      </c>
      <c r="B197" s="1" t="str">
        <f ca="1">IFERROR(__xludf.DUMMYFUNCTION("""COMPUTED_VALUE"""),"•  『SSSS.DYNAZENON』： ガウマ
•  『チェンソーマン』： サムライソード
•  『トモダチゲーム』： 美笠天智
•  『アイドルマスター SideM』： 円城寺道流
•  『遊☆戯☆王VRAINS』： 鬼塚豪
•  『俺は全てを【パリイ】する』： ノール
•  『機動戦士ガンダム 鉄血のオルフェンズ』： ダンテ・モグロ
•  『BEYBLADE X』： 億長トグロ")</f>
        <v>•  『SSSS.DYNAZENON』： ガウマ
•  『チェンソーマン』： サムライソード
•  『トモダチゲーム』： 美笠天智
•  『アイドルマスター SideM』： 円城寺道流
•  『遊☆戯☆王VRAINS』： 鬼塚豪
•  『俺は全てを【パリイ】する』： ノール
•  『機動戦士ガンダム 鉄血のオルフェンズ』： ダンテ・モグロ
•  『BEYBLADE X』： 億長トグロ</v>
      </c>
    </row>
    <row r="198" spans="1:2">
      <c r="A198" s="1" t="str">
        <f ca="1">IFERROR(__xludf.DUMMYFUNCTION("""COMPUTED_VALUE"""),"増元拓也")</f>
        <v>増元拓也</v>
      </c>
      <c r="B198" s="1" t="str">
        <f ca="1">IFERROR(__xludf.DUMMYFUNCTION("""COMPUTED_VALUE"""),"•  『アイドルマスター SideM』： 信玄誠司
•  『アオペラ -aoppella!?-』： 雛乃秀
•  『VAZZROCK THE ANIMATION』： 大黒岳
•  『かくりよの宿飯』： 縫ノ陰
•  『聲の形』： 広瀬啓祐
•  『野原ひろし 昼メシの流儀』： 川口
•  『バトルスピリッツ 赫盟のガレット』： ルシアン・パークス")</f>
        <v>•  『アイドルマスター SideM』： 信玄誠司
•  『アオペラ -aoppella!?-』： 雛乃秀
•  『VAZZROCK THE ANIMATION』： 大黒岳
•  『かくりよの宿飯』： 縫ノ陰
•  『聲の形』： 広瀬啓祐
•  『野原ひろし 昼メシの流儀』： 川口
•  『バトルスピリッツ 赫盟のガレット』： ルシアン・パークス</v>
      </c>
    </row>
    <row r="199" spans="1:2">
      <c r="A199" s="1" t="str">
        <f ca="1">IFERROR(__xludf.DUMMYFUNCTION("""COMPUTED_VALUE"""),"福原かつみ")</f>
        <v>福原かつみ</v>
      </c>
      <c r="B199" s="1" t="str">
        <f ca="1">IFERROR(__xludf.DUMMYFUNCTION("""COMPUTED_VALUE"""),"•  『W’z《ウィズ》』： 荒城幸也（ユキヤ）
•  『異世界はスマートフォンとともに。』： 望月冬夜
•  『不徳のギルド』： キクル・マダン
•  『超探偵事件簿 レインコード』： ユーマ＝ココヘッド
•  『カリスマ』： 本橋依央利
•  『ちゃんと吸えない吸血鬼ちゃん』： 千葉大地
•  『ループ7回目の悪役令嬢は、元敵国で自由気ままな花嫁生活を満喫する』： カイル・モーガン・クレヴァリー
•  『ベイブレードバースト ダイナマイトバトル』： 翠龍バサラ")</f>
        <v>•  『W’z《ウィズ》』： 荒城幸也（ユキヤ）
•  『異世界はスマートフォンとともに。』： 望月冬夜
•  『不徳のギルド』： キクル・マダン
•  『超探偵事件簿 レインコード』： ユーマ＝ココヘッド
•  『カリスマ』： 本橋依央利
•  『ちゃんと吸えない吸血鬼ちゃん』： 千葉大地
•  『ループ7回目の悪役令嬢は、元敵国で自由気ままな花嫁生活を満喫する』： カイル・モーガン・クレヴァリー
•  『ベイブレードバースト ダイナマイトバトル』： 翠龍バサラ</v>
      </c>
    </row>
    <row r="200" spans="1:2">
      <c r="A200" s="1" t="str">
        <f ca="1">IFERROR(__xludf.DUMMYFUNCTION("""COMPUTED_VALUE"""),"細田健太")</f>
        <v>細田健太</v>
      </c>
      <c r="B200" s="1" t="str">
        <f ca="1">IFERROR(__xludf.DUMMYFUNCTION("""COMPUTED_VALUE"""),"•  『Re:Monster』： ゴブ吉（→オガ吉→ミノ吉）
•  『カリスマ』： 猿川慧
•  『夢見る男子は現実主義者』： 山崎拓郎
•  『メカウデ』： ファイブ
•  『プラチナエンド』： 偽メトロポリマン")</f>
        <v>•  『Re:Monster』： ゴブ吉（→オガ吉→ミノ吉）
•  『カリスマ』： 猿川慧
•  『夢見る男子は現実主義者』： 山崎拓郎
•  『メカウデ』： ファイブ
•  『プラチナエンド』： 偽メトロポリマン</v>
      </c>
    </row>
    <row r="201" spans="1:2">
      <c r="A201" s="1" t="str">
        <f ca="1">IFERROR(__xludf.DUMMYFUNCTION("""COMPUTED_VALUE"""),"日向朔公")</f>
        <v>日向朔公</v>
      </c>
      <c r="B201" s="1" t="str">
        <f ca="1">IFERROR(__xludf.DUMMYFUNCTION("""COMPUTED_VALUE"""),"•  『妖怪学校の先生はじめました！』： 富士冬也
•  『カリスマ』： 湊大瀬
•  『マッシュル-MASHLE- 神覚者候補選抜試験編』： チェロロ・モルソー
•  『HeavenlyHelly』： ダーリョン")</f>
        <v>•  『妖怪学校の先生はじめました！』： 富士冬也
•  『カリスマ』： 湊大瀬
•  『マッシュル-MASHLE- 神覚者候補選抜試験編』： チェロロ・モルソー
•  『HeavenlyHelly』： ダーリョン</v>
      </c>
    </row>
    <row r="202" spans="1:2">
      <c r="A202" s="1" t="str">
        <f ca="1">IFERROR(__xludf.DUMMYFUNCTION("""COMPUTED_VALUE"""),"大河元気")</f>
        <v>大河元気</v>
      </c>
      <c r="B202" s="1" t="str">
        <f ca="1">IFERROR(__xludf.DUMMYFUNCTION("""COMPUTED_VALUE"""),"•  『B-PROJECT』： 野目龍広
•  『遊☆戯☆王ZEXAL』： ミザエル
•  『MARGINAL#4』： 緋室キラ
•  『魔入りました！入間くん』： ガープ・ゴエモン
•  『カリスマ』： テラ
•  『2.43 清陰高校男子バレー部』： 戸倉工兵
•  『ぶっちぎり?!』： 灯荒仁
•  『地縛少年花子くん』： 山吹檸檬
•  『魔進戦隊キラメイジャー』： 魔進ジェッタ")</f>
        <v>•  『B-PROJECT』： 野目龍広
•  『遊☆戯☆王ZEXAL』： ミザエル
•  『MARGINAL#4』： 緋室キラ
•  『魔入りました！入間くん』： ガープ・ゴエモン
•  『カリスマ』： テラ
•  『2.43 清陰高校男子バレー部』： 戸倉工兵
•  『ぶっちぎり?!』： 灯荒仁
•  『地縛少年花子くん』： 山吹檸檬
•  『魔進戦隊キラメイジャー』： 魔進ジェッタ</v>
      </c>
    </row>
    <row r="203" spans="1:2">
      <c r="A203" s="1" t="str">
        <f ca="1">IFERROR(__xludf.DUMMYFUNCTION("""COMPUTED_VALUE"""),"橋詰知久")</f>
        <v>橋詰知久</v>
      </c>
      <c r="B203" s="1" t="str">
        <f ca="1">IFERROR(__xludf.DUMMYFUNCTION("""COMPUTED_VALUE"""),"•  『進撃の巨人』： ベルトルト・フーバー
•  『GANGSTA.』： デリコ
•  『ALL OUT!!』： 佐野光
•  『カリスマ』： 天堂天彦
•  『ONE PIECE』： ポーカー
•  『テラフォーマーズ』： ティン")</f>
        <v>•  『進撃の巨人』： ベルトルト・フーバー
•  『GANGSTA.』： デリコ
•  『ALL OUT!!』： 佐野光
•  『カリスマ』： 天堂天彦
•  『ONE PIECE』： ポーカー
•  『テラフォーマーズ』： ティン</v>
      </c>
    </row>
    <row r="204" spans="1:2">
      <c r="A204" s="1" t="str">
        <f ca="1">IFERROR(__xludf.DUMMYFUNCTION("""COMPUTED_VALUE"""),"竹内良太")</f>
        <v>竹内良太</v>
      </c>
      <c r="B204" s="1" t="str">
        <f ca="1">IFERROR(__xludf.DUMMYFUNCTION("""COMPUTED_VALUE"""),"•  『ハイキュー!!』： 牛島若利
•  『魔法使いの嫁』： エリアス・エインズワース
•  『暗殺教室』： シロ
•  『NARUTO -ナルト- 疾風伝』： ダルイ
•  『Paradox Live THE ANIMATION』： 西門直明
•  『青のミブロ』： 芹沢鴨
•  『ID:INVADED』： 富久田保津
•  『ULTRAMAN』： ジャック")</f>
        <v>•  『ハイキュー!!』： 牛島若利
•  『魔法使いの嫁』： エリアス・エインズワース
•  『暗殺教室』： シロ
•  『NARUTO -ナルト- 疾風伝』： ダルイ
•  『Paradox Live THE ANIMATION』： 西門直明
•  『青のミブロ』： 芹沢鴨
•  『ID:INVADED』： 富久田保津
•  『ULTRAMAN』： ジャック</v>
      </c>
    </row>
    <row r="205" spans="1:2">
      <c r="A205" s="1" t="str">
        <f ca="1">IFERROR(__xludf.DUMMYFUNCTION("""COMPUTED_VALUE"""),"林勇")</f>
        <v>林勇</v>
      </c>
      <c r="B205" s="1" t="str">
        <f ca="1">IFERROR(__xludf.DUMMYFUNCTION("""COMPUTED_VALUE"""),"•  『ハイキュー!!』： 田中龍之介
•  『東京リベンジャーズ』： 佐野万次郎（マイキー）
•  『文豪ストレイドッグス』： 立原道造
•  『ムヒョとロージーの魔法律相談事務所』： ロージー（草野次郎）
•  『チア男子!!』： 遠野浩司
•  『ジョジョの奇妙な冒険』： スモーキー・ブラウン
•  『Paradox Live THE ANIMATION』： 神林匋平")</f>
        <v>•  『ハイキュー!!』： 田中龍之介
•  『東京リベンジャーズ』： 佐野万次郎（マイキー）
•  『文豪ストレイドッグス』： 立原道造
•  『ムヒョとロージーの魔法律相談事務所』： ロージー（草野次郎）
•  『チア男子!!』： 遠野浩司
•  『ジョジョの奇妙な冒険』： スモーキー・ブラウン
•  『Paradox Live THE ANIMATION』： 神林匋平</v>
      </c>
    </row>
    <row r="206" spans="1:2">
      <c r="A206" s="1" t="str">
        <f ca="1">IFERROR(__xludf.DUMMYFUNCTION("""COMPUTED_VALUE"""),"近藤孝行")</f>
        <v>近藤孝行</v>
      </c>
      <c r="B206" s="1" t="str">
        <f ca="1">IFERROR(__xludf.DUMMYFUNCTION("""COMPUTED_VALUE"""),"•  『テニスの王子様』： 大石秀一郎
•  『あの日見た花の名前を僕達はまだ知らない。』： 久川鉄道（ぽっぽ）
•  『東京喰種トーキョーグール』： 平子丈
•  『逆転裁判』シリーズ： 成歩堂龍一
•  『ジャックジャンヌ』： 高科更文
•  『灼眼のシャナ』： 田中栄太
•  『Paradox Live』： 翠石依織
•  『おとめ妖怪 ざくろ』： 沢鷹／花楯鷹敏")</f>
        <v>•  『テニスの王子様』： 大石秀一郎
•  『あの日見た花の名前を僕達はまだ知らない。』： 久川鉄道（ぽっぽ）
•  『東京喰種トーキョーグール』： 平子丈
•  『逆転裁判』シリーズ： 成歩堂龍一
•  『ジャックジャンヌ』： 高科更文
•  『灼眼のシャナ』： 田中栄太
•  『Paradox Live』： 翠石依織
•  『おとめ妖怪 ざくろ』： 沢鷹／花楯鷹敏</v>
      </c>
    </row>
    <row r="207" spans="1:2">
      <c r="A207" s="1" t="str">
        <f ca="1">IFERROR(__xludf.DUMMYFUNCTION("""COMPUTED_VALUE"""),"矢野奨吾")</f>
        <v>矢野奨吾</v>
      </c>
      <c r="B207" s="1" t="str">
        <f ca="1">IFERROR(__xludf.DUMMYFUNCTION("""COMPUTED_VALUE"""),"•  『ギヴン』： 佐藤真冬
•  『ツルネ ―風舞高校弓道部―』／『つながりの一射』： 如月七緒
•  『アイドルマスター SideM』： 岡村直央
•  『Paradox Live』： 円山玲央
•  『群青のファンファーレ』： 有村優
•  『ヴィジュアルプリズン』： ジャック・ムートン
•  『美少年探偵団』： 足利飆太
•  『ハニーレモンソーダ』： 三浦界")</f>
        <v>•  『ギヴン』： 佐藤真冬
•  『ツルネ ―風舞高校弓道部―』／『つながりの一射』： 如月七緒
•  『アイドルマスター SideM』： 岡村直央
•  『Paradox Live』： 円山玲央
•  『群青のファンファーレ』： 有村優
•  『ヴィジュアルプリズン』： ジャック・ムートン
•  『美少年探偵団』： 足利飆太
•  『ハニーレモンソーダ』： 三浦界</v>
      </c>
    </row>
    <row r="208" spans="1:2">
      <c r="A208" s="1" t="str">
        <f ca="1">IFERROR(__xludf.DUMMYFUNCTION("""COMPUTED_VALUE"""),"住谷哲栄")</f>
        <v>住谷哲栄</v>
      </c>
      <c r="B208" s="1" t="str">
        <f ca="1">IFERROR(__xludf.DUMMYFUNCTION("""COMPUTED_VALUE"""),"•  『惑星のさみだれ』： ザン＝アマル
•  『Paradox Live』： 三洲寺甘太郎
•  『Fairy蘭丸〜あなたの心お助けします〜』： 天狼院シリウス
•  『Readyyy!』： 久瀬光希
•  『STATION IDOL LATCH!』： 空蝉塁
•  『HIGH CARD』： アップル・リンク
•  『TSUKIPRO THE ANIMATION 2』： 羽柴玄尉")</f>
        <v>•  『惑星のさみだれ』： ザン＝アマル
•  『Paradox Live』： 三洲寺甘太郎
•  『Fairy蘭丸〜あなたの心お助けします〜』： 天狼院シリウス
•  『Readyyy!』： 久瀬光希
•  『STATION IDOL LATCH!』： 空蝉塁
•  『HIGH CARD』： アップル・リンク
•  『TSUKIPRO THE ANIMATION 2』： 羽柴玄尉</v>
      </c>
    </row>
    <row r="209" spans="1:2">
      <c r="A209" s="1" t="str">
        <f ca="1">IFERROR(__xludf.DUMMYFUNCTION("""COMPUTED_VALUE"""),"バトリ勝悟")</f>
        <v>バトリ勝悟</v>
      </c>
      <c r="B209" s="1" t="str">
        <f ca="1">IFERROR(__xludf.DUMMYFUNCTION("""COMPUTED_VALUE"""),"•  『カードファイト!! ヴァンガードG』シリーズ： 東海林カズマ
•  『Paradox Live』： 土佐凌牙
•  『白猫プロジェクト ZERO CHRONICLE』： ファイオス
•  『アラーニェの虫籠』： 未可耶
•  『イナズマイレブン オリオンの刻印』： アンドレアス・ベボ")</f>
        <v>•  『カードファイト!! ヴァンガードG』シリーズ： 東海林カズマ
•  『Paradox Live』： 土佐凌牙
•  『白猫プロジェクト ZERO CHRONICLE』： ファイオス
•  『アラーニェの虫籠』： 未可耶
•  『イナズマイレブン オリオンの刻印』： アンドレアス・ベボ</v>
      </c>
    </row>
    <row r="210" spans="1:2">
      <c r="A210" s="1" t="str">
        <f ca="1">IFERROR(__xludf.DUMMYFUNCTION("""COMPUTED_VALUE"""),"石橋陽彩")</f>
        <v>石橋陽彩</v>
      </c>
      <c r="B210" s="1" t="str">
        <f ca="1">IFERROR(__xludf.DUMMYFUNCTION("""COMPUTED_VALUE"""),"•  『遊☆戯☆王SEVENS』／『ゴーラッシュ!!』： 王道遊我
•  『シンカリオン チェンジ ザ ワールド』： 大成タイセイ
•  『薫る花は凛と咲く』： 依田絢斗
•  『リメンバー・ミー』： ミゲル
•  『海獣の子供』： 海
•  『休日のわるものさん』： アカツキレッド
•  『ひみつのアイプリ』： 青空ひなた
•  『僕のヒーローアカデミア FINAL SEASON』： 照元光輝")</f>
        <v>•  『遊☆戯☆王SEVENS』／『ゴーラッシュ!!』： 王道遊我
•  『シンカリオン チェンジ ザ ワールド』： 大成タイセイ
•  『薫る花は凛と咲く』： 依田絢斗
•  『リメンバー・ミー』： ミゲル
•  『海獣の子供』： 海
•  『休日のわるものさん』： アカツキレッド
•  『ひみつのアイプリ』： 青空ひなた
•  『僕のヒーローアカデミア FINAL SEASON』： 照元光輝</v>
      </c>
    </row>
    <row r="211" spans="1:2">
      <c r="A211" s="1" t="str">
        <f ca="1">IFERROR(__xludf.DUMMYFUNCTION("""COMPUTED_VALUE"""),"ランズベリー・アーサー")</f>
        <v>ランズベリー・アーサー</v>
      </c>
      <c r="B211" s="1" t="str">
        <f ca="1">IFERROR(__xludf.DUMMYFUNCTION("""COMPUTED_VALUE"""),"•  『スタミュ』： 月皇海斗
•  『遊☆戯☆王ゴーラッシュ!!』： ユウディアス・ベルギャー
•  『from ARGONAVIS』： フェリクス・ルイ＝クロード・モンドール
•  『プレイタの傷』： 甲斐ヤマト
•  『イナズマイレブンGO ギャラクシー』： リュゲル・バラン
•  『ACTORS -Songs Connection-』： 二条佐斗流
•  『永久少年 Eternal Boys』： リン・ジュンジェ")</f>
        <v>•  『スタミュ』： 月皇海斗
•  『遊☆戯☆王ゴーラッシュ!!』： ユウディアス・ベルギャー
•  『from ARGONAVIS』： フェリクス・ルイ＝クロード・モンドール
•  『プレイタの傷』： 甲斐ヤマト
•  『イナズマイレブンGO ギャラクシー』： リュゲル・バラン
•  『ACTORS -Songs Connection-』： 二条佐斗流
•  『永久少年 Eternal Boys』： リン・ジュンジェ</v>
      </c>
    </row>
    <row r="212" spans="1:2">
      <c r="A212" s="1" t="str">
        <f ca="1">IFERROR(__xludf.DUMMYFUNCTION("""COMPUTED_VALUE"""),"鈴村健一")</f>
        <v>鈴村健一</v>
      </c>
      <c r="B212" s="1" t="str">
        <f ca="1">IFERROR(__xludf.DUMMYFUNCTION("""COMPUTED_VALUE"""),"・『機動戦士ガンダムSEED DESTINY』： シン・アスカ
・『銀魂』： 沖田総悟
・『鬼滅の刃』： 伊黒小芭内
・『うたの☆プリンスさまっ♪』： 聖川真斗
・『黒子のバスケ』： 紫原敦
・『銀河英雄伝説 Die Neue These』： ヤン・ウェンリー")</f>
        <v>・『機動戦士ガンダムSEED DESTINY』： シン・アスカ
・『銀魂』： 沖田総悟
・『鬼滅の刃』： 伊黒小芭内
・『うたの☆プリンスさまっ♪』： 聖川真斗
・『黒子のバスケ』： 紫原敦
・『銀河英雄伝説 Die Neue These』： ヤン・ウェンリー</v>
      </c>
    </row>
    <row r="213" spans="1:2">
      <c r="A213" s="1" t="str">
        <f ca="1">IFERROR(__xludf.DUMMYFUNCTION("""COMPUTED_VALUE"""),"笹翼")</f>
        <v>笹翼</v>
      </c>
      <c r="B213" s="1" t="str">
        <f ca="1">IFERROR(__xludf.DUMMYFUNCTION("""COMPUTED_VALUE"""),"・『VAZZROCK THE ANIMATION』： 大山直助
・『ガンバレ！中村くん!!』： 大森司")</f>
        <v>・『VAZZROCK THE ANIMATION』： 大山直助
・『ガンバレ！中村くん!!』： 大森司</v>
      </c>
    </row>
    <row r="214" spans="1:2">
      <c r="A214" s="1" t="str">
        <f ca="1">IFERROR(__xludf.DUMMYFUNCTION("""COMPUTED_VALUE"""),"菊池幸利")</f>
        <v>菊池幸利</v>
      </c>
      <c r="B214" s="1" t="str">
        <f ca="1">IFERROR(__xludf.DUMMYFUNCTION("""COMPUTED_VALUE"""),"・『VAZZROCK THE ANIMATION』： 小野田翔
・『ハイキュー!!』： 小見春樹
・『弱虫ペダル』： 井原友矢
・『僕だけがいない街』： カズ
・『うたわれるもの 偽りの仮面』： ウォシス")</f>
        <v>・『VAZZROCK THE ANIMATION』： 小野田翔
・『ハイキュー!!』： 小見春樹
・『弱虫ペダル』： 井原友矢
・『僕だけがいない街』： カズ
・『うたわれるもの 偽りの仮面』： ウォシス</v>
      </c>
    </row>
    <row r="215" spans="1:2">
      <c r="A215" s="1" t="str">
        <f ca="1">IFERROR(__xludf.DUMMYFUNCTION("""COMPUTED_VALUE"""),"長谷川芳明")</f>
        <v>長谷川芳明</v>
      </c>
      <c r="B215" s="1" t="str">
        <f ca="1">IFERROR(__xludf.DUMMYFUNCTION("""COMPUTED_VALUE"""),"・『ハンドレッド』： 如月ハヤト
・『カードファイト!! ヴァンガードG』： 江西サトル
・『妖怪ウォッチ シャドウサイド』： 月浪トウマ
・『VAZZROCK THE ANIMATION』： 久慈川悠人
・『迷家-マヨイガ-』： 美影ユラ")</f>
        <v>・『ハンドレッド』： 如月ハヤト
・『カードファイト!! ヴァンガードG』： 江西サトル
・『妖怪ウォッチ シャドウサイド』： 月浪トウマ
・『VAZZROCK THE ANIMATION』： 久慈川悠人
・『迷家-マヨイガ-』： 美影ユラ</v>
      </c>
    </row>
    <row r="216" spans="1:2">
      <c r="A216" s="1" t="str">
        <f ca="1">IFERROR(__xludf.DUMMYFUNCTION("""COMPUTED_VALUE"""),"千葉瑞己")</f>
        <v>千葉瑞己</v>
      </c>
      <c r="B216" s="1" t="str">
        <f ca="1">IFERROR(__xludf.DUMMYFUNCTION("""COMPUTED_VALUE"""),"・『フットサルボーイズ!!!!!』： 十河夏輝
・『number24』： 玉城蓮
・『TSUKIPRO THE ANIMATION 2』： 御風呂庵")</f>
        <v>・『フットサルボーイズ!!!!!』： 十河夏輝
・『number24』： 玉城蓮
・『TSUKIPRO THE ANIMATION 2』： 御風呂庵</v>
      </c>
    </row>
    <row r="217" spans="1:2">
      <c r="A217" s="1" t="str">
        <f ca="1">IFERROR(__xludf.DUMMYFUNCTION("""COMPUTED_VALUE"""),"沖野晃司")</f>
        <v>沖野晃司</v>
      </c>
      <c r="B217" s="1" t="str">
        <f ca="1">IFERROR(__xludf.DUMMYFUNCTION("""COMPUTED_VALUE"""),"・『僕のヒーローアカデミア』： 鉄哲徹鐵／ガンヘッド
・『ウマ娘 プリティーダービー』： トレーナー
・『BEASTARS FINAL SEASON』： メロン
・『Fairy gone フェアリーゴーン』： ロバート・チェイス
・『しゃばけ』： 仁吉")</f>
        <v>・『僕のヒーローアカデミア』： 鉄哲徹鐵／ガンヘッド
・『ウマ娘 プリティーダービー』： トレーナー
・『BEASTARS FINAL SEASON』： メロン
・『Fairy gone フェアリーゴーン』： ロバート・チェイス
・『しゃばけ』： 仁吉</v>
      </c>
    </row>
    <row r="218" spans="1:2">
      <c r="A218" s="1" t="str">
        <f ca="1">IFERROR(__xludf.DUMMYFUNCTION("""COMPUTED_VALUE"""),"秋谷啓斗")</f>
        <v>秋谷啓斗</v>
      </c>
      <c r="B218" s="1" t="str">
        <f ca="1">IFERROR(__xludf.DUMMYFUNCTION("""COMPUTED_VALUE"""),"・『アルゴナビス from BanG Dream!』： 曙涼
・『骸骨騎士様、只今異世界へお出掛け中』： セルシカ
・『テクノロイド OVERMIND』： リッツ9号
・『ニル・アドミラリの天秤』： 轟木登巳蔵")</f>
        <v>・『アルゴナビス from BanG Dream!』： 曙涼
・『骸骨騎士様、只今異世界へお出掛け中』： セルシカ
・『テクノロイド OVERMIND』： リッツ9号
・『ニル・アドミラリの天秤』： 轟木登巳蔵</v>
      </c>
    </row>
    <row r="219" spans="1:2">
      <c r="A219" s="1" t="str">
        <f ca="1">IFERROR(__xludf.DUMMYFUNCTION("""COMPUTED_VALUE"""),"宮野真守")</f>
        <v>宮野真守</v>
      </c>
      <c r="B219" s="1" t="str">
        <f ca="1">IFERROR(__xludf.DUMMYFUNCTION("""COMPUTED_VALUE"""),"・『DEATH NOTE』： 夜神月
・『機動戦士ガンダム00』： 刹那・F・セイエイ
・『STEINS;GATE』： 岡部倫太郎
・『文豪ストレイドッグス』： 太宰治
・『Free!』： 松岡凛
・『うたの☆プリンスさまっ♪』： 一ノ瀬トキヤ")</f>
        <v>・『DEATH NOTE』： 夜神月
・『機動戦士ガンダム00』： 刹那・F・セイエイ
・『STEINS;GATE』： 岡部倫太郎
・『文豪ストレイドッグス』： 太宰治
・『Free!』： 松岡凛
・『うたの☆プリンスさまっ♪』： 一ノ瀬トキヤ</v>
      </c>
    </row>
    <row r="220" spans="1:2">
      <c r="A220" s="1" t="str">
        <f ca="1">IFERROR(__xludf.DUMMYFUNCTION("""COMPUTED_VALUE"""),"鈴木達央")</f>
        <v>鈴木達央</v>
      </c>
      <c r="B220" s="1" t="str">
        <f ca="1">IFERROR(__xludf.DUMMYFUNCTION("""COMPUTED_VALUE"""),"・『Free!』： 橘真琴
・『七つの大罪』： バン
・『うたの☆プリンスさまっ♪』： 黒崎蘭丸
・『黒子のバスケ』： 高尾和成
・『東京リベンジャーズ』： 龍宮寺堅（ドラケン）
・『ケンガンアシュラ』： 十鬼蛇王馬")</f>
        <v>・『Free!』： 橘真琴
・『七つの大罪』： バン
・『うたの☆プリンスさまっ♪』： 黒崎蘭丸
・『黒子のバスケ』： 高尾和成
・『東京リベンジャーズ』： 龍宮寺堅（ドラケン）
・『ケンガンアシュラ』： 十鬼蛇王馬</v>
      </c>
    </row>
    <row r="221" spans="1:2">
      <c r="A221" s="1" t="str">
        <f ca="1">IFERROR(__xludf.DUMMYFUNCTION("""COMPUTED_VALUE"""),"小野大輔")</f>
        <v>小野大輔</v>
      </c>
      <c r="B221" s="1" t="str">
        <f ca="1">IFERROR(__xludf.DUMMYFUNCTION("""COMPUTED_VALUE"""),"・『黒執事』： セバスチャン・ミカエリス
・『ジョジョの奇妙な冒険 スターダストクルセイダース』： 空条承太郎
・『進撃の巨人』： エルヴィン・スミス
・『涼宮ハルヒの憂鬱』： 古泉一樹
・『おそ松さん』： 松野十四松
・『デュラララ!!』： 平和島静雄")</f>
        <v>・『黒執事』： セバスチャン・ミカエリス
・『ジョジョの奇妙な冒険 スターダストクルセイダース』： 空条承太郎
・『進撃の巨人』： エルヴィン・スミス
・『涼宮ハルヒの憂鬱』： 古泉一樹
・『おそ松さん』： 松野十四松
・『デュラララ!!』： 平和島静雄</v>
      </c>
    </row>
    <row r="222" spans="1:2">
      <c r="A222" s="1" t="str">
        <f ca="1">IFERROR(__xludf.DUMMYFUNCTION("""COMPUTED_VALUE"""),"中西尚也")</f>
        <v>中西尚也</v>
      </c>
      <c r="B222" s="1" t="str">
        <f ca="1">IFERROR(__xludf.DUMMYFUNCTION("""COMPUTED_VALUE"""),"・『アイ★チュウ』： ラビ
・『ゴブリンスレイヤー』： ゴブリンシャーマン
・『天才王子の赤字国家再生術』： クスタヴィ
・『名探偵コナン』： 塀島湾也")</f>
        <v>・『アイ★チュウ』： ラビ
・『ゴブリンスレイヤー』： ゴブリンシャーマン
・『天才王子の赤字国家再生術』： クスタヴィ
・『名探偵コナン』： 塀島湾也</v>
      </c>
    </row>
    <row r="223" spans="1:2">
      <c r="A223" s="1" t="str">
        <f ca="1">IFERROR(__xludf.DUMMYFUNCTION("""COMPUTED_VALUE"""),"花倉桔道")</f>
        <v>花倉桔道</v>
      </c>
      <c r="B223" s="1" t="str">
        <f ca="1">IFERROR(__xludf.DUMMYFUNCTION("""COMPUTED_VALUE"""),"・『文豪ストレイドッグス』： 宮沢賢治
・『アイ★チュウ』： 桃井恭介
・『サンリオ男子』： 西宮諒")</f>
        <v>・『文豪ストレイドッグス』： 宮沢賢治
・『アイ★チュウ』： 桃井恭介
・『サンリオ男子』： 西宮諒</v>
      </c>
    </row>
    <row r="224" spans="1:2">
      <c r="A224" s="1" t="str">
        <f ca="1">IFERROR(__xludf.DUMMYFUNCTION("""COMPUTED_VALUE"""),"谷地克文")</f>
        <v>谷地克文</v>
      </c>
      <c r="B224" s="1" t="str">
        <f ca="1">IFERROR(__xludf.DUMMYFUNCTION("""COMPUTED_VALUE"""),"・『アイ★チュウ』： 海部子規
・『東京喰種トーキョーグール:re』： 大芝亮汰
・『新幹線変形ロボ シンカリオン』： 担任の先生")</f>
        <v>・『アイ★チュウ』： 海部子規
・『東京喰種トーキョーグール:re』： 大芝亮汰
・『新幹線変形ロボ シンカリオン』： 担任の先生</v>
      </c>
    </row>
    <row r="225" spans="1:2">
      <c r="A225" s="1" t="str">
        <f ca="1">IFERROR(__xludf.DUMMYFUNCTION("""COMPUTED_VALUE"""),"下妻由幸")</f>
        <v>下妻由幸</v>
      </c>
      <c r="B225" s="1" t="str">
        <f ca="1">IFERROR(__xludf.DUMMYFUNCTION("""COMPUTED_VALUE"""),"・『暗殺教室』： 吉田大成
・『ダイヤのA』： 白州健二郎
・『アイ★チュウ』： 十文字蛮
・『BEASTARS』： ボス（フェネック）")</f>
        <v>・『暗殺教室』： 吉田大成
・『ダイヤのA』： 白州健二郎
・『アイ★チュウ』： 十文字蛮
・『BEASTARS』： ボス（フェネック）</v>
      </c>
    </row>
    <row r="226" spans="1:2">
      <c r="A226" s="1" t="str">
        <f ca="1">IFERROR(__xludf.DUMMYFUNCTION("""COMPUTED_VALUE"""),"峰岸佳")</f>
        <v>峰岸佳</v>
      </c>
      <c r="B226" s="1" t="str">
        <f ca="1">IFERROR(__xludf.DUMMYFUNCTION("""COMPUTED_VALUE"""),"・『マクロスΔ』： テオ・ユッシラ／ザオ・ユッシラ
・『アイ★チュウ』： 朴木十夜
・『アルゴナビス from BanG Dream!』： 鞍馬唯臣")</f>
        <v>・『マクロスΔ』： テオ・ユッシラ／ザオ・ユッシラ
・『アイ★チュウ』： 朴木十夜
・『アルゴナビス from BanG Dream!』： 鞍馬唯臣</v>
      </c>
    </row>
    <row r="227" spans="1:2">
      <c r="A227" s="1" t="str">
        <f ca="1">IFERROR(__xludf.DUMMYFUNCTION("""COMPUTED_VALUE"""),"たくみ靖明")</f>
        <v>たくみ靖明</v>
      </c>
      <c r="B227" s="1" t="str">
        <f ca="1">IFERROR(__xludf.DUMMYFUNCTION("""COMPUTED_VALUE"""),"・『機動戦士ガンダム 鉄血のオルフェンズ』： 昭弘・アルトランド
・『薔薇王の葬列』： ジョージ
・『君に届け』： 三上伸
・『ソードアート・オンライン オルタナティブ ガンゲイル・オンライン』： マックス
・『アイ★チュウ』： バベル")</f>
        <v>・『機動戦士ガンダム 鉄血のオルフェンズ』： 昭弘・アルトランド
・『薔薇王の葬列』： ジョージ
・『君に届け』： 三上伸
・『ソードアート・オンライン オルタナティブ ガンゲイル・オンライン』： マックス
・『アイ★チュウ』： バベル</v>
      </c>
    </row>
    <row r="228" spans="1:2">
      <c r="A228" s="1" t="str">
        <f ca="1">IFERROR(__xludf.DUMMYFUNCTION("""COMPUTED_VALUE"""),"三上瑛士")</f>
        <v>三上瑛士</v>
      </c>
      <c r="B228" s="1" t="str">
        <f ca="1">IFERROR(__xludf.DUMMYFUNCTION("""COMPUTED_VALUE"""),"・『ブルーロック VS. U-20 JAPAN』： 氷織羊
・『フラガリアメモリーズ』： クラークステラ
・『小市民シリーズ』： 一畑")</f>
        <v>・『ブルーロック VS. U-20 JAPAN』： 氷織羊
・『フラガリアメモリーズ』： クラークステラ
・『小市民シリーズ』： 一畑</v>
      </c>
    </row>
    <row r="229" spans="1:2">
      <c r="A229" s="1" t="str">
        <f ca="1">IFERROR(__xludf.DUMMYFUNCTION("""COMPUTED_VALUE"""),"徳留慎乃佑")</f>
        <v>徳留慎乃佑</v>
      </c>
      <c r="B229" s="1" t="str">
        <f ca="1">IFERROR(__xludf.DUMMYFUNCTION("""COMPUTED_VALUE"""),"・『RobiHachi』： グラ
・『七つの大罪 怨嗟のエジンバラ』： タイロン
・『ビックリメン』： タカやん
・『新米オッサン冒険者、最強パーティに死ぬほど鍛えられて無敵になる。』： フリード・ディルムット
・『フラガリアメモリーズ』： ミュンナ")</f>
        <v>・『RobiHachi』： グラ
・『七つの大罪 怨嗟のエジンバラ』： タイロン
・『ビックリメン』： タカやん
・『新米オッサン冒険者、最強パーティに死ぬほど鍛えられて無敵になる。』： フリード・ディルムット
・『フラガリアメモリーズ』： ミュンナ</v>
      </c>
    </row>
    <row r="230" spans="1:2">
      <c r="A230" s="1" t="str">
        <f ca="1">IFERROR(__xludf.DUMMYFUNCTION("""COMPUTED_VALUE"""),"松岡洋平")</f>
        <v>松岡洋平</v>
      </c>
      <c r="B230" s="1" t="str">
        <f ca="1">IFERROR(__xludf.DUMMYFUNCTION("""COMPUTED_VALUE"""),"・『フラガリアメモリーズ』： ハンギョン
・『WIND BREAKER』： 松本陽大
・『八男って、それはないでしょう！』： エーリッヒ
・『ニセモノの錬金術師』： パラケルスス")</f>
        <v>・『フラガリアメモリーズ』： ハンギョン
・『WIND BREAKER』： 松本陽大
・『八男って、それはないでしょう！』： エーリッヒ
・『ニセモノの錬金術師』： パラケルスス</v>
      </c>
    </row>
    <row r="231" spans="1:2">
      <c r="A231" s="1" t="str">
        <f ca="1">IFERROR(__xludf.DUMMYFUNCTION("""COMPUTED_VALUE"""),"町本成史")</f>
        <v>町本成史</v>
      </c>
      <c r="B231" s="1" t="str">
        <f ca="1">IFERROR(__xludf.DUMMYFUNCTION("""COMPUTED_VALUE"""),"・『Sonny Boy』： 久慈
・『フラガリアメモリーズ』： ピケロ")</f>
        <v>・『Sonny Boy』： 久慈
・『フラガリアメモリーズ』： ピケロ</v>
      </c>
    </row>
    <row r="232" spans="1:2">
      <c r="A232" s="1" t="str">
        <f ca="1">IFERROR(__xludf.DUMMYFUNCTION("""COMPUTED_VALUE"""),"永塚拓馬")</f>
        <v>永塚拓馬</v>
      </c>
      <c r="B232" s="1" t="str">
        <f ca="1">IFERROR(__xludf.DUMMYFUNCTION("""COMPUTED_VALUE"""),"・『アイドルマスター SideM』： 冬美旬
・『KING OF PRISM』： 西園寺レオ
・『SK∞ エスケーエイト』： 知念実也（MIYA）
・『僕のヒーローアカデミア』： 口田甲司
・『ヴィジュアルプリズン』： ヴーヴ・エリザベス
・『活撃 刀剣乱舞』： こんのすけ")</f>
        <v>・『アイドルマスター SideM』： 冬美旬
・『KING OF PRISM』： 西園寺レオ
・『SK∞ エスケーエイト』： 知念実也（MIYA）
・『僕のヒーローアカデミア』： 口田甲司
・『ヴィジュアルプリズン』： ヴーヴ・エリザベス
・『活撃 刀剣乱舞』： こんのすけ</v>
      </c>
    </row>
    <row r="233" spans="1:2">
      <c r="A233" s="1" t="str">
        <f ca="1">IFERROR(__xludf.DUMMYFUNCTION("""COMPUTED_VALUE"""),"渡辺紘")</f>
        <v>渡辺紘</v>
      </c>
      <c r="B233" s="1" t="str">
        <f ca="1">IFERROR(__xludf.DUMMYFUNCTION("""COMPUTED_VALUE"""),"・『アイドルマスター SideM』： 榊夏来
・『シンカリオン チェンジ ザ ワールド』： 岩見沢ソラチ
・『Let’s Play クエストだらけのマイライフ』： ダラス・ハドソン
・『ファイアーエムブレム 風花雪月』： ローレンツ
・『グレイプニル』： 花川")</f>
        <v>・『アイドルマスター SideM』： 榊夏来
・『シンカリオン チェンジ ザ ワールド』： 岩見沢ソラチ
・『Let’s Play クエストだらけのマイライフ』： ダラス・ハドソン
・『ファイアーエムブレム 風花雪月』： ローレンツ
・『グレイプニル』： 花川</v>
      </c>
    </row>
    <row r="234" spans="1:2">
      <c r="A234" s="1" t="str">
        <f ca="1">IFERROR(__xludf.DUMMYFUNCTION("""COMPUTED_VALUE"""),"菊池勇成")</f>
        <v>菊池勇成</v>
      </c>
      <c r="B234" s="1" t="str">
        <f ca="1">IFERROR(__xludf.DUMMYFUNCTION("""COMPUTED_VALUE"""),"・『アイドルマスター SideM』： 蒼井悠介
・『フットサルボーイズ!!!!!』： 水無瀬亜佐
・『薫る花は凛と咲く』： 清水宏太郎
・『転生したら第七王子だったので、気ままに魔術を極めます』： ジークウッド")</f>
        <v>・『アイドルマスター SideM』： 蒼井悠介
・『フットサルボーイズ!!!!!』： 水無瀬亜佐
・『薫る花は凛と咲く』： 清水宏太郎
・『転生したら第七王子だったので、気ままに魔術を極めます』： ジークウッド</v>
      </c>
    </row>
    <row r="235" spans="1:2">
      <c r="A235" s="1" t="str">
        <f ca="1">IFERROR(__xludf.DUMMYFUNCTION("""COMPUTED_VALUE"""),"バレッタ裕")</f>
        <v>バレッタ裕</v>
      </c>
      <c r="B235" s="1" t="str">
        <f ca="1">IFERROR(__xludf.DUMMYFUNCTION("""COMPUTED_VALUE"""),"・『アイドルマスター SideM』： 華村翔真
・『Fairy蘭丸〜あなたの心お助けします〜』： 清怜うるう
・『八男って、それはないでしょう！』： エックハルト")</f>
        <v>・『アイドルマスター SideM』： 華村翔真
・『Fairy蘭丸〜あなたの心お助けします〜』： 清怜うるう
・『八男って、それはないでしょう！』： エックハルト</v>
      </c>
    </row>
    <row r="236" spans="1:2">
      <c r="A236" s="1" t="str">
        <f ca="1">IFERROR(__xludf.DUMMYFUNCTION("""COMPUTED_VALUE"""),"中田祐矢")</f>
        <v>中田祐矢</v>
      </c>
      <c r="B236" s="1" t="str">
        <f ca="1">IFERROR(__xludf.DUMMYFUNCTION("""COMPUTED_VALUE"""),"・『アイドルマスター SideM』： 清澄九郎
・『一血卍傑-ONLINE-』： オモダル")</f>
        <v>・『アイドルマスター SideM』： 清澄九郎
・『一血卍傑-ONLINE-』： オモダル</v>
      </c>
    </row>
    <row r="237" spans="1:2">
      <c r="A237" s="1" t="str">
        <f ca="1">IFERROR(__xludf.DUMMYFUNCTION("""COMPUTED_VALUE"""),"児玉卓也")</f>
        <v>児玉卓也</v>
      </c>
      <c r="B237" s="1" t="str">
        <f ca="1">IFERROR(__xludf.DUMMYFUNCTION("""COMPUTED_VALUE"""),"・『アイドルマスター SideM』： 卯月巻緒
・『number24』： 斉藤風雅
・『ヘタリア The Beautiful World』： ルーマニア
・『無職転生 ～異世界行ったら本気だす～』： ソマル")</f>
        <v>・『アイドルマスター SideM』： 卯月巻緒
・『number24』： 斉藤風雅
・『ヘタリア The Beautiful World』： ルーマニア
・『無職転生 ～異世界行ったら本気だす～』： ソマル</v>
      </c>
    </row>
    <row r="238" spans="1:2">
      <c r="A238" s="1" t="str">
        <f ca="1">IFERROR(__xludf.DUMMYFUNCTION("""COMPUTED_VALUE"""),"古畑恵介")</f>
        <v>古畑恵介</v>
      </c>
      <c r="B238" s="1" t="str">
        <f ca="1">IFERROR(__xludf.DUMMYFUNCTION("""COMPUTED_VALUE"""),"・『アイドルマスター SideM』： 橘志狼
・『薫る花は凛と咲く』： 宍戸俊也")</f>
        <v>・『アイドルマスター SideM』： 橘志狼
・『薫る花は凛と咲く』： 宍戸俊也</v>
      </c>
    </row>
    <row r="239" spans="1:2">
      <c r="A239" s="1" t="str">
        <f ca="1">IFERROR(__xludf.DUMMYFUNCTION("""COMPUTED_VALUE"""),"伊能幸輝")</f>
        <v>伊能幸輝</v>
      </c>
      <c r="B239" s="1" t="str">
        <f ca="1">IFERROR(__xludf.DUMMYFUNCTION("""COMPUTED_VALUE"""),"・『アイドルマスター SideM』： 姫野かのん（2代目）
・『アイドルと〇〇しちゃダメですか？』： 三峠音羽")</f>
        <v>・『アイドルマスター SideM』： 姫野かのん（2代目）
・『アイドルと〇〇しちゃダメですか？』： 三峠音羽</v>
      </c>
    </row>
    <row r="240" spans="1:2">
      <c r="A240" s="1" t="str">
        <f ca="1">IFERROR(__xludf.DUMMYFUNCTION("""COMPUTED_VALUE"""),"浦尾岳大")</f>
        <v>浦尾岳大</v>
      </c>
      <c r="B240" s="1" t="str">
        <f ca="1">IFERROR(__xludf.DUMMYFUNCTION("""COMPUTED_VALUE"""),"・『アイドルマスター SideM』： 兜大吾
・『半妖の夜叉姫』： 翡翠
・『幼馴染とはラブコメにならない』： 界世之介
・『月とライカと吸血姫』： セミョーン・アダモフ")</f>
        <v>・『アイドルマスター SideM』： 兜大吾
・『半妖の夜叉姫』： 翡翠
・『幼馴染とはラブコメにならない』： 界世之介
・『月とライカと吸血姫』： セミョーン・アダモフ</v>
      </c>
    </row>
    <row r="241" spans="1:2">
      <c r="A241" s="1" t="str">
        <f ca="1">IFERROR(__xludf.DUMMYFUNCTION("""COMPUTED_VALUE"""),"汐谷文康")</f>
        <v>汐谷文康</v>
      </c>
      <c r="B241" s="1" t="str">
        <f ca="1">IFERROR(__xludf.DUMMYFUNCTION("""COMPUTED_VALUE"""),"・『アイドルマスター SideM』： 北村想楽
・『ハイキュー!!』： 手白球彦
・『XL上司。』： 成田陸
・『シャングリラ・フロンティア』： レミー")</f>
        <v>・『アイドルマスター SideM』： 北村想楽
・『ハイキュー!!』： 手白球彦
・『XL上司。』： 成田陸
・『シャングリラ・フロンティア』： レミー</v>
      </c>
    </row>
    <row r="242" spans="1:2">
      <c r="A242" s="1" t="str">
        <f ca="1">IFERROR(__xludf.DUMMYFUNCTION("""COMPUTED_VALUE"""),"伊瀬結陸")</f>
        <v>伊瀬結陸</v>
      </c>
      <c r="B242" s="1" t="str">
        <f ca="1">IFERROR(__xludf.DUMMYFUNCTION("""COMPUTED_VALUE"""),"・『アイドルマスター SideM』： 天峰秀
・『川越ボーイズ・シング』： 日向進
・『遊☆戯☆王SEVENS』： グルグル（ゴーハ・ユウガ）
・『ハイドライバーズ』： 神代暁")</f>
        <v>・『アイドルマスター SideM』： 天峰秀
・『川越ボーイズ・シング』： 日向進
・『遊☆戯☆王SEVENS』： グルグル（ゴーハ・ユウガ）
・『ハイドライバーズ』： 神代暁</v>
      </c>
    </row>
    <row r="243" spans="1:2">
      <c r="A243" s="1" t="str">
        <f ca="1">IFERROR(__xludf.DUMMYFUNCTION("""COMPUTED_VALUE"""),"宮﨑雅也")</f>
        <v>宮﨑雅也</v>
      </c>
      <c r="B243" s="1" t="str">
        <f ca="1">IFERROR(__xludf.DUMMYFUNCTION("""COMPUTED_VALUE"""),"・『アイドルマスター SideM』： 花園百々人
・『千歳くんはラムネ瓶のなか』： 山崎健太
・『薫る花は凛と咲く』： 須藤海人
・『デッドアカウント』： 滑川霧")</f>
        <v>・『アイドルマスター SideM』： 花園百々人
・『千歳くんはラムネ瓶のなか』： 山崎健太
・『薫る花は凛と咲く』： 須藤海人
・『デッドアカウント』： 滑川霧</v>
      </c>
    </row>
    <row r="244" spans="1:2">
      <c r="A244" s="1" t="str">
        <f ca="1">IFERROR(__xludf.DUMMYFUNCTION("""COMPUTED_VALUE"""),"河合健太郎")</f>
        <v>河合健太郎</v>
      </c>
      <c r="B244" s="1" t="str">
        <f ca="1">IFERROR(__xludf.DUMMYFUNCTION("""COMPUTED_VALUE"""),"・『アイドルランドプリパラ』： 大江戸シンヤ
・『KING OF PRISM -Your Endless Call- み〜んなきらめけ！プリズム☆ツアーズ』： 大江戸シンヤ")</f>
        <v>・『アイドルランドプリパラ』： 大江戸シンヤ
・『KING OF PRISM -Your Endless Call- み〜んなきらめけ！プリズム☆ツアーズ』： 大江戸シンヤ</v>
      </c>
    </row>
    <row r="245" spans="1:2">
      <c r="A245" s="1" t="str">
        <f ca="1">IFERROR(__xludf.DUMMYFUNCTION("""COMPUTED_VALUE"""),"鵜澤正太郎")</f>
        <v>鵜澤正太郎</v>
      </c>
      <c r="B245" s="1" t="str">
        <f ca="1">IFERROR(__xludf.DUMMYFUNCTION("""COMPUTED_VALUE"""),"・『地縛少年花子くん』： 横尾瞬
・『川越ボーイズ・シング』： 出井天使
・『アイドルランドプリパラ』： ウシミツ
・『古見さんは、コミュ症です。』： 米谷忠釈
・『デュエル・マスターズ WIN』： 斬札ウィン")</f>
        <v>・『地縛少年花子くん』： 横尾瞬
・『川越ボーイズ・シング』： 出井天使
・『アイドルランドプリパラ』： ウシミツ
・『古見さんは、コミュ症です。』： 米谷忠釈
・『デュエル・マスターズ WIN』： 斬札ウィン</v>
      </c>
    </row>
    <row r="246" spans="1:2">
      <c r="A246" s="1" t="str">
        <f ca="1">IFERROR(__xludf.DUMMYFUNCTION("""COMPUTED_VALUE"""),"橘龍丸")</f>
        <v>橘龍丸</v>
      </c>
      <c r="B246" s="1" t="str">
        <f ca="1">IFERROR(__xludf.DUMMYFUNCTION("""COMPUTED_VALUE"""),"・『アオアシ』： 大友栄作
・『薬屋のひとりごと』： 馬閃
・『黒執事 -寄宿学校編-』： グレゴリー・バイオレット
・『Fate/strange Fake』： ジェスター・カルトゥーレ
・『群青のファンファーレ』： 桜庭惣司朗
・『アイドルランドプリパラ』： マリオ")</f>
        <v>・『アオアシ』： 大友栄作
・『薬屋のひとりごと』： 馬閃
・『黒執事 -寄宿学校編-』： グレゴリー・バイオレット
・『Fate/strange Fake』： ジェスター・カルトゥーレ
・『群青のファンファーレ』： 桜庭惣司朗
・『アイドルランドプリパラ』： マリオ</v>
      </c>
    </row>
    <row r="247" spans="1:2">
      <c r="A247" s="1" t="str">
        <f ca="1">IFERROR(__xludf.DUMMYFUNCTION("""COMPUTED_VALUE"""),"石田彰")</f>
        <v>石田彰</v>
      </c>
      <c r="B247" s="1" t="str">
        <f ca="1">IFERROR(__xludf.DUMMYFUNCTION("""COMPUTED_VALUE"""),"・『新世紀エヴァンゲリオン』： 渚カヲル
・『銀魂』： 桂小太郎
・『機動戦士ガンダムSEED』： アスラン・ザラ
・『最遊記』： 猪八戒
・『NARUTO -ナルト-』： 我愛羅
・『鬼滅の刃』： 猗窩座
・『文豪ストレイドッグス』： フョードル・ドストエフスキー")</f>
        <v>・『新世紀エヴァンゲリオン』： 渚カヲル
・『銀魂』： 桂小太郎
・『機動戦士ガンダムSEED』： アスラン・ザラ
・『最遊記』： 猪八戒
・『NARUTO -ナルト-』： 我愛羅
・『鬼滅の刃』： 猗窩座
・『文豪ストレイドッグス』： フョードル・ドストエフスキー</v>
      </c>
    </row>
    <row r="248" spans="1:2">
      <c r="A248" s="1" t="str">
        <f ca="1">IFERROR(__xludf.DUMMYFUNCTION("""COMPUTED_VALUE"""),"檜山修之")</f>
        <v>檜山修之</v>
      </c>
      <c r="B248" s="1" t="str">
        <f ca="1">IFERROR(__xludf.DUMMYFUNCTION("""COMPUTED_VALUE"""),"・『幽☆遊☆白書』： 飛影
・『勇者王ガオガイガー』： 獅子王凱
・『勇者特急マイトガイン』： 旋風寺舞人
・『天元突破グレンラガン』： ヴィラル
・『機動戦士ガンダムSEED』： ムルタ・アズラエル")</f>
        <v>・『幽☆遊☆白書』： 飛影
・『勇者王ガオガイガー』： 獅子王凱
・『勇者特急マイトガイン』： 旋風寺舞人
・『天元突破グレンラガン』： ヴィラル
・『機動戦士ガンダムSEED』： ムルタ・アズラエル</v>
      </c>
    </row>
    <row r="249" spans="1:2">
      <c r="A249" s="1" t="str">
        <f ca="1">IFERROR(__xludf.DUMMYFUNCTION("""COMPUTED_VALUE"""),"山口勝平")</f>
        <v>山口勝平</v>
      </c>
      <c r="B249" s="1" t="str">
        <f ca="1">IFERROR(__xludf.DUMMYFUNCTION("""COMPUTED_VALUE"""),"・『らんま1/2』： 早乙女乱馬
・『名探偵コナン』： 工藤新一／怪盗キッド
・『犬夜叉』： 犬夜叉
・『ONE PIECE』： ウソップ
・『DEATH NOTE』： L")</f>
        <v>・『らんま1/2』： 早乙女乱馬
・『名探偵コナン』： 工藤新一／怪盗キッド
・『犬夜叉』： 犬夜叉
・『ONE PIECE』： ウソップ
・『DEATH NOTE』： L</v>
      </c>
    </row>
    <row r="250" spans="1:2">
      <c r="A250" s="1" t="str">
        <f ca="1">IFERROR(__xludf.DUMMYFUNCTION("""COMPUTED_VALUE"""),"小杉十郎太")</f>
        <v>小杉十郎太</v>
      </c>
      <c r="B250" s="1" t="str">
        <f ca="1">IFERROR(__xludf.DUMMYFUNCTION("""COMPUTED_VALUE"""),"・『機動戦士Ζガンダム』： ナレーション／ヘンケン・ベッケナー
・『金田一少年の事件簿』： 剣持勇
・『NARUTO -ナルト-』： 猿飛アスマ
・『ONE PIECE』： アーロン")</f>
        <v>・『機動戦士Ζガンダム』： ナレーション／ヘンケン・ベッケナー
・『金田一少年の事件簿』： 剣持勇
・『NARUTO -ナルト-』： 猿飛アスマ
・『ONE PIECE』： アーロン</v>
      </c>
    </row>
    <row r="251" spans="1:2">
      <c r="A251" s="1" t="str">
        <f ca="1">IFERROR(__xludf.DUMMYFUNCTION("""COMPUTED_VALUE"""),"森田成一")</f>
        <v>森田成一</v>
      </c>
      <c r="B251" s="1" t="str">
        <f ca="1">IFERROR(__xludf.DUMMYFUNCTION("""COMPUTED_VALUE"""),"・『BLEACH』： 黒崎一護
・『TIGER &amp; BUNNY』： バーナビー・ブルックスJr.
・『キングダム』： 信
・『FINAL FANTASY X』： ティーダ")</f>
        <v>・『BLEACH』： 黒崎一護
・『TIGER &amp; BUNNY』： バーナビー・ブルックスJr.
・『キングダム』： 信
・『FINAL FANTASY X』： ティーダ</v>
      </c>
    </row>
    <row r="252" spans="1:2">
      <c r="A252" s="1" t="str">
        <f ca="1">IFERROR(__xludf.DUMMYFUNCTION("""COMPUTED_VALUE"""),"中井和哉")</f>
        <v>中井和哉</v>
      </c>
      <c r="B252" s="1" t="str">
        <f ca="1">IFERROR(__xludf.DUMMYFUNCTION("""COMPUTED_VALUE"""),"・『ONE PIECE』： ロロノア・ゾロ
・『銀魂』： 土方十四郎
・『戦国BASARA』： 伊達政宗
・『サムライチャンプルー』： ムゲン
・『血界戦線』： ザップ・レンフロ
・『xxxHOLiC』： 百目鬼静")</f>
        <v>・『ONE PIECE』： ロロノア・ゾロ
・『銀魂』： 土方十四郎
・『戦国BASARA』： 伊達政宗
・『サムライチャンプルー』： ムゲン
・『血界戦線』： ザップ・レンフロ
・『xxxHOLiC』： 百目鬼静</v>
      </c>
    </row>
    <row r="253" spans="1:2">
      <c r="A253" s="1" t="str">
        <f ca="1">IFERROR(__xludf.DUMMYFUNCTION("""COMPUTED_VALUE"""),"成瀬誠")</f>
        <v>成瀬誠</v>
      </c>
      <c r="B253" s="1" t="str">
        <f ca="1">IFERROR(__xludf.DUMMYFUNCTION("""COMPUTED_VALUE"""),"・『遊☆戯☆王デュエルモンスターズGX』： 藤原優介
・『ワールドトリガー』： 半崎義人
・『ONE PIECE』： ブルーギリー
・『戦場のヴァルキュリア』： ラマール・ヴァルト")</f>
        <v>・『遊☆戯☆王デュエルモンスターズGX』： 藤原優介
・『ワールドトリガー』： 半崎義人
・『ONE PIECE』： ブルーギリー
・『戦場のヴァルキュリア』： ラマール・ヴァルト</v>
      </c>
    </row>
    <row r="254" spans="1:2">
      <c r="A254" s="1" t="str">
        <f ca="1">IFERROR(__xludf.DUMMYFUNCTION("""COMPUTED_VALUE"""),"うえだゆうじ")</f>
        <v>うえだゆうじ</v>
      </c>
      <c r="B254" s="1" t="str">
        <f ca="1">IFERROR(__xludf.DUMMYFUNCTION("""COMPUTED_VALUE"""),"・『るろうに剣心 -明治剣客浪漫譚-』： 相楽左之助
・『ポケットモンスター』： タケシ／ソーナンス
・『機動戦艦ナデシコ』： テンカワ・アキト
・『おじゃる丸』： キスケ
・『SHAMAN KING』： ホロホロ")</f>
        <v>・『るろうに剣心 -明治剣客浪漫譚-』： 相楽左之助
・『ポケットモンスター』： タケシ／ソーナンス
・『機動戦艦ナデシコ』： テンカワ・アキト
・『おじゃる丸』： キスケ
・『SHAMAN KING』： ホロホロ</v>
      </c>
    </row>
    <row r="255" spans="1:2">
      <c r="A255" s="1" t="str">
        <f ca="1">IFERROR(__xludf.DUMMYFUNCTION("""COMPUTED_VALUE"""),"私市淳")</f>
        <v>私市淳</v>
      </c>
      <c r="B255" s="1" t="str">
        <f ca="1">IFERROR(__xludf.DUMMYFUNCTION("""COMPUTED_VALUE"""),"・『勇者指令ダグオン』： 刃柴竜
・『星のカービィ』： メタナイト卿
・『Kanon』： 相沢祐一
・『コードギアス 反逆のルルーシュ』： 朝比奈省悟／ルキアーノ・ブラッドリー")</f>
        <v>・『勇者指令ダグオン』： 刃柴竜
・『星のカービィ』： メタナイト卿
・『Kanon』： 相沢祐一
・『コードギアス 反逆のルルーシュ』： 朝比奈省悟／ルキアーノ・ブラッドリー</v>
      </c>
    </row>
    <row r="256" spans="1:2">
      <c r="A256" s="1" t="str">
        <f ca="1">IFERROR(__xludf.DUMMYFUNCTION("""COMPUTED_VALUE"""),"千葉進歩")</f>
        <v>千葉進歩</v>
      </c>
      <c r="B256" s="1" t="str">
        <f ca="1">IFERROR(__xludf.DUMMYFUNCTION("""COMPUTED_VALUE"""),"・『銀魂』： 近藤勲
・『ヒカルの碁』： 藤原佐為
・『キューティーハニーF』： 早見青児
・『ヴァンパイア騎士』： 一条拓麻
・『戦場のヴァルキュリア』： ウェルキン・ギュンター")</f>
        <v>・『銀魂』： 近藤勲
・『ヒカルの碁』： 藤原佐為
・『キューティーハニーF』： 早見青児
・『ヴァンパイア騎士』： 一条拓麻
・『戦場のヴァルキュリア』： ウェルキン・ギュンター</v>
      </c>
    </row>
    <row r="257" spans="1:2">
      <c r="A257" s="1" t="str">
        <f ca="1">IFERROR(__xludf.DUMMYFUNCTION("""COMPUTED_VALUE"""),"菅沼久義")</f>
        <v>菅沼久義</v>
      </c>
      <c r="B257" s="1" t="str">
        <f ca="1">IFERROR(__xludf.DUMMYFUNCTION("""COMPUTED_VALUE"""),"・『夏目友人帳』： 北本篤史
・『黒執事』： フレッド・アバーライン
・『真・三國無双』シリーズ： 孫権／姜維
・『ワールドトリガー』： 菊地原士郎
・『天使のしっぽ』： 睦悟郎")</f>
        <v>・『夏目友人帳』： 北本篤史
・『黒執事』： フレッド・アバーライン
・『真・三國無双』シリーズ： 孫権／姜維
・『ワールドトリガー』： 菊地原士郎
・『天使のしっぽ』： 睦悟郎</v>
      </c>
    </row>
    <row r="258" spans="1:2">
      <c r="A258" s="1" t="str">
        <f ca="1">IFERROR(__xludf.DUMMYFUNCTION("""COMPUTED_VALUE"""),"田邊幸輔")</f>
        <v>田邊幸輔</v>
      </c>
      <c r="B258" s="1" t="str">
        <f ca="1">IFERROR(__xludf.DUMMYFUNCTION("""COMPUTED_VALUE"""),"・『MFゴースト』： 八潮翔
・『Fairy蘭丸～あなたの心お助けします～』： 歩照瀬焔
・『遊☆戯☆王ゴーラッシュ!!』： 竜宮フェイザー
・『ゼノブレイド3』： ランツ")</f>
        <v>・『MFゴースト』： 八潮翔
・『Fairy蘭丸～あなたの心お助けします～』： 歩照瀬焔
・『遊☆戯☆王ゴーラッシュ!!』： 竜宮フェイザー
・『ゼノブレイド3』： ランツ</v>
      </c>
    </row>
    <row r="259" spans="1:2">
      <c r="A259" s="1" t="str">
        <f ca="1">IFERROR(__xludf.DUMMYFUNCTION("""COMPUTED_VALUE"""),"植木慎英")</f>
        <v>植木慎英</v>
      </c>
      <c r="B259" s="1" t="str">
        <f ca="1">IFERROR(__xludf.DUMMYFUNCTION("""COMPUTED_VALUE"""),"・『約束のネバーランド』： ドン
・『カードファイト!! ヴァンガード』シリーズ： ヤマモト")</f>
        <v>・『約束のネバーランド』： ドン
・『カードファイト!! ヴァンガード』シリーズ： ヤマモト</v>
      </c>
    </row>
    <row r="260" spans="1:2">
      <c r="A260" s="1" t="str">
        <f ca="1">IFERROR(__xludf.DUMMYFUNCTION("""COMPUTED_VALUE"""),"三宅貴大")</f>
        <v>三宅貴大</v>
      </c>
      <c r="B260" s="1" t="str">
        <f ca="1">IFERROR(__xludf.DUMMYFUNCTION("""COMPUTED_VALUE"""),"・『メダリスト』： 蛇崩遊大
・『SPIRITPACT-黄泉の契り-』： 端木寺明
・『囀る鳥は羽ばたかない The clouds gather』： 杉本隼人")</f>
        <v>・『メダリスト』： 蛇崩遊大
・『SPIRITPACT-黄泉の契り-』： 端木寺明
・『囀る鳥は羽ばたかない The clouds gather』： 杉本隼人</v>
      </c>
    </row>
    <row r="261" spans="1:2">
      <c r="A261" s="1" t="str">
        <f ca="1">IFERROR(__xludf.DUMMYFUNCTION("""COMPUTED_VALUE"""),"保住有哉")</f>
        <v>保住有哉</v>
      </c>
      <c r="B261" s="1" t="str">
        <f ca="1">IFERROR(__xludf.DUMMYFUNCTION("""COMPUTED_VALUE"""),"・『回復術士のやり直し』： ケヤル／ケヤルガ
・『モブから始まる探索英雄譚』： 高木海斗
・『セブンナイツ レボリューション -英雄の継承者-』： ギルダン
・『ドリフェス!R』： 日高なな緒")</f>
        <v>・『回復術士のやり直し』： ケヤル／ケヤルガ
・『モブから始まる探索英雄譚』： 高木海斗
・『セブンナイツ レボリューション -英雄の継承者-』： ギルダン
・『ドリフェス!R』： 日高なな緒</v>
      </c>
    </row>
    <row r="262" spans="1:2">
      <c r="A262" s="1" t="str">
        <f ca="1">IFERROR(__xludf.DUMMYFUNCTION("""COMPUTED_VALUE"""),"小野将夢")</f>
        <v>小野将夢</v>
      </c>
      <c r="B262" s="1" t="str">
        <f ca="1">IFERROR(__xludf.DUMMYFUNCTION("""COMPUTED_VALUE"""),"・『number24』： 近衛素直
・『86-エイティシックス-』： チセ・オーセン
・『ゲゲゲの鬼太郎』（第6作）： 冬真／健人
・『ワールドトリガー』： 隠岐孝二
・『ラブオールプレー』： 有村哲也")</f>
        <v>・『number24』： 近衛素直
・『86-エイティシックス-』： チセ・オーセン
・『ゲゲゲの鬼太郎』（第6作）： 冬真／健人
・『ワールドトリガー』： 隠岐孝二
・『ラブオールプレー』： 有村哲也</v>
      </c>
    </row>
    <row r="263" spans="1:2">
      <c r="A263" s="1" t="str">
        <f ca="1">IFERROR(__xludf.DUMMYFUNCTION("""COMPUTED_VALUE"""),"加藤渉")</f>
        <v>加藤渉</v>
      </c>
      <c r="B263" s="1" t="str">
        <f ca="1">IFERROR(__xludf.DUMMYFUNCTION("""COMPUTED_VALUE"""),"・『君のことが大大大大大好きな100人の彼女』： 愛城恋太郎
・『怪獣8号』： 市川レノ
・『ダンジョン飯』： カブルー
・『勇者が死んだ！』： トウカ・スコット
・『アオアシ』： 朝利マーチス淳")</f>
        <v>・『君のことが大大大大大好きな100人の彼女』： 愛城恋太郎
・『怪獣8号』： 市川レノ
・『ダンジョン飯』： カブルー
・『勇者が死んだ！』： トウカ・スコット
・『アオアシ』： 朝利マーチス淳</v>
      </c>
    </row>
    <row r="264" spans="1:2">
      <c r="A264" s="1" t="str">
        <f ca="1">IFERROR(__xludf.DUMMYFUNCTION("""COMPUTED_VALUE"""),"宮瀬尚也")</f>
        <v>宮瀬尚也</v>
      </c>
      <c r="B264" s="1" t="str">
        <f ca="1">IFERROR(__xludf.DUMMYFUNCTION("""COMPUTED_VALUE"""),"・『夢見る男子は現実主義者』： 佐城渉
・『アン・シャーリー』： ギルバート・ブライス
・『フットサルボーイズ!!!!!』： 京極聖
・『KING OF PRISM -Shiny Seven Stars-』： レヴォントゥレット・ニッカネン")</f>
        <v>・『夢見る男子は現実主義者』： 佐城渉
・『アン・シャーリー』： ギルバート・ブライス
・『フットサルボーイズ!!!!!』： 京極聖
・『KING OF PRISM -Shiny Seven Stars-』： レヴォントゥレット・ニッカネン</v>
      </c>
    </row>
    <row r="265" spans="1:2">
      <c r="A265" s="1" t="str">
        <f ca="1">IFERROR(__xludf.DUMMYFUNCTION("""COMPUTED_VALUE"""),"高野憲太朗")</f>
        <v>高野憲太朗</v>
      </c>
      <c r="B265" s="1" t="str">
        <f ca="1">IFERROR(__xludf.DUMMYFUNCTION("""COMPUTED_VALUE"""),"・『HERO MASK』： エドモンド・チャンドラー
・『東京ディバンカー』： エドワード・ハート
・『アウターバンクス』： レイフ・キャメロン")</f>
        <v>・『HERO MASK』： エドモンド・チャンドラー
・『東京ディバンカー』： エドワード・ハート
・『アウターバンクス』： レイフ・キャメロン</v>
      </c>
    </row>
    <row r="266" spans="1:2">
      <c r="A266" s="1" t="str">
        <f ca="1">IFERROR(__xludf.DUMMYFUNCTION("""COMPUTED_VALUE"""),"木暮晃石")</f>
        <v>木暮晃石</v>
      </c>
      <c r="B266" s="1" t="str">
        <f ca="1">IFERROR(__xludf.DUMMYFUNCTION("""COMPUTED_VALUE"""),"・『ようこそ実力至上主義の教室へ』： 本堂遼太郎
・『メジャーセカンド』： 千葉兄
・『プラチナエンド』： 田中")</f>
        <v>・『ようこそ実力至上主義の教室へ』： 本堂遼太郎
・『メジャーセカンド』： 千葉兄
・『プラチナエンド』： 田中</v>
      </c>
    </row>
    <row r="267" spans="1:2">
      <c r="A267" s="1" t="str">
        <f ca="1">IFERROR(__xludf.DUMMYFUNCTION("""COMPUTED_VALUE"""),"小林秀行")</f>
        <v>小林秀行</v>
      </c>
      <c r="B267" s="1" t="str">
        <f ca="1">IFERROR(__xludf.DUMMYFUNCTION("""COMPUTED_VALUE"""),"・『東京ディバンカー』： 桐崎次郎
・『ファイアーエムブレム 万紫千紅』： イオ
・『おねがいっパトロンさま！』： エーカー")</f>
        <v>・『東京ディバンカー』： 桐崎次郎
・『ファイアーエムブレム 万紫千紅』： イオ
・『おねがいっパトロンさま！』： エーカー</v>
      </c>
    </row>
    <row r="268" spans="1:2">
      <c r="A268" s="1" t="str">
        <f ca="1">IFERROR(__xludf.DUMMYFUNCTION("""COMPUTED_VALUE"""),"柳晃平")</f>
        <v>柳晃平</v>
      </c>
      <c r="B268" s="1" t="str">
        <f ca="1">IFERROR(__xludf.DUMMYFUNCTION("""COMPUTED_VALUE"""),"・『ぬきたし THE ANIMATION』： 橘淳之介
・『黄昏アウトフォーカス』： 加賀利テル
・『陛下わたしを忘れてください』： ニケ・ペルセポネー
・『真・女神転生V Vengeance』： 主人公-")</f>
        <v>・『ぬきたし THE ANIMATION』： 橘淳之介
・『黄昏アウトフォーカス』： 加賀利テル
・『陛下わたしを忘れてください』： ニケ・ペルセポネー
・『真・女神転生V Vengeance』： 主人公-</v>
      </c>
    </row>
    <row r="269" spans="1:2">
      <c r="A269" s="1" t="str">
        <f ca="1">IFERROR(__xludf.DUMMYFUNCTION("""COMPUTED_VALUE"""),"竹田海渡")</f>
        <v>竹田海渡</v>
      </c>
      <c r="B269" s="1" t="str">
        <f ca="1">IFERROR(__xludf.DUMMYFUNCTION("""COMPUTED_VALUE"""),"・『スケートリーディング☆スターズ』： 倉吉虎之助
・『2.43 清陰高校男子バレー部』： 朝松壱成
・『あひるの空』： 長治正治
・『ワールドトリガー』： 水上敏志
・『JOCHUM』： レイン")</f>
        <v>・『スケートリーディング☆スターズ』： 倉吉虎之助
・『2.43 清陰高校男子バレー部』： 朝松壱成
・『あひるの空』： 長治正治
・『ワールドトリガー』： 水上敏志
・『JOCHUM』： レイン</v>
      </c>
    </row>
    <row r="270" spans="1:2">
      <c r="A270" s="1" t="str">
        <f ca="1">IFERROR(__xludf.DUMMYFUNCTION("""COMPUTED_VALUE"""),"佐々木啓夫")</f>
        <v>佐々木啓夫</v>
      </c>
      <c r="B270" s="1" t="str">
        <f ca="1">IFERROR(__xludf.DUMMYFUNCTION("""COMPUTED_VALUE"""),"・『黒子のバスケ』： 福田寛
・『INGRESS THE ANIMATION』： ハンク・ジョンソン
・『空挺ドラゴンズ』： リー
・『RErideD－刻越えのデリダ－』： ヴィドー・フェルカー
・『ファイナル・スペース』： ゲイリー／ムーンケーキ")</f>
        <v>・『黒子のバスケ』： 福田寛
・『INGRESS THE ANIMATION』： ハンク・ジョンソン
・『空挺ドラゴンズ』： リー
・『RErideD－刻越えのデリダ－』： ヴィドー・フェルカー
・『ファイナル・スペース』： ゲイリー／ムーンケーキ</v>
      </c>
    </row>
    <row r="271" spans="1:2">
      <c r="A271" s="1" t="str">
        <f ca="1">IFERROR(__xludf.DUMMYFUNCTION("""COMPUTED_VALUE"""),"石黒史剛")</f>
        <v>石黒史剛</v>
      </c>
      <c r="B271" s="1" t="str">
        <f ca="1">IFERROR(__xludf.DUMMYFUNCTION("""COMPUTED_VALUE"""),"・『シンカリオン チェンジ ザ ワールド』： 最上ガンマ
・『逃げ上手の若君』： 諏訪盛高
・『ヴィジランテ -僕のヒーローアカデミア ILLEGALS-』： エンペラー四浦
・『ベイブレードX』： 陣内バリキ")</f>
        <v>・『シンカリオン チェンジ ザ ワールド』： 最上ガンマ
・『逃げ上手の若君』： 諏訪盛高
・『ヴィジランテ -僕のヒーローアカデミア ILLEGALS-』： エンペラー四浦
・『ベイブレードX』： 陣内バリキ</v>
      </c>
    </row>
    <row r="272" spans="1:2">
      <c r="A272" s="1" t="str">
        <f ca="1">IFERROR(__xludf.DUMMYFUNCTION("""COMPUTED_VALUE"""),"関智一")</f>
        <v>関智一</v>
      </c>
      <c r="B272" s="1" t="str">
        <f ca="1">IFERROR(__xludf.DUMMYFUNCTION("""COMPUTED_VALUE"""),"・『ドラえもん』： 骨川スネ夫
・『PSYCHO-PASS サイコパス』： 狡噛慎也
・『STEINS;GATE』： 橋田至
・『機動武闘伝Gガンダム』： ドモン・カッシュ
・『のだめカンタービレ』： 千秋真一
・『鬼滅の刃』： 不死川実弥
・『フルメタル・パニック！』： 相良宗介")</f>
        <v>・『ドラえもん』： 骨川スネ夫
・『PSYCHO-PASS サイコパス』： 狡噛慎也
・『STEINS;GATE』： 橋田至
・『機動武闘伝Gガンダム』： ドモン・カッシュ
・『のだめカンタービレ』： 千秋真一
・『鬼滅の刃』： 不死川実弥
・『フルメタル・パニック！』： 相良宗介</v>
      </c>
    </row>
    <row r="273" spans="1:2">
      <c r="A273" s="1" t="str">
        <f ca="1">IFERROR(__xludf.DUMMYFUNCTION("""COMPUTED_VALUE"""),"中原茂")</f>
        <v>中原茂</v>
      </c>
      <c r="B273" s="1" t="str">
        <f ca="1">IFERROR(__xludf.DUMMYFUNCTION("""COMPUTED_VALUE"""),"・『ドラゴンボール』シリーズ： 人造人間17号
・『新機動戦記ガンダムW』： トロワ・バートン
・『聖戦士ダンバイン』： ショウ・ザマ
・『戦国BASARA』： 毛利元就")</f>
        <v>・『ドラゴンボール』シリーズ： 人造人間17号
・『新機動戦記ガンダムW』： トロワ・バートン
・『聖戦士ダンバイン』： ショウ・ザマ
・『戦国BASARA』： 毛利元就</v>
      </c>
    </row>
    <row r="274" spans="1:2">
      <c r="A274" s="1" t="str">
        <f ca="1">IFERROR(__xludf.DUMMYFUNCTION("""COMPUTED_VALUE"""),"四反田マイケル")</f>
        <v>四反田マイケル</v>
      </c>
      <c r="B274" s="1" t="str">
        <f ca="1">IFERROR(__xludf.DUMMYFUNCTION("""COMPUTED_VALUE"""),"・『行け！稲中卓球部』： 田辺・ミッチェル・五郎
・『デジモンフロンティア』： 柴山純平
・『激闘！クラッシュギアTURBO』： 織座ジロウ
・『出撃！マシンロボレスキュー』： 歌田進／歌田強")</f>
        <v>・『行け！稲中卓球部』： 田辺・ミッチェル・五郎
・『デジモンフロンティア』： 柴山純平
・『激闘！クラッシュギアTURBO』： 織座ジロウ
・『出撃！マシンロボレスキュー』： 歌田進／歌田強</v>
      </c>
    </row>
    <row r="275" spans="1:2">
      <c r="A275" s="1" t="str">
        <f ca="1">IFERROR(__xludf.DUMMYFUNCTION("""COMPUTED_VALUE"""),"戸谷菊之介")</f>
        <v>戸谷菊之介</v>
      </c>
      <c r="B275" s="1" t="str">
        <f ca="1">IFERROR(__xludf.DUMMYFUNCTION("""COMPUTED_VALUE"""),"・『チェンソーマン』： デンジ
・『UniteUp!』： 清瀬明良
・『WIND BREAKER』： 兎耳山丁子
・『七つの大罪 黙示録の四騎士』： ドニー
・『逃げ上手の若君』： 吹雪")</f>
        <v>・『チェンソーマン』： デンジ
・『UniteUp!』： 清瀬明良
・『WIND BREAKER』： 兎耳山丁子
・『七つの大罪 黙示録の四騎士』： ドニー
・『逃げ上手の若君』： 吹雪</v>
      </c>
    </row>
    <row r="276" spans="1:2">
      <c r="A276" s="1" t="str">
        <f ca="1">IFERROR(__xludf.DUMMYFUNCTION("""COMPUTED_VALUE"""),"綿貫竜之介")</f>
        <v>綿貫竜之介</v>
      </c>
      <c r="B276" s="1" t="str">
        <f ca="1">IFERROR(__xludf.DUMMYFUNCTION("""COMPUTED_VALUE"""),"・『ブルーロック』： 伊右衛門送人
・『新テニスの王子様 U-17 WORLD CUP』： A・フランケンシュタイナー
・『火狩りの王』： 火十
・『夜桜さんちの大作戦』： 山ちゃん")</f>
        <v>・『ブルーロック』： 伊右衛門送人
・『新テニスの王子様 U-17 WORLD CUP』： A・フランケンシュタイナー
・『火狩りの王』： 火十
・『夜桜さんちの大作戦』： 山ちゃん</v>
      </c>
    </row>
    <row r="277" spans="1:2">
      <c r="A277" s="1" t="str">
        <f ca="1">IFERROR(__xludf.DUMMYFUNCTION("""COMPUTED_VALUE"""),"下鶴直幸")</f>
        <v>下鶴直幸</v>
      </c>
      <c r="B277" s="1" t="str">
        <f ca="1">IFERROR(__xludf.DUMMYFUNCTION("""COMPUTED_VALUE"""),"・『美男高校地球防衛部HAPPY KISS!』： 修善寺鏡太郎
・『東京リベンジャーズ 三天戦争編』： 明司武臣
・『うらみちお兄さん』： 土井柴雄")</f>
        <v>・『美男高校地球防衛部HAPPY KISS!』： 修善寺鏡太郎
・『東京リベンジャーズ 三天戦争編』： 明司武臣
・『うらみちお兄さん』： 土井柴雄</v>
      </c>
    </row>
    <row r="278" spans="1:2">
      <c r="A278" s="1" t="str">
        <f ca="1">IFERROR(__xludf.DUMMYFUNCTION("""COMPUTED_VALUE"""),"神谷浩史")</f>
        <v>神谷浩史</v>
      </c>
      <c r="B278" s="1" t="str">
        <f ca="1">IFERROR(__xludf.DUMMYFUNCTION("""COMPUTED_VALUE"""),"・『夏目友人帳』： 夏目貴志
・『〈物語〉シリーズ』： 阿良々木暦
・『進撃の巨人』： リヴァイ
・『ONE PIECE』： トラファルガー・ロー
・『黒子のバスケ』： 赤司征十郎
・『おそ松さん』： チョロ松
・『デュラララ!!』： 折原臨也
・『斉木楠雄のΨ難』： 斉木楠雄")</f>
        <v>・『夏目友人帳』： 夏目貴志
・『〈物語〉シリーズ』： 阿良々木暦
・『進撃の巨人』： リヴァイ
・『ONE PIECE』： トラファルガー・ロー
・『黒子のバスケ』： 赤司征十郎
・『おそ松さん』： チョロ松
・『デュラララ!!』： 折原臨也
・『斉木楠雄のΨ難』： 斉木楠雄</v>
      </c>
    </row>
    <row r="279" spans="1:2">
      <c r="A279" s="1" t="str">
        <f ca="1">IFERROR(__xludf.DUMMYFUNCTION("""COMPUTED_VALUE"""),"大川透")</f>
        <v>大川透</v>
      </c>
      <c r="B279" s="1" t="str">
        <f ca="1">IFERROR(__xludf.DUMMYFUNCTION("""COMPUTED_VALUE"""),"・『鋼の錬金術師』： ロイ・マスタング
・『攻殻機動隊 STAND ALONE COMPLEX』： サイトー
・『ひぐらしのなく頃に』： 富竹ジロウ
・『ソードアート・オンライン』： ヒースクリフ
・『ジョジョの奇妙な冒険』： ナレーション")</f>
        <v>・『鋼の錬金術師』： ロイ・マスタング
・『攻殻機動隊 STAND ALONE COMPLEX』： サイトー
・『ひぐらしのなく頃に』： 富竹ジロウ
・『ソードアート・オンライン』： ヒースクリフ
・『ジョジョの奇妙な冒険』： ナレーション</v>
      </c>
    </row>
    <row r="280" spans="1:2">
      <c r="A280" s="1" t="str">
        <f ca="1">IFERROR(__xludf.DUMMYFUNCTION("""COMPUTED_VALUE"""),"小野坂昌也")</f>
        <v>小野坂昌也</v>
      </c>
      <c r="B280" s="1" t="str">
        <f ca="1">IFERROR(__xludf.DUMMYFUNCTION("""COMPUTED_VALUE"""),"・『TRIGUN』： ヴァッシュ・ザ・スタンピード
・『テニスの王子様』： 桃城武
・『BLEACH』： 平子真子
・『はじめの一歩』： 千堂武士
・『ボボボーボ・ボーボボ』： 首領パッチ
・『カードキャプターさくら』： ケルベロス
・『ワンパンマン』： ぷりぷりプリズナー")</f>
        <v>・『TRIGUN』： ヴァッシュ・ザ・スタンピード
・『テニスの王子様』： 桃城武
・『BLEACH』： 平子真子
・『はじめの一歩』： 千堂武士
・『ボボボーボ・ボーボボ』： 首領パッチ
・『カードキャプターさくら』： ケルベロス
・『ワンパンマン』： ぷりぷりプリズナー</v>
      </c>
    </row>
    <row r="281" spans="1:2">
      <c r="A281" s="1" t="str">
        <f ca="1">IFERROR(__xludf.DUMMYFUNCTION("""COMPUTED_VALUE"""),"白石稔")</f>
        <v>白石稔</v>
      </c>
      <c r="B281" s="1" t="str">
        <f ca="1">IFERROR(__xludf.DUMMYFUNCTION("""COMPUTED_VALUE"""),"・『涼宮ハルヒの憂鬱』： 谷口
・『らき☆すた』： 白石みのる
・『蒼穹のファフナー』： 近藤剣司
・『日常』： 阪本さん
・『長門有希ちゃんの消失』： 谷口")</f>
        <v>・『涼宮ハルヒの憂鬱』： 谷口
・『らき☆すた』： 白石みのる
・『蒼穹のファフナー』： 近藤剣司
・『日常』： 阪本さん
・『長門有希ちゃんの消失』： 谷口</v>
      </c>
    </row>
    <row r="282" spans="1:2">
      <c r="A282" s="1" t="str">
        <f ca="1">IFERROR(__xludf.DUMMYFUNCTION("""COMPUTED_VALUE"""),"岸尾だいすけ")</f>
        <v>岸尾だいすけ</v>
      </c>
      <c r="B282" s="1" t="str">
        <f ca="1">IFERROR(__xludf.DUMMYFUNCTION("""COMPUTED_VALUE"""),"・『ゾイド -ZOIDS-』： バン・フライハイト
・『ヴァンパイア騎士』： 玖蘭枢
・『弱虫ペダル』： 手嶋純太
・『ロザリオとバンパイア』： 青野月音
・『ドラゴンボール改』： ジース
・『東京喰種:re』： 旧多二福
・『ファイナルファンタジーXIII-2』： ノエル・クライス")</f>
        <v>・『ゾイド -ZOIDS-』： バン・フライハイト
・『ヴァンパイア騎士』： 玖蘭枢
・『弱虫ペダル』： 手嶋純太
・『ロザリオとバンパイア』： 青野月音
・『ドラゴンボール改』： ジース
・『東京喰種:re』： 旧多二福
・『ファイナルファンタジーXIII-2』： ノエル・クライス</v>
      </c>
    </row>
    <row r="283" spans="1:2">
      <c r="A283" s="1" t="str">
        <f ca="1">IFERROR(__xludf.DUMMYFUNCTION("""COMPUTED_VALUE"""),"松本保典")</f>
        <v>松本保典</v>
      </c>
      <c r="B283" s="1" t="str">
        <f ca="1">IFERROR(__xludf.DUMMYFUNCTION("""COMPUTED_VALUE"""),"・『サザエさん』： ノリスケ
・『ドラえもん』： のび太のパパ
・『テイルズ オブ ジ アビス』： ガイ・セシル
・『SK∞ エスケーエイト』： 南城虎次郎（ジョー）
")</f>
        <v xml:space="preserve">・『サザエさん』： ノリスケ
・『ドラえもん』： のび太のパパ
・『テイルズ オブ ジ アビス』： ガイ・セシル
・『SK∞ エスケーエイト』： 南城虎次郎（ジョー）
</v>
      </c>
    </row>
    <row r="284" spans="1:2">
      <c r="A284" s="1" t="str">
        <f ca="1">IFERROR(__xludf.DUMMYFUNCTION("""COMPUTED_VALUE"""),"櫻井孝宏")</f>
        <v>櫻井孝宏</v>
      </c>
      <c r="B284" s="1" t="str">
        <f ca="1">IFERROR(__xludf.DUMMYFUNCTION("""COMPUTED_VALUE"""),"・『鬼滅の刃』： 冨岡義勇
・『コードギアス 反逆のルルーシュ』： 枢木スザク
・『モブサイコ100』： 霊幻新隆
・『おそ松さん』： 松野おそ松
・『PSYCHO-PASS サイコパス』： 槙島聖護
・『NARUTO -ナルト-』： サソリ
・『ダイヤのA』： 御幸一也
・『ジョジョの奇妙な冒険 ダイヤモンドは砕けない』： 岸辺露伴")</f>
        <v>・『鬼滅の刃』： 冨岡義勇
・『コードギアス 反逆のルルーシュ』： 枢木スザク
・『モブサイコ100』： 霊幻新隆
・『おそ松さん』： 松野おそ松
・『PSYCHO-PASS サイコパス』： 槙島聖護
・『NARUTO -ナルト-』： サソリ
・『ダイヤのA』： 御幸一也
・『ジョジョの奇妙な冒険 ダイヤモンドは砕けない』： 岸辺露伴</v>
      </c>
    </row>
    <row r="285" spans="1:2">
      <c r="A285" s="1" t="str">
        <f ca="1">IFERROR(__xludf.DUMMYFUNCTION("""COMPUTED_VALUE"""),"伊藤健太郎")</f>
        <v>伊藤健太郎</v>
      </c>
      <c r="B285" s="1" t="str">
        <f ca="1">IFERROR(__xludf.DUMMYFUNCTION("""COMPUTED_VALUE"""),"・『BLEACH』： 阿散井恋次
・『ゴールデンカムイ』： 白石由竹
・『NARUTO -ナルト-』： 秋道チョウジ
・『弱虫ペダル』： 田所迅
・『キングダム』： 桓騎
・『とっとこハム太郎』： タイショーくん")</f>
        <v>・『BLEACH』： 阿散井恋次
・『ゴールデンカムイ』： 白石由竹
・『NARUTO -ナルト-』： 秋道チョウジ
・『弱虫ペダル』： 田所迅
・『キングダム』： 桓騎
・『とっとこハム太郎』： タイショーくん</v>
      </c>
    </row>
    <row r="286" spans="1:2">
      <c r="A286" s="1" t="str">
        <f ca="1">IFERROR(__xludf.DUMMYFUNCTION("""COMPUTED_VALUE"""),"村上聡")</f>
        <v>村上聡</v>
      </c>
      <c r="B286" s="1" t="str">
        <f ca="1">IFERROR(__xludf.DUMMYFUNCTION("""COMPUTED_VALUE"""),"・『フットサルボーイズ!!!!!』： 久我巧生
・『文豪とアルケミスト』： ハワード・P・ラヴクラフト")</f>
        <v>・『フットサルボーイズ!!!!!』： 久我巧生
・『文豪とアルケミスト』： ハワード・P・ラヴクラフト</v>
      </c>
    </row>
    <row r="287" spans="1:2">
      <c r="A287" s="1" t="str">
        <f ca="1">IFERROR(__xludf.DUMMYFUNCTION("""COMPUTED_VALUE"""),"三上哲")</f>
        <v>三上哲</v>
      </c>
      <c r="B287" s="1" t="str">
        <f ca="1">IFERROR(__xludf.DUMMYFUNCTION("""COMPUTED_VALUE"""),"・『DOUBLE DECKER! ダグ&amp;キリル』： ダグ・ビリンガム
・『DEATH STRANDING』： ヒッグス
・『86-エイティシックス-』： ジェローム・カールシュタール
・『明日ちゃんのセーラー服』： 明日サト
・『デリシャスパーティ♡プリキュア』： フェンネル")</f>
        <v>・『DOUBLE DECKER! ダグ&amp;キリル』： ダグ・ビリンガム
・『DEATH STRANDING』： ヒッグス
・『86-エイティシックス-』： ジェローム・カールシュタール
・『明日ちゃんのセーラー服』： 明日サト
・『デリシャスパーティ♡プリキュア』： フェンネル</v>
      </c>
    </row>
    <row r="288" spans="1:2">
      <c r="A288" s="1" t="str">
        <f ca="1">IFERROR(__xludf.DUMMYFUNCTION("""COMPUTED_VALUE"""),"三浦祥朗")</f>
        <v>三浦祥朗</v>
      </c>
      <c r="B288" s="1" t="str">
        <f ca="1">IFERROR(__xludf.DUMMYFUNCTION("""COMPUTED_VALUE"""),"・『聖闘士星矢 冥王ハーデス冥界編』： キグナス氷河
・『おねがい☆ティーチャー』： 四道跨
・『正解するカド』： 真道幸路朗
・『ドラゴンボール改』： ザーボン
・『ワールドトリガー』： 歌川遼
・『ONE PIECE』： アブサロム")</f>
        <v>・『聖闘士星矢 冥王ハーデス冥界編』： キグナス氷河
・『おねがい☆ティーチャー』： 四道跨
・『正解するカド』： 真道幸路朗
・『ドラゴンボール改』： ザーボン
・『ワールドトリガー』： 歌川遼
・『ONE PIECE』： アブサロム</v>
      </c>
    </row>
    <row r="289" spans="1:2">
      <c r="A289" s="1" t="str">
        <f ca="1">IFERROR(__xludf.DUMMYFUNCTION("""COMPUTED_VALUE"""),"佐藤元")</f>
        <v>佐藤元</v>
      </c>
      <c r="B289" s="1" t="str">
        <f ca="1">IFERROR(__xludf.DUMMYFUNCTION("""COMPUTED_VALUE"""),"・『Dr.STONE』： クロム
・『よふかしのうた』： 夜守コウ
・『弱キャラ友崎くん』： 友崎文也
・『HIGH CARD』： フィン・オールドマン
・『君は放課後インソムニア』： 中見丸太
・『天国大魔境』： マル
・『結婚指輪物語』： サトウ")</f>
        <v>・『Dr.STONE』： クロム
・『よふかしのうた』： 夜守コウ
・『弱キャラ友崎くん』： 友崎文也
・『HIGH CARD』： フィン・オールドマン
・『君は放課後インソムニア』： 中見丸太
・『天国大魔境』： マル
・『結婚指輪物語』： サトウ</v>
      </c>
    </row>
    <row r="290" spans="1:2">
      <c r="A290" s="1" t="str">
        <f ca="1">IFERROR(__xludf.DUMMYFUNCTION("""COMPUTED_VALUE"""),"峯田大夢")</f>
        <v>峯田大夢</v>
      </c>
      <c r="B290" s="1" t="str">
        <f ca="1">IFERROR(__xludf.DUMMYFUNCTION("""COMPUTED_VALUE"""),"・『ブルーピリオド』： 矢口八虎
・『セスタス -The Roman Fighter-』： セスタス
・『シャングリラ・フロンティア』： アラミース
・『WIND BREAKER』： 鹿沼稔
・『フットサルボーイズ!!!!!』： 樫良木ルイ
・『テクノロイド オーバーマインド』： ケイ")</f>
        <v>・『ブルーピリオド』： 矢口八虎
・『セスタス -The Roman Fighter-』： セスタス
・『シャングリラ・フロンティア』： アラミース
・『WIND BREAKER』： 鹿沼稔
・『フットサルボーイズ!!!!!』： 樫良木ルイ
・『テクノロイド オーバーマインド』： ケイ</v>
      </c>
    </row>
    <row r="291" spans="1:2">
      <c r="A291" s="1" t="str">
        <f ca="1">IFERROR(__xludf.DUMMYFUNCTION("""COMPUTED_VALUE"""),"堀江一眞")</f>
        <v>堀江一眞</v>
      </c>
      <c r="B291" s="1" t="str">
        <f ca="1">IFERROR(__xludf.DUMMYFUNCTION("""COMPUTED_VALUE"""),"・『夏目友人帳』： 田沼要
・『デュラララ!!』： 矢霧誠二
・『SERVAMP-サーヴァンプ-』： スノウリリイ
・『舞-HiME』： 倉内和也")</f>
        <v>・『夏目友人帳』： 田沼要
・『デュラララ!!』： 矢霧誠二
・『SERVAMP-サーヴァンプ-』： スノウリリイ
・『舞-HiME』： 倉内和也</v>
      </c>
    </row>
    <row r="292" spans="1:2">
      <c r="A292" s="1" t="str">
        <f ca="1">IFERROR(__xludf.DUMMYFUNCTION("""COMPUTED_VALUE"""),"森嶋秀太")</f>
        <v>森嶋秀太</v>
      </c>
      <c r="B292" s="1" t="str">
        <f ca="1">IFERROR(__xludf.DUMMYFUNCTION("""COMPUTED_VALUE"""),"•  『カードファイト!! ヴァンガード』シリーズ： 新田シン
•  『アルゴナビス from BanG Dream!』：桔梗凛生
•  『トライナイツ』：翔谷・ピアーズ・ヴァレンタイン
•  『Helck』：ゼルジオン
•  『ビックリメン』：牛若
•  『DD北斗の拳』：バット")</f>
        <v>•  『カードファイト!! ヴァンガード』シリーズ： 新田シン
•  『アルゴナビス from BanG Dream!』：桔梗凛生
•  『トライナイツ』：翔谷・ピアーズ・ヴァレンタイン
•  『Helck』：ゼルジオン
•  『ビックリメン』：牛若
•  『DD北斗の拳』：バット</v>
      </c>
    </row>
    <row r="293" spans="1:2">
      <c r="A293" s="1" t="str">
        <f ca="1">IFERROR(__xludf.DUMMYFUNCTION("""COMPUTED_VALUE"""),"朝霧友陽")</f>
        <v>朝霧友陽</v>
      </c>
      <c r="B293" s="1" t="str">
        <f ca="1">IFERROR(__xludf.DUMMYFUNCTION("""COMPUTED_VALUE"""),"•  『喧嘩番長 乙女 -Girl Beats Boys-』： 小山田孝雪
• 『モンスターストライク』： 大友宗麟
•  『イケメン幕末◆運命の恋』：近藤勇")</f>
        <v>•  『喧嘩番長 乙女 -Girl Beats Boys-』： 小山田孝雪
• 『モンスターストライク』： 大友宗麟
•  『イケメン幕末◆運命の恋』：近藤勇</v>
      </c>
    </row>
    <row r="294" spans="1:2">
      <c r="A294" s="1" t="str">
        <f ca="1">IFERROR(__xludf.DUMMYFUNCTION("""COMPUTED_VALUE"""),"峯暢也")</f>
        <v>峯暢也</v>
      </c>
      <c r="B294" s="1" t="str">
        <f ca="1">IFERROR(__xludf.DUMMYFUNCTION("""COMPUTED_VALUE"""),"•  『イナズマイレブン』：飛鷹征矢
•  『ヘタリア』シリーズ： オランダ
•  『夢色パティシエール』：ホセ・ドミンゴ
•  『THE UNLIMITED 兵部京介』：犬神初
•  『遊☆戯☆王デュエルモンスターズGX』：アモン・ガラム")</f>
        <v>•  『イナズマイレブン』：飛鷹征矢
•  『ヘタリア』シリーズ： オランダ
•  『夢色パティシエール』：ホセ・ドミンゴ
•  『THE UNLIMITED 兵部京介』：犬神初
•  『遊☆戯☆王デュエルモンスターズGX』：アモン・ガラム</v>
      </c>
    </row>
    <row r="295" spans="1:2">
      <c r="A295" s="1" t="str">
        <f ca="1">IFERROR(__xludf.DUMMYFUNCTION("""COMPUTED_VALUE"""),"横田紘一")</f>
        <v>横田紘一</v>
      </c>
      <c r="B295" s="1" t="str">
        <f ca="1">IFERROR(__xludf.DUMMYFUNCTION("""COMPUTED_VALUE"""),"•  『遊☆戯☆王5D’s』：風馬走一
•  『家庭教師ヒットマンREBORN!』：エンゾ
•  『ナゾトキネ』：川下駒造
•  『断罪のマリア』シリーズ： ヴェガ")</f>
        <v>•  『遊☆戯☆王5D’s』：風馬走一
•  『家庭教師ヒットマンREBORN!』：エンゾ
•  『ナゾトキネ』：川下駒造
•  『断罪のマリア』シリーズ： ヴェガ</v>
      </c>
    </row>
    <row r="296" spans="1:2">
      <c r="A296" s="1" t="str">
        <f ca="1">IFERROR(__xludf.DUMMYFUNCTION("""COMPUTED_VALUE"""),"黒沢季希")</f>
        <v>黒沢季希</v>
      </c>
      <c r="B296" s="1" t="str">
        <f ca="1">IFERROR(__xludf.DUMMYFUNCTION("""COMPUTED_VALUE"""),"•  『フューチャーカード バディファイト』シリーズ： 新井谷ライタ／ツヴァイダー
•  『ダンボール戦機WARS』：吹野タダシ
•  『ヘタリア The Beautiful World』：キプロス
•  『夢王国と眠れる100人の王子様』：カイネ")</f>
        <v>•  『フューチャーカード バディファイト』シリーズ： 新井谷ライタ／ツヴァイダー
•  『ダンボール戦機WARS』：吹野タダシ
•  『ヘタリア The Beautiful World』：キプロス
•  『夢王国と眠れる100人の王子様』：カイネ</v>
      </c>
    </row>
    <row r="297" spans="1:2">
      <c r="A297" s="1" t="str">
        <f ca="1">IFERROR(__xludf.DUMMYFUNCTION("""COMPUTED_VALUE"""),"平田広明")</f>
        <v>平田広明</v>
      </c>
      <c r="B297" s="1" t="str">
        <f ca="1">IFERROR(__xludf.DUMMYFUNCTION("""COMPUTED_VALUE"""),"•  『ONE PIECE』：サンジ
•  『最遊記』シリーズ： 沙悟浄
•  『TIGER &amp; BUNNY』：鏑木・T・虎徹／ワイルドタイガー
•  『宇宙兄弟』：南波六太
•  『BLACK LAGOON』：ベニー")</f>
        <v>•  『ONE PIECE』：サンジ
•  『最遊記』シリーズ： 沙悟浄
•  『TIGER &amp; BUNNY』：鏑木・T・虎徹／ワイルドタイガー
•  『宇宙兄弟』：南波六太
•  『BLACK LAGOON』：ベニー</v>
      </c>
    </row>
    <row r="298" spans="1:2">
      <c r="A298" s="1" t="str">
        <f ca="1">IFERROR(__xludf.DUMMYFUNCTION("""COMPUTED_VALUE"""),"矢野智也")</f>
        <v>矢野智也</v>
      </c>
      <c r="B298" s="1" t="str">
        <f ca="1">IFERROR(__xludf.DUMMYFUNCTION("""COMPUTED_VALUE"""),"•  『ロクでなし魔術講師と禁忌教典』：セタ＝ファスト
•  『セントールの悩み』：猫見豊
•  『アホガール』：牛窪
•  『トライブクルクル』：大道寺格之進
•  『劇場版 弱虫ペダル』：塩野")</f>
        <v>•  『ロクでなし魔術講師と禁忌教典』：セタ＝ファスト
•  『セントールの悩み』：猫見豊
•  『アホガール』：牛窪
•  『トライブクルクル』：大道寺格之進
•  『劇場版 弱虫ペダル』：塩野</v>
      </c>
    </row>
    <row r="299" spans="1:2">
      <c r="A299" s="1" t="str">
        <f ca="1">IFERROR(__xludf.DUMMYFUNCTION("""COMPUTED_VALUE"""),"宮崎遊")</f>
        <v>宮崎遊</v>
      </c>
      <c r="B299" s="1" t="str">
        <f ca="1">IFERROR(__xludf.DUMMYFUNCTION("""COMPUTED_VALUE"""),"•  『ゆびさきと恋々』：波岐逸臣
•  『ハイキュー!! TO THE TOP』：昼神幸郎
•  『ツルネ』シリーズ： 佐瀬大悟
•  『夢王国と眠れる100人の王子様』：キエル
•  『新テニスの王子様 U-17 WORLD CUP』：ミルキー・ミルマン
•  『平家物語』：平重衡
•  『機動戦士ガンダム 閃光のハサウェイ』：シベット・アンハーン")</f>
        <v>•  『ゆびさきと恋々』：波岐逸臣
•  『ハイキュー!! TO THE TOP』：昼神幸郎
•  『ツルネ』シリーズ： 佐瀬大悟
•  『夢王国と眠れる100人の王子様』：キエル
•  『新テニスの王子様 U-17 WORLD CUP』：ミルキー・ミルマン
•  『平家物語』：平重衡
•  『機動戦士ガンダム 閃光のハサウェイ』：シベット・アンハーン</v>
      </c>
    </row>
    <row r="300" spans="1:2">
      <c r="A300" s="1" t="str">
        <f ca="1">IFERROR(__xludf.DUMMYFUNCTION("""COMPUTED_VALUE"""),"武藤正史")</f>
        <v>武藤正史</v>
      </c>
      <c r="B300" s="1" t="str">
        <f ca="1">IFERROR(__xludf.DUMMYFUNCTION("""COMPUTED_VALUE"""),"•  『バトルスピリッツ 覇王』：大泉マナブ
•  『キングダム』：万極
•  『チェンソーマン』：円
•  『GIANT KILLING』：赤崎遼
•  『マーベル フューチャー・アベンジャーズ』：ロキ
•  『天国大魔境』：猿渡")</f>
        <v>•  『バトルスピリッツ 覇王』：大泉マナブ
•  『キングダム』：万極
•  『チェンソーマン』：円
•  『GIANT KILLING』：赤崎遼
•  『マーベル フューチャー・アベンジャーズ』：ロキ
•  『天国大魔境』：猿渡</v>
      </c>
    </row>
    <row r="301" spans="1:2">
      <c r="A301" s="1" t="str">
        <f ca="1">IFERROR(__xludf.DUMMYFUNCTION("""COMPUTED_VALUE"""),"大隈健太")</f>
        <v>大隈健太</v>
      </c>
      <c r="B301" s="1" t="str">
        <f ca="1">IFERROR(__xludf.DUMMYFUNCTION("""COMPUTED_VALUE"""),"•  『僕のヒーローアカデミア』：セメントス／マニュアル／庄田二連撃
•  『進撃の巨人』：フランツ・ケフカ／ソニー
•  『SK∞ エスケーエイト』：岡正吉
•  『黒子のバスケ』：望月和宏")</f>
        <v>•  『僕のヒーローアカデミア』：セメントス／マニュアル／庄田二連撃
•  『進撃の巨人』：フランツ・ケフカ／ソニー
•  『SK∞ エスケーエイト』：岡正吉
•  『黒子のバスケ』：望月和宏</v>
      </c>
    </row>
    <row r="302" spans="1:2">
      <c r="A302" s="1" t="str">
        <f ca="1">IFERROR(__xludf.DUMMYFUNCTION("""COMPUTED_VALUE"""),"織田優成")</f>
        <v>織田優成</v>
      </c>
      <c r="B302" s="1" t="str">
        <f ca="1">IFERROR(__xludf.DUMMYFUNCTION("""COMPUTED_VALUE"""),"•  『リトルバスターズ！』：宮沢謙吾
•  『ワールドトリガー』：奈良坂透
•  『テニスの王子様』：佐伯虎次郎
•  『HAUNTEDじゃんくしょん』：北城遥都
•  『HARELUYA II BØY』：一条誠
•  『魔装機神サイバスター』：安藤ケン")</f>
        <v>•  『リトルバスターズ！』：宮沢謙吾
•  『ワールドトリガー』：奈良坂透
•  『テニスの王子様』：佐伯虎次郎
•  『HAUNTEDじゃんくしょん』：北城遥都
•  『HARELUYA II BØY』：一条誠
•  『魔装機神サイバスター』：安藤ケン</v>
      </c>
    </row>
    <row r="303" spans="1:2">
      <c r="A303" s="1" t="str">
        <f ca="1">IFERROR(__xludf.DUMMYFUNCTION("""COMPUTED_VALUE"""),"小宮逸人")</f>
        <v>小宮逸人</v>
      </c>
      <c r="B303" s="1" t="str">
        <f ca="1">IFERROR(__xludf.DUMMYFUNCTION("""COMPUTED_VALUE"""),"•  『アオアシ』：亀山航
•  『デリシャスパーティ♡プリキュア』：赤井とうま
•  『暗殺者である俺のステータスが勇者よりも明らかに強いのだが』：津田友也")</f>
        <v>•  『アオアシ』：亀山航
•  『デリシャスパーティ♡プリキュア』：赤井とうま
•  『暗殺者である俺のステータスが勇者よりも明らかに強いのだが』：津田友也</v>
      </c>
    </row>
    <row r="304" spans="1:2">
      <c r="A304" s="1" t="str">
        <f ca="1">IFERROR(__xludf.DUMMYFUNCTION("""COMPUTED_VALUE"""),"布施川一寛")</f>
        <v>布施川一寛</v>
      </c>
      <c r="B304" s="1" t="str">
        <f ca="1">IFERROR(__xludf.DUMMYFUNCTION("""COMPUTED_VALUE"""),"•  『妖怪ウォッチ』シリーズ： トムニャン／担任の先生
•  『進撃の巨人』：ミリウス・ゼルムスキー
•  『BANANA FISH』：グリフィン・カーレンリース
•  『はじめの一歩 Rising』：赤松勇
•  『黒子のバスケ』：原一哉
•  『サクガン』：アフーロ")</f>
        <v>•  『妖怪ウォッチ』シリーズ： トムニャン／担任の先生
•  『進撃の巨人』：ミリウス・ゼルムスキー
•  『BANANA FISH』：グリフィン・カーレンリース
•  『はじめの一歩 Rising』：赤松勇
•  『黒子のバスケ』：原一哉
•  『サクガン』：アフーロ</v>
      </c>
    </row>
    <row r="305" spans="1:2">
      <c r="A305" s="1" t="str">
        <f ca="1">IFERROR(__xludf.DUMMYFUNCTION("""COMPUTED_VALUE"""),"小山力也")</f>
        <v>小山力也</v>
      </c>
      <c r="B305" s="1" t="str">
        <f ca="1">IFERROR(__xludf.DUMMYFUNCTION("""COMPUTED_VALUE"""),"•  『名探偵コナン』：毛利小五郎（2代目）
•  『はじめの一歩』：鷹村守
•  『Fate/Zero』：衛宮切嗣
•  『血界戦線』：クラウス・V・ラインヘルツ
•  『うしおととら』：とら
•  『うたわれるもの』：ハクオロ
•  『バキ』／『範馬刃牙』：烈海王
•  『文豪ストレイドッグス』：福沢諭吉")</f>
        <v>•  『名探偵コナン』：毛利小五郎（2代目）
•  『はじめの一歩』：鷹村守
•  『Fate/Zero』：衛宮切嗣
•  『血界戦線』：クラウス・V・ラインヘルツ
•  『うしおととら』：とら
•  『うたわれるもの』：ハクオロ
•  『バキ』／『範馬刃牙』：烈海王
•  『文豪ストレイドッグス』：福沢諭吉</v>
      </c>
    </row>
    <row r="306" spans="1:2">
      <c r="A306" s="1" t="str">
        <f ca="1">IFERROR(__xludf.DUMMYFUNCTION("""COMPUTED_VALUE"""),"小島英樹")</f>
        <v>小島英樹</v>
      </c>
      <c r="B306" s="1" t="str">
        <f ca="1">IFERROR(__xludf.DUMMYFUNCTION("""COMPUTED_VALUE"""),"•  『ガイストクラッシャー』：ルナティック・ザントマン
•  『マギ』：ボヤン
•  『台風のノルダ』：神崎先生
•  『セブンナイツ レボリューション』：理事長")</f>
        <v>•  『ガイストクラッシャー』：ルナティック・ザントマン
•  『マギ』：ボヤン
•  『台風のノルダ』：神崎先生
•  『セブンナイツ レボリューション』：理事長</v>
      </c>
    </row>
    <row r="307" spans="1:2">
      <c r="A307" s="1" t="str">
        <f ca="1">IFERROR(__xludf.DUMMYFUNCTION("""COMPUTED_VALUE"""),"本橋大輔")</f>
        <v>本橋大輔</v>
      </c>
      <c r="B307" s="1" t="str">
        <f ca="1">IFERROR(__xludf.DUMMYFUNCTION("""COMPUTED_VALUE"""),"•  『不機嫌なモノノケ庵』：伏見慎士
•  『ようこそ実力至上主義の教室へ』：戸塚弥彦
•  『ゆらぎ荘の幽奈さん』：兵頭聡
•  『BNA ビー・エヌ・エー』：日下部勝")</f>
        <v>•  『不機嫌なモノノケ庵』：伏見慎士
•  『ようこそ実力至上主義の教室へ』：戸塚弥彦
•  『ゆらぎ荘の幽奈さん』：兵頭聡
•  『BNA ビー・エヌ・エー』：日下部勝</v>
      </c>
    </row>
    <row r="308" spans="1:2">
      <c r="A308" s="1" t="str">
        <f ca="1">IFERROR(__xludf.DUMMYFUNCTION("""COMPUTED_VALUE"""),"川辺俊介")</f>
        <v>川辺俊介</v>
      </c>
      <c r="B308" s="1" t="str">
        <f ca="1">IFERROR(__xludf.DUMMYFUNCTION("""COMPUTED_VALUE"""),"•  『暗殺教室』：木村正義
•  『ようこそ実力至上主義の教室へ』：外村秀雄
•  『夢王国と眠れる100人の王子様』：ドーマウス
•  『ハマトラ』：ノビカワ
•  『アマガミSS+』：真壁")</f>
        <v>•  『暗殺教室』：木村正義
•  『ようこそ実力至上主義の教室へ』：外村秀雄
•  『夢王国と眠れる100人の王子様』：ドーマウス
•  『ハマトラ』：ノビカワ
•  『アマガミSS+』：真壁</v>
      </c>
    </row>
    <row r="309" spans="1:2">
      <c r="A309" s="1" t="str">
        <f ca="1">IFERROR(__xludf.DUMMYFUNCTION("""COMPUTED_VALUE"""),"西田雅一")</f>
        <v>西田雅一</v>
      </c>
      <c r="B309" s="1" t="str">
        <f ca="1">IFERROR(__xludf.DUMMYFUNCTION("""COMPUTED_VALUE"""),"•  『僕のヒーローアカデミア』：障子目蔵
•  『この素晴らしい世界に祝福を！』：バニル
•  『ログ・ホライズン』：アインス
•  『DRIFTERS』：カフェト
•  『D.Gray-man HALLOW』：ティキ・ミック
•  『ガンスリンガー ストラトス』：片桐鏡磨")</f>
        <v>•  『僕のヒーローアカデミア』：障子目蔵
•  『この素晴らしい世界に祝福を！』：バニル
•  『ログ・ホライズン』：アインス
•  『DRIFTERS』：カフェト
•  『D.Gray-man HALLOW』：ティキ・ミック
•  『ガンスリンガー ストラトス』：片桐鏡磨</v>
      </c>
    </row>
    <row r="310" spans="1:2">
      <c r="A310" s="1" t="str">
        <f ca="1">IFERROR(__xludf.DUMMYFUNCTION("""COMPUTED_VALUE"""),"松風雅也")</f>
        <v>松風雅也</v>
      </c>
      <c r="B310" s="1" t="str">
        <f ca="1">IFERROR(__xludf.DUMMYFUNCTION("""COMPUTED_VALUE"""),"•  『桜蘭高校ホスト部』：鳳鏡夜
•  『地獄少女』：一目連
•  『DEATH NOTE』：魅上照
•  『機動戦士ガンダム 鉄血のオルフェンズ』：ガエリオ・ボードウィン
•  『HUNTER×HUNTER』（第2作）：イルミ＝ゾルディック
•  『SSSS.GRIDMAN』：ヴィット")</f>
        <v>•  『桜蘭高校ホスト部』：鳳鏡夜
•  『地獄少女』：一目連
•  『DEATH NOTE』：魅上照
•  『機動戦士ガンダム 鉄血のオルフェンズ』：ガエリオ・ボードウィン
•  『HUNTER×HUNTER』（第2作）：イルミ＝ゾルディック
•  『SSSS.GRIDMAN』：ヴィット</v>
      </c>
    </row>
    <row r="311" spans="1:2">
      <c r="A311" s="1" t="str">
        <f ca="1">IFERROR(__xludf.DUMMYFUNCTION("""COMPUTED_VALUE"""),"山寺宏一")</f>
        <v>山寺宏一</v>
      </c>
      <c r="B311" s="1" t="str">
        <f ca="1">IFERROR(__xludf.DUMMYFUNCTION("""COMPUTED_VALUE"""),"•  『カウボーイビバップ』：スパイク・スピーゲル
•  『新世紀エヴァンゲリオン』：加持リョウジ
•  『らんま1/2』：響良牙
•  『銀魂』：吉田松陽／虚
•  『ドラゴンボール超』：ビルス
•  『ルパン三世』：銭形警部
•  『攻殻機動隊』：トグサ")</f>
        <v>•  『カウボーイビバップ』：スパイク・スピーゲル
•  『新世紀エヴァンゲリオン』：加持リョウジ
•  『らんま1/2』：響良牙
•  『銀魂』：吉田松陽／虚
•  『ドラゴンボール超』：ビルス
•  『ルパン三世』：銭形警部
•  『攻殻機動隊』：トグサ</v>
      </c>
    </row>
    <row r="312" spans="1:2">
      <c r="A312" s="1" t="str">
        <f ca="1">IFERROR(__xludf.DUMMYFUNCTION("""COMPUTED_VALUE"""),"井上剛")</f>
        <v>井上剛</v>
      </c>
      <c r="B312" s="1" t="str">
        <f ca="1">IFERROR(__xludf.DUMMYFUNCTION("""COMPUTED_VALUE"""),"•  『TIGER &amp; BUNNY』：キース・グッドマン／スカイハイ
•  『ヘタリア』：スペイン
•  『黒子のバスケ』：土田聡史
•  『神撃のバハムート GENESIS／VIRGIN SOUL』：カイザル・リドファルド
•  『D.Gray-man HALLOW』：コムイ・リー
•  『戦隊大失格』：ブルーキーパー")</f>
        <v>•  『TIGER &amp; BUNNY』：キース・グッドマン／スカイハイ
•  『ヘタリア』：スペイン
•  『黒子のバスケ』：土田聡史
•  『神撃のバハムート GENESIS／VIRGIN SOUL』：カイザル・リドファルド
•  『D.Gray-man HALLOW』：コムイ・リー
•  『戦隊大失格』：ブルーキーパー</v>
      </c>
    </row>
    <row r="313" spans="1:2">
      <c r="A313" s="1" t="str">
        <f ca="1">IFERROR(__xludf.DUMMYFUNCTION("""COMPUTED_VALUE"""),"遊佐浩二")</f>
        <v>遊佐浩二</v>
      </c>
      <c r="B313" s="1" t="str">
        <f ca="1">IFERROR(__xludf.DUMMYFUNCTION("""COMPUTED_VALUE"""),"•  『BLEACH』：市丸ギン
•  『銀魂』：東城歩
•  『弱虫ペダル』：御堂筋翔
•  『鬼灯の冷徹』：白澤
•  『薄桜鬼』：原田左之助
•  『絶対可憐チルドレン』：兵部京介
•  『仮面ライダー電王』：ウラタロス
•  『ソニックシリーズ』：シャドウ・ザ・ヘッジホッグ
•  『Fate』シリーズ： カルナ
•  『呪術廻戦』：禪院直哉")</f>
        <v>•  『BLEACH』：市丸ギン
•  『銀魂』：東城歩
•  『弱虫ペダル』：御堂筋翔
•  『鬼灯の冷徹』：白澤
•  『薄桜鬼』：原田左之助
•  『絶対可憐チルドレン』：兵部京介
•  『仮面ライダー電王』：ウラタロス
•  『ソニックシリーズ』：シャドウ・ザ・ヘッジホッグ
•  『Fate』シリーズ： カルナ
•  『呪術廻戦』：禪院直哉</v>
      </c>
    </row>
    <row r="314" spans="1:2">
      <c r="A314" s="1" t="str">
        <f ca="1">IFERROR(__xludf.DUMMYFUNCTION("""COMPUTED_VALUE"""),"藤原啓治")</f>
        <v>藤原啓治</v>
      </c>
      <c r="B314" s="1" t="str">
        <f ca="1">IFERROR(__xludf.DUMMYFUNCTION("""COMPUTED_VALUE"""),"•  『クレヨンしんちゃん』：野原ひろし（初代）
•  『鋼の錬金術師』：マース・ヒューズ
•  『HUNTER×HUNTER』：レオリオ
•  『交響詩篇エウレカセブン』：ホランド・ノヴァク
•  『機動戦士ガンダム00』：アリー・アル・サーシェス
•  『青の祓魔師』：藤本獅郎
•  『Dr.STONE』：石神百夜
•  『ファイナルファンタジーVII』：レノ")</f>
        <v>•  『クレヨンしんちゃん』：野原ひろし（初代）
•  『鋼の錬金術師』：マース・ヒューズ
•  『HUNTER×HUNTER』：レオリオ
•  『交響詩篇エウレカセブン』：ホランド・ノヴァク
•  『機動戦士ガンダム00』：アリー・アル・サーシェス
•  『青の祓魔師』：藤本獅郎
•  『Dr.STONE』：石神百夜
•  『ファイナルファンタジーVII』：レノ</v>
      </c>
    </row>
    <row r="315" spans="1:2">
      <c r="A315" s="1" t="str">
        <f ca="1">IFERROR(__xludf.DUMMYFUNCTION("""COMPUTED_VALUE"""),"松浦義之")</f>
        <v>松浦義之</v>
      </c>
      <c r="B315" s="1" t="str">
        <f ca="1">IFERROR(__xludf.DUMMYFUNCTION("""COMPUTED_VALUE"""),"•  『ハイキュー!! TO THE TOP』：赤木路成
•  『グレイプニル』：岩尾
•  『アオアシ』：小早川透士
•  『Transformers: War for Cybertron』：ミラージュ")</f>
        <v>•  『ハイキュー!! TO THE TOP』：赤木路成
•  『グレイプニル』：岩尾
•  『アオアシ』：小早川透士
•  『Transformers: War for Cybertron』：ミラージュ</v>
      </c>
    </row>
    <row r="316" spans="1:2">
      <c r="A316" s="1" t="str">
        <f ca="1">IFERROR(__xludf.DUMMYFUNCTION("""COMPUTED_VALUE"""),"相楽信頼")</f>
        <v>相楽信頼</v>
      </c>
      <c r="B316" s="1" t="str">
        <f ca="1">IFERROR(__xludf.DUMMYFUNCTION("""COMPUTED_VALUE"""),"•  『ハイキュー!!』シリーズ： 木下久志
•  『Free!』：魚住拓也
•  『パズドラ』：鳳ショウ／パク五郎
•  『SSSS.DYNAZENON』：ナレーションβ")</f>
        <v>•  『ハイキュー!!』シリーズ： 木下久志
•  『Free!』：魚住拓也
•  『パズドラ』：鳳ショウ／パク五郎
•  『SSSS.DYNAZENON』：ナレーションβ</v>
      </c>
    </row>
    <row r="317" spans="1:2">
      <c r="A317" s="1" t="str">
        <f ca="1">IFERROR(__xludf.DUMMYFUNCTION("""COMPUTED_VALUE"""),"山口正秀")</f>
        <v>山口正秀</v>
      </c>
      <c r="B317" s="1" t="str">
        <f ca="1">IFERROR(__xludf.DUMMYFUNCTION("""COMPUTED_VALUE"""),"•  『【推しの子】』：神崎
•  『劇場版ハイキュー!! ゴミ捨て場の決戦』：千鹿谷栄吉
•  『台風のノルダ』：ノッポ
•  『夢王国と眠れる100人の王子様』：ルーフェン")</f>
        <v>•  『【推しの子】』：神崎
•  『劇場版ハイキュー!! ゴミ捨て場の決戦』：千鹿谷栄吉
•  『台風のノルダ』：ノッポ
•  『夢王国と眠れる100人の王子様』：ルーフェン</v>
      </c>
    </row>
    <row r="318" spans="1:2">
      <c r="A318" s="1" t="str">
        <f ca="1">IFERROR(__xludf.DUMMYFUNCTION("""COMPUTED_VALUE"""),"坪井智浩")</f>
        <v>坪井智浩</v>
      </c>
      <c r="B318" s="1" t="str">
        <f ca="1">IFERROR(__xludf.DUMMYFUNCTION("""COMPUTED_VALUE"""),"•  『薄桜鬼』シリーズ： 永倉新八
•  『戦国BASARA』：前田利家
•  『シドニアの騎士』：勢威一郎
•  『ゼーガペイン』：シマ
•  『ACTORS -Songs Connection-』：五月女燎
•  『聖闘士星矢 THE LOST CANVAS 冥王神話』：ヒュプノス
•  『NARUTO』：神月イズモ")</f>
        <v>•  『薄桜鬼』シリーズ： 永倉新八
•  『戦国BASARA』：前田利家
•  『シドニアの騎士』：勢威一郎
•  『ゼーガペイン』：シマ
•  『ACTORS -Songs Connection-』：五月女燎
•  『聖闘士星矢 THE LOST CANVAS 冥王神話』：ヒュプノス
•  『NARUTO』：神月イズモ</v>
      </c>
    </row>
    <row r="319" spans="1:2">
      <c r="A319" s="1" t="str">
        <f ca="1">IFERROR(__xludf.DUMMYFUNCTION("""COMPUTED_VALUE"""),"飛田展男")</f>
        <v>飛田展男</v>
      </c>
      <c r="B319" s="1" t="str">
        <f ca="1">IFERROR(__xludf.DUMMYFUNCTION("""COMPUTED_VALUE"""),"•  『機動戦士Ζガンダム』：カミーユ・ビダン
•  『ちびまる子ちゃん』：丸尾末男
•  『キャプテン翼』（昭和版）：若島津健
•  『名探偵コナン』：風見裕也
•  『おそ松さん』：ダヨーン
•  『薄桜鬼』：山南敬助
•  『海がきこえる』：杜崎拓
•  『スレイヤーズ』：ラドック＝ランザード／ズーマ")</f>
        <v>•  『機動戦士Ζガンダム』：カミーユ・ビダン
•  『ちびまる子ちゃん』：丸尾末男
•  『キャプテン翼』（昭和版）：若島津健
•  『名探偵コナン』：風見裕也
•  『おそ松さん』：ダヨーン
•  『薄桜鬼』：山南敬助
•  『海がきこえる』：杜崎拓
•  『スレイヤーズ』：ラドック＝ランザード／ズーマ</v>
      </c>
    </row>
    <row r="320" spans="1:2">
      <c r="A320" s="1" t="str">
        <f ca="1">IFERROR(__xludf.DUMMYFUNCTION("""COMPUTED_VALUE"""),"鈴木貴征")</f>
        <v>鈴木貴征</v>
      </c>
      <c r="B320" s="1" t="str">
        <f ca="1">IFERROR(__xludf.DUMMYFUNCTION("""COMPUTED_VALUE"""),"•  『薄桜鬼』シリーズ： 山崎烝
•  『PEACE MAKER鐵』：松田重助")</f>
        <v>•  『薄桜鬼』シリーズ： 山崎烝
•  『PEACE MAKER鐵』：松田重助</v>
      </c>
    </row>
    <row r="321" spans="1:2">
      <c r="A321" s="1" t="str">
        <f ca="1">IFERROR(__xludf.DUMMYFUNCTION("""COMPUTED_VALUE"""),"村上喜紀")</f>
        <v>村上喜紀</v>
      </c>
      <c r="B321" s="1" t="str">
        <f ca="1">IFERROR(__xludf.DUMMYFUNCTION("""COMPUTED_VALUE"""),"•  『美男高校地球防衛部LOVE! LOVE!』：別府日彦
•  『弱虫ペダル』シリーズ： 船津和歩
•  『シュート! Goal to the Future』：羽生健二／羽生雄二
•  『即死チートが最強すぎて、異世界のやつらがまるで相手にならないんですが。』：橘裕樹
•  『ダイヤのA』：山口健")</f>
        <v>•  『美男高校地球防衛部LOVE! LOVE!』：別府日彦
•  『弱虫ペダル』シリーズ： 船津和歩
•  『シュート! Goal to the Future』：羽生健二／羽生雄二
•  『即死チートが最強すぎて、異世界のやつらがまるで相手にならないんですが。』：橘裕樹
•  『ダイヤのA』：山口健</v>
      </c>
    </row>
    <row r="322" spans="1:2">
      <c r="A322" s="1" t="str">
        <f ca="1">IFERROR(__xludf.DUMMYFUNCTION("""COMPUTED_VALUE"""),"真殿光昭")</f>
        <v>真殿光昭</v>
      </c>
      <c r="B322" s="1" t="str">
        <f ca="1">IFERROR(__xludf.DUMMYFUNCTION("""COMPUTED_VALUE"""),"•  『勇者王ガオガイガー』：ビッチャー／ウォーリアーJ
•  『BLEACH』：コン
•  『銀魂』：伊東鴨太郎
•  『コードギアス 反逆のルルーシュ』：扇要
•  『Fate/stay night』：柳洞一成
•  『ペルソナ4 the ANIMATION』：足立透
•  『おくさまは女子高生』：市丸恭介")</f>
        <v>•  『勇者王ガオガイガー』：ビッチャー／ウォーリアーJ
•  『BLEACH』：コン
•  『銀魂』：伊東鴨太郎
•  『コードギアス 反逆のルルーシュ』：扇要
•  『Fate/stay night』：柳洞一成
•  『ペルソナ4 the ANIMATION』：足立透
•  『おくさまは女子高生』：市丸恭介</v>
      </c>
    </row>
    <row r="323" spans="1:2">
      <c r="A323" s="1" t="str">
        <f ca="1">IFERROR(__xludf.DUMMYFUNCTION("""COMPUTED_VALUE"""),"佐藤悠雅")</f>
        <v>佐藤悠雅</v>
      </c>
      <c r="B323" s="1" t="str">
        <f ca="1">IFERROR(__xludf.DUMMYFUNCTION("""COMPUTED_VALUE"""),"•  『古見さんは、コミュ症です。』：園田大勢
•  『劇場版ポケットモンスター ココ』：アップリュー
•  『アオのハコ』：舘山")</f>
        <v>•  『古見さんは、コミュ症です。』：園田大勢
•  『劇場版ポケットモンスター ココ』：アップリュー
•  『アオのハコ』：舘山</v>
      </c>
    </row>
    <row r="324" spans="1:2">
      <c r="A324" s="1" t="str">
        <f ca="1">IFERROR(__xludf.DUMMYFUNCTION("""COMPUTED_VALUE"""),"内田夕夜")</f>
        <v>内田夕夜</v>
      </c>
      <c r="B324" s="1" t="str">
        <f ca="1">IFERROR(__xludf.DUMMYFUNCTION("""COMPUTED_VALUE"""),"•  『ソウルイーター』：フランケン・シュタイン博士
•  『アイシールド21』：キッド（武者小路紫苑）
•  『二十面相の娘』：二十面相
•  『チェンソーマン』：暴力の魔人
•  『七つの大罪』：ヘンドリクセン
•  『うたわれるもの』シリーズ： ミカヅチ
•  『86―エイティシックス―』：エルンスト・ツィマーマン")</f>
        <v>•  『ソウルイーター』：フランケン・シュタイン博士
•  『アイシールド21』：キッド（武者小路紫苑）
•  『二十面相の娘』：二十面相
•  『チェンソーマン』：暴力の魔人
•  『七つの大罪』：ヘンドリクセン
•  『うたわれるもの』シリーズ： ミカヅチ
•  『86―エイティシックス―』：エルンスト・ツィマーマン</v>
      </c>
    </row>
    <row r="325" spans="1:2">
      <c r="A325" s="1" t="str">
        <f ca="1">IFERROR(__xludf.DUMMYFUNCTION("""COMPUTED_VALUE"""),"石川英郎")</f>
        <v>石川英郎</v>
      </c>
      <c r="B325" s="1" t="str">
        <f ca="1">IFERROR(__xludf.DUMMYFUNCTION("""COMPUTED_VALUE"""),"•  『NARUTO -ナルト-』：うちはイタチ
•  『BLEACH』：浮竹十四郎
•  『戦姫絶唱シンフォギア』シリーズ： 風鳴弦十郎
•  『ゲッターロボ』シリーズ： 流竜馬
•  『金色のコルダ』シリーズ： 金澤紘人
•  『ONE PIECE』：フルボディ")</f>
        <v>•  『NARUTO -ナルト-』：うちはイタチ
•  『BLEACH』：浮竹十四郎
•  『戦姫絶唱シンフォギア』シリーズ： 風鳴弦十郎
•  『ゲッターロボ』シリーズ： 流竜馬
•  『金色のコルダ』シリーズ： 金澤紘人
•  『ONE PIECE』：フルボディ</v>
      </c>
    </row>
    <row r="326" spans="1:2">
      <c r="A326" s="1" t="str">
        <f ca="1">IFERROR(__xludf.DUMMYFUNCTION("""COMPUTED_VALUE"""),"保村真")</f>
        <v>保村真</v>
      </c>
      <c r="B326" s="1" t="str">
        <f ca="1">IFERROR(__xludf.DUMMYFUNCTION("""COMPUTED_VALUE"""),"•  『半妖の夜叉姫』：弥勒
•  『アイカツ！』：ジョニー別府
•  『ジョジョの奇妙な冒険 スターダストクルセイダース』：オインゴ
•  『MAJOR』：眉村健
•  『スカルマン』：御子神隼人
•  『おおきく振りかぶって』：巣山尚治
•  『ゾイドワイルド ZERO』：バズ・カニンガム")</f>
        <v>•  『半妖の夜叉姫』：弥勒
•  『アイカツ！』：ジョニー別府
•  『ジョジョの奇妙な冒険 スターダストクルセイダース』：オインゴ
•  『MAJOR』：眉村健
•  『スカルマン』：御子神隼人
•  『おおきく振りかぶって』：巣山尚治
•  『ゾイドワイルド ZERO』：バズ・カニンガム</v>
      </c>
    </row>
    <row r="327" spans="1:2">
      <c r="A327" s="1" t="str">
        <f ca="1">IFERROR(__xludf.DUMMYFUNCTION("""COMPUTED_VALUE"""),"伊藤昌弘")</f>
        <v>伊藤昌弘</v>
      </c>
      <c r="B327" s="1" t="str">
        <f ca="1">IFERROR(__xludf.DUMMYFUNCTION("""COMPUTED_VALUE"""),"•  『アルゴナビス from BanG Dream!』：七星蓮
•  『カードファイト!! ヴァンガード overDress／will+Dress』：石亀ザクサ
•  『ぼくたちのリメイク』：橋場恭也
•  『好きな子がめがねを忘れた』：小村楓
•  『農民関連のスキルばっか上げてたら何故か強くなった。』：リークス")</f>
        <v>•  『アルゴナビス from BanG Dream!』：七星蓮
•  『カードファイト!! ヴァンガード overDress／will+Dress』：石亀ザクサ
•  『ぼくたちのリメイク』：橋場恭也
•  『好きな子がめがねを忘れた』：小村楓
•  『農民関連のスキルばっか上げてたら何故か強くなった。』：リークス</v>
      </c>
    </row>
    <row r="328" spans="1:2">
      <c r="A328" s="1" t="str">
        <f ca="1">IFERROR(__xludf.DUMMYFUNCTION("""COMPUTED_VALUE"""),"古田一晟")</f>
        <v>古田一晟</v>
      </c>
      <c r="B328" s="1" t="str">
        <f ca="1">IFERROR(__xludf.DUMMYFUNCTION("""COMPUTED_VALUE"""),"•  『STATION IDOL LATCH!』：一条肇（品川駅）
•  『Readyyy!』：柳川彗
•  『ダンダダン』：ヨシキチ")</f>
        <v>•  『STATION IDOL LATCH!』：一条肇（品川駅）
•  『Readyyy!』：柳川彗
•  『ダンダダン』：ヨシキチ</v>
      </c>
    </row>
    <row r="329" spans="1:2">
      <c r="A329" s="1" t="str">
        <f ca="1">IFERROR(__xludf.DUMMYFUNCTION("""COMPUTED_VALUE"""),"小山剛志")</f>
        <v>小山剛志</v>
      </c>
      <c r="B329" s="1" t="str">
        <f ca="1">IFERROR(__xludf.DUMMYFUNCTION("""COMPUTED_VALUE"""),"•  『うたわれるもの』シリーズ： クロウ
•  『ONE PIECE』：ハイルディン／バスティーユ／ホールデム
•  『本好きの下剋上』：ギュンター
•  『アイシールド21』：峨王力哉
•  『BLEACH 千年血戦篇』：ジェラルド・ヴァルキリー
•  『ジョジョの奇妙な冒険 ストーンオーシャン』：スポーツマックス")</f>
        <v>•  『うたわれるもの』シリーズ： クロウ
•  『ONE PIECE』：ハイルディン／バスティーユ／ホールデム
•  『本好きの下剋上』：ギュンター
•  『アイシールド21』：峨王力哉
•  『BLEACH 千年血戦篇』：ジェラルド・ヴァルキリー
•  『ジョジョの奇妙な冒険 ストーンオーシャン』：スポーツマックス</v>
      </c>
    </row>
    <row r="330" spans="1:2">
      <c r="A330" s="1" t="str">
        <f ca="1">IFERROR(__xludf.DUMMYFUNCTION("""COMPUTED_VALUE"""),"堀川りょう")</f>
        <v>堀川りょう</v>
      </c>
      <c r="B330" s="1" t="str">
        <f ca="1">IFERROR(__xludf.DUMMYFUNCTION("""COMPUTED_VALUE"""),"•  『ドラゴンボール』シリーズ： ベジータ
•  『名探偵コナン』：服部平次
•  『聖闘士星矢』：アンドロメダ瞬
•  『銀河英雄伝説』：ラインハルト・フォン・ローエングラム
•  『機動戦士ガンダム0083 STARDUST MEMORY』：コウ・ウラキ
•  『夢戦士ウイングマン』：広野健太／ウイングマン
•  『幽☆遊☆白書』：鴉")</f>
        <v>•  『ドラゴンボール』シリーズ： ベジータ
•  『名探偵コナン』：服部平次
•  『聖闘士星矢』：アンドロメダ瞬
•  『銀河英雄伝説』：ラインハルト・フォン・ローエングラム
•  『機動戦士ガンダム0083 STARDUST MEMORY』：コウ・ウラキ
•  『夢戦士ウイングマン』：広野健太／ウイングマン
•  『幽☆遊☆白書』：鴉</v>
      </c>
    </row>
    <row r="331" spans="1:2">
      <c r="A331" s="1" t="str">
        <f ca="1">IFERROR(__xludf.DUMMYFUNCTION("""COMPUTED_VALUE"""),"高戸靖広")</f>
        <v>高戸靖広</v>
      </c>
      <c r="B331" s="1" t="str">
        <f ca="1">IFERROR(__xludf.DUMMYFUNCTION("""COMPUTED_VALUE"""),"•  『ヘタリア』シリーズ： ロシア
•  『美少女戦士セーラームーン』シリーズ： アルテミス
•  『鋼の錬金術師 FULLMETAL ALCHEMIST』：グラトニー
•  『ゾンビランドサガ』：ロメロ
•  『僕のヒーローアカデミア』：根津校長
•  『忍たま乱太郎』：川西左近（初代）")</f>
        <v>•  『ヘタリア』シリーズ： ロシア
•  『美少女戦士セーラームーン』シリーズ： アルテミス
•  『鋼の錬金術師 FULLMETAL ALCHEMIST』：グラトニー
•  『ゾンビランドサガ』：ロメロ
•  『僕のヒーローアカデミア』：根津校長
•  『忍たま乱太郎』：川西左近（初代）</v>
      </c>
    </row>
    <row r="332" spans="1:2">
      <c r="A332" s="1" t="str">
        <f ca="1">IFERROR(__xludf.DUMMYFUNCTION("""COMPUTED_VALUE"""),"髙坂篤志")</f>
        <v>髙坂篤志</v>
      </c>
      <c r="B332" s="1" t="str">
        <f ca="1">IFERROR(__xludf.DUMMYFUNCTION("""COMPUTED_VALUE"""),"•  『ヘタリア』シリーズ： プロイセン／エストニア／ギリシャ
•  『新テニスの王子様』：三津谷あくと
•  『プレイタの傷』：嵐柴エイジ
•  『魔女と野獣』：シュルク
•  『メガネブ！』：相馬輝")</f>
        <v>•  『ヘタリア』シリーズ： プロイセン／エストニア／ギリシャ
•  『新テニスの王子様』：三津谷あくと
•  『プレイタの傷』：嵐柴エイジ
•  『魔女と野獣』：シュルク
•  『メガネブ！』：相馬輝</v>
      </c>
    </row>
    <row r="333" spans="1:2">
      <c r="A333" s="1" t="str">
        <f ca="1">IFERROR(__xludf.DUMMYFUNCTION("""COMPUTED_VALUE"""),"笹沼晃")</f>
        <v>笹沼晃</v>
      </c>
      <c r="B333" s="1" t="str">
        <f ca="1">IFERROR(__xludf.DUMMYFUNCTION("""COMPUTED_VALUE"""),"•  『機動戦士ガンダムSEED』シリーズ： ディアッカ・エルスマン
•  『ヘタリア』シリーズ： オーストリア
•  『激闘!クラッシュギアTURBO』：万願寺タケシ
•  『異世界のんびり農家』：グラッツ")</f>
        <v>•  『機動戦士ガンダムSEED』シリーズ： ディアッカ・エルスマン
•  『ヘタリア』シリーズ： オーストリア
•  『激闘!クラッシュギアTURBO』：万願寺タケシ
•  『異世界のんびり農家』：グラッツ</v>
      </c>
    </row>
    <row r="334" spans="1:2">
      <c r="A334" s="1" t="str">
        <f ca="1">IFERROR(__xludf.DUMMYFUNCTION("""COMPUTED_VALUE"""),"酒井敬幸")</f>
        <v>酒井敬幸</v>
      </c>
      <c r="B334" s="1" t="str">
        <f ca="1">IFERROR(__xludf.DUMMYFUNCTION("""COMPUTED_VALUE"""),"•  『ヘタリア』シリーズ： スウェーデン
•  『銀魂』：アゴ美
•  『エウレカセブンAO』：ピッポ")</f>
        <v>•  『ヘタリア』シリーズ： スウェーデン
•  『銀魂』：アゴ美
•  『エウレカセブンAO』：ピッポ</v>
      </c>
    </row>
    <row r="335" spans="1:2">
      <c r="A335" s="1" t="str">
        <f ca="1">IFERROR(__xludf.DUMMYFUNCTION("""COMPUTED_VALUE"""),"浅井慶一郎")</f>
        <v>浅井慶一郎</v>
      </c>
      <c r="B335" s="1" t="str">
        <f ca="1">IFERROR(__xludf.DUMMYFUNCTION("""COMPUTED_VALUE"""),"•  『ヘタリア』シリーズ： オーストラリア
•  『魔術士オーフェンはぐれ旅 キムラック編』：フレッディン")</f>
        <v>•  『ヘタリア』シリーズ： オーストラリア
•  『魔術士オーフェンはぐれ旅 キムラック編』：フレッディン</v>
      </c>
    </row>
    <row r="336" spans="1:2">
      <c r="A336" s="1" t="str">
        <f ca="1">IFERROR(__xludf.DUMMYFUNCTION("""COMPUTED_VALUE"""),"宮本充")</f>
        <v>宮本充</v>
      </c>
      <c r="B336" s="1" t="str">
        <f ca="1">IFERROR(__xludf.DUMMYFUNCTION("""COMPUTED_VALUE"""),"•  『THE ビッグオー』：ロジャー・スミス
•  『こちら葛飾区亀有公園前派出所』：中川圭一
•  『文豪ストレイドッグス』：森鴎外
•  『宇宙戦艦ヤマト2199』：古代守")</f>
        <v>•  『THE ビッグオー』：ロジャー・スミス
•  『こちら葛飾区亀有公園前派出所』：中川圭一
•  『文豪ストレイドッグス』：森鴎外
•  『宇宙戦艦ヤマト2199』：古代守</v>
      </c>
    </row>
    <row r="337" spans="1:2">
      <c r="A337" s="1" t="str">
        <f ca="1">IFERROR(__xludf.DUMMYFUNCTION("""COMPUTED_VALUE"""),"草尾毅")</f>
        <v>草尾毅</v>
      </c>
      <c r="B337" s="1" t="str">
        <f ca="1">IFERROR(__xludf.DUMMYFUNCTION("""COMPUTED_VALUE"""),"•  『SLAM DUNK』：桜木花道
•  『ドラゴンボール』シリーズ： トランクス
•  『鎧伝サムライトルーパー』：真田遼／烈火のリョウ
•  『戦国無双』シリーズ： 真田幸村
•  『ケロロ軍曹』：ドロロ兵長
•  『Yes!プリキュア5』：ココ／小々田コージ
•  『最遊記』シリーズ： 紅孩児")</f>
        <v>•  『SLAM DUNK』：桜木花道
•  『ドラゴンボール』シリーズ： トランクス
•  『鎧伝サムライトルーパー』：真田遼／烈火のリョウ
•  『戦国無双』シリーズ： 真田幸村
•  『ケロロ軍曹』：ドロロ兵長
•  『Yes!プリキュア5』：ココ／小々田コージ
•  『最遊記』シリーズ： 紅孩児</v>
      </c>
    </row>
    <row r="338" spans="1:2">
      <c r="A338" s="1" t="str">
        <f ca="1">IFERROR(__xludf.DUMMYFUNCTION("""COMPUTED_VALUE"""),"大塚明夫")</f>
        <v>大塚明夫</v>
      </c>
      <c r="B338" s="1" t="str">
        <f ca="1">IFERROR(__xludf.DUMMYFUNCTION("""COMPUTED_VALUE"""),"•  『攻殻機動隊』：バトー
•  『メタルギアソリッド』シリーズ： ソリッド・スネーク／ビッグ・ボス
•  『ONE PIECE』：マーシャル・D・ティーチ（黒ひげ）
•  『ブラック・ジャック』：ブラック・ジャック
•  『Fate/Zero』：ライダー（イスカンダル）
•  『僕のヒーローアカデミア』：オール・フォー・ワン
•  『バキ』：範馬勇次郎
•  『ルパン三世』：次元大介（2代目）
•  『機動戦士ガンダム0083』：アナベル・ガトー")</f>
        <v>•  『攻殻機動隊』：バトー
•  『メタルギアソリッド』シリーズ： ソリッド・スネーク／ビッグ・ボス
•  『ONE PIECE』：マーシャル・D・ティーチ（黒ひげ）
•  『ブラック・ジャック』：ブラック・ジャック
•  『Fate/Zero』：ライダー（イスカンダル）
•  『僕のヒーローアカデミア』：オール・フォー・ワン
•  『バキ』：範馬勇次郎
•  『ルパン三世』：次元大介（2代目）
•  『機動戦士ガンダム0083』：アナベル・ガトー</v>
      </c>
    </row>
    <row r="339" spans="1:2">
      <c r="A339" s="1" t="str">
        <f ca="1">IFERROR(__xludf.DUMMYFUNCTION("""COMPUTED_VALUE"""),"安田陸矢")</f>
        <v>安田陸矢</v>
      </c>
      <c r="B339" s="1" t="str">
        <f ca="1">IFERROR(__xludf.DUMMYFUNCTION("""COMPUTED_VALUE"""),"•  『厨病激発ボーイ』：厨二葉
•  『ベルゼブブ嬢のお気に召すまま。』：ミュリン
•  『ベイブレードバースト 超ゼツ』：墨江フブキ
•  『美男高校地球防衛部 HAPPY KISS!』：万座太子
•  『さわらないで小手指くん』：小手指向陽
•  『真夜中ハートチューン』：山吹有栖")</f>
        <v>•  『厨病激発ボーイ』：厨二葉
•  『ベルゼブブ嬢のお気に召すまま。』：ミュリン
•  『ベイブレードバースト 超ゼツ』：墨江フブキ
•  『美男高校地球防衛部 HAPPY KISS!』：万座太子
•  『さわらないで小手指くん』：小手指向陽
•  『真夜中ハートチューン』：山吹有栖</v>
      </c>
    </row>
    <row r="340" spans="1:2">
      <c r="A340" s="1" t="str">
        <f ca="1">IFERROR(__xludf.DUMMYFUNCTION("""COMPUTED_VALUE"""),"吉村和紘")</f>
        <v>吉村和紘</v>
      </c>
      <c r="B340" s="1" t="str">
        <f ca="1">IFERROR(__xludf.DUMMYFUNCTION("""COMPUTED_VALUE"""),"•  『Collar×Malice』：峰岸誠司
•  『泡沫のユークロニア』：潮路
•  『真紅の焔 真田忍法帳』：豊臣秀頼")</f>
        <v>•  『Collar×Malice』：峰岸誠司
•  『泡沫のユークロニア』：潮路
•  『真紅の焔 真田忍法帳』：豊臣秀頼</v>
      </c>
    </row>
    <row r="341" spans="1:2">
      <c r="A341" s="1" t="str">
        <f ca="1">IFERROR(__xludf.DUMMYFUNCTION("""COMPUTED_VALUE"""),"岩崎征実")</f>
        <v>岩崎征実</v>
      </c>
      <c r="B341" s="1" t="str">
        <f ca="1">IFERROR(__xludf.DUMMYFUNCTION("""COMPUTED_VALUE"""),"•  『テニスの王子様』シリーズ： 日吉若
•  『逆転裁判 ～その「真実」、異議あり！』：糸鋸圭介
•  『アイシールド21』：黒木浩二／ケルベロス
•  『家庭教師ヒットマンREBORN!』：沢田家光
•  『こちら葛飾区亀有公園前派出所』：左近寺竜之介")</f>
        <v>•  『テニスの王子様』シリーズ： 日吉若
•  『逆転裁判 ～その「真実」、異議あり！』：糸鋸圭介
•  『アイシールド21』：黒木浩二／ケルベロス
•  『家庭教師ヒットマンREBORN!』：沢田家光
•  『こちら葛飾区亀有公園前派出所』：左近寺竜之介</v>
      </c>
    </row>
    <row r="342" spans="1:2">
      <c r="A342" s="1" t="str">
        <f ca="1">IFERROR(__xludf.DUMMYFUNCTION("""COMPUTED_VALUE"""),"津田拓也")</f>
        <v>津田拓也</v>
      </c>
      <c r="B342" s="1" t="str">
        <f ca="1">IFERROR(__xludf.DUMMYFUNCTION("""COMPUTED_VALUE"""),"•  『フットサルボーイズ!!!!!』：秋月奏夜
•  『メギド72』：ガープ／バラム")</f>
        <v>•  『フットサルボーイズ!!!!!』：秋月奏夜
•  『メギド72』：ガープ／バラム</v>
      </c>
    </row>
    <row r="343" spans="1:2">
      <c r="A343" s="1" t="str">
        <f ca="1">IFERROR(__xludf.DUMMYFUNCTION("""COMPUTED_VALUE"""),"北田理道")</f>
        <v>北田理道</v>
      </c>
      <c r="B343" s="1" t="str">
        <f ca="1">IFERROR(__xludf.DUMMYFUNCTION("""COMPUTED_VALUE"""),"•  『ヴィジランテ -僕のヒーローアカデミア ILLEGALS-』：飯田天晴／インゲニウム
•  『新テニスの王子様 U-17 WORLD CUP』：ジャン・フィッツジェラルド
•  『僕のヒーローアカデミア』：シンリンカムイ
•  『遊☆戯☆王ARC-V』：ジャン・ミシェル・ロジェ")</f>
        <v>•  『ヴィジランテ -僕のヒーローアカデミア ILLEGALS-』：飯田天晴／インゲニウム
•  『新テニスの王子様 U-17 WORLD CUP』：ジャン・フィッツジェラルド
•  『僕のヒーローアカデミア』：シンリンカムイ
•  『遊☆戯☆王ARC-V』：ジャン・ミシェル・ロジェ</v>
      </c>
    </row>
    <row r="344" spans="1:2">
      <c r="A344" s="1" t="str">
        <f ca="1">IFERROR(__xludf.DUMMYFUNCTION("""COMPUTED_VALUE"""),"最上嗣生")</f>
        <v>最上嗣生</v>
      </c>
      <c r="B344" s="1" t="str">
        <f ca="1">IFERROR(__xludf.DUMMYFUNCTION("""COMPUTED_VALUE"""),"•  『D.Gray-man HALLOW』：クロス・マリアン
•  『僕のヒーローアカデミア』：Mr.コンプレス
•  『ハートの国のアリス』：エリオット＝マーチ
•  『うたわれるもの 二人の白皇』：ソヤンケクル
•  『ガイストクラッシャー』：ジーク・バナ")</f>
        <v>•  『D.Gray-man HALLOW』：クロス・マリアン
•  『僕のヒーローアカデミア』：Mr.コンプレス
•  『ハートの国のアリス』：エリオット＝マーチ
•  『うたわれるもの 二人の白皇』：ソヤンケクル
•  『ガイストクラッシャー』：ジーク・バナ</v>
      </c>
    </row>
    <row r="345" spans="1:2">
      <c r="A345" s="1" t="str">
        <f ca="1">IFERROR(__xludf.DUMMYFUNCTION("""COMPUTED_VALUE"""),"室元気")</f>
        <v>室元気</v>
      </c>
      <c r="B345" s="1" t="str">
        <f ca="1">IFERROR(__xludf.DUMMYFUNCTION("""COMPUTED_VALUE"""),"•  『ブラッククローバー』：マグナ・スウィング
•  『BEASTARS』：ドーム／スナガ
•  『星刻の竜騎士』：マクシミリアン・ラッセル
•  『コードギアス 亡国のアキト』：アラン・ネッケル
•  『機動戦士ガンダム 鉄血のオルフェンズ』：デルマ・アルトランド")</f>
        <v>•  『ブラッククローバー』：マグナ・スウィング
•  『BEASTARS』：ドーム／スナガ
•  『星刻の竜騎士』：マクシミリアン・ラッセル
•  『コードギアス 亡国のアキト』：アラン・ネッケル
•  『機動戦士ガンダム 鉄血のオルフェンズ』：デルマ・アルトランド</v>
      </c>
    </row>
    <row r="346" spans="1:2">
      <c r="A346" s="1" t="str">
        <f ca="1">IFERROR(__xludf.DUMMYFUNCTION("""COMPUTED_VALUE"""),"秋山諒")</f>
        <v>秋山諒</v>
      </c>
      <c r="B346" s="1" t="str">
        <f ca="1">IFERROR(__xludf.DUMMYFUNCTION("""COMPUTED_VALUE"""),"•  『メダリスト』：千羽輪太郎
•  『邪神ちゃんドロップキック』：三郎
•  『BOYS be MAID！』：妃崎余花")</f>
        <v>•  『メダリスト』：千羽輪太郎
•  『邪神ちゃんドロップキック』：三郎
•  『BOYS be MAID！』：妃崎余花</v>
      </c>
    </row>
    <row r="347" spans="1:2">
      <c r="A347" s="1" t="str">
        <f ca="1">IFERROR(__xludf.DUMMYFUNCTION("""COMPUTED_VALUE"""),"山本彬")</f>
        <v>山本彬</v>
      </c>
      <c r="B347" s="1" t="str">
        <f ca="1">IFERROR(__xludf.DUMMYFUNCTION("""COMPUTED_VALUE"""),"•  『ダンジョンの中のひと』：ガイアム
•  『転生貴族、鑑定スキルで成り上がる』：バーニィ
•  『ホリミヤ -piece-』：男子生徒A")</f>
        <v>•  『ダンジョンの中のひと』：ガイアム
•  『転生貴族、鑑定スキルで成り上がる』：バーニィ
•  『ホリミヤ -piece-』：男子生徒A</v>
      </c>
    </row>
    <row r="348" spans="1:2">
      <c r="A348" s="1" t="str">
        <f ca="1">IFERROR(__xludf.DUMMYFUNCTION("""COMPUTED_VALUE"""),"前田誠二")</f>
        <v>前田誠二</v>
      </c>
      <c r="B348" s="1" t="str">
        <f ca="1">IFERROR(__xludf.DUMMYFUNCTION("""COMPUTED_VALUE"""),"•  『from ARGONAVIS』／『アルゴナビス from BanG Dream!』：的場航海
•  『【推しの子】』：鳴嶋メルト
•  『色づく世界の明日から』：山吹将
•  『トライナイツ』：宝立友未
•  『高良くんと天城くん』：高良瞬")</f>
        <v>•  『from ARGONAVIS』／『アルゴナビス from BanG Dream!』：的場航海
•  『【推しの子】』：鳴嶋メルト
•  『色づく世界の明日から』：山吹将
•  『トライナイツ』：宝立友未
•  『高良くんと天城くん』：高良瞬</v>
      </c>
    </row>
    <row r="349" spans="1:2">
      <c r="A349" s="1" t="str">
        <f ca="1">IFERROR(__xludf.DUMMYFUNCTION("""COMPUTED_VALUE"""),"吉川幸宏")</f>
        <v>吉川幸宏</v>
      </c>
      <c r="B349" s="1" t="str">
        <f ca="1">IFERROR(__xludf.DUMMYFUNCTION("""COMPUTED_VALUE"""),"•  『STRANGE EDEN』：由良野千里
•  『原神』： シェーンブルン")</f>
        <v>•  『STRANGE EDEN』：由良野千里
•  『原神』： シェーンブルン</v>
      </c>
    </row>
    <row r="350" spans="1:2">
      <c r="A350" s="1" t="str">
        <f ca="1">IFERROR(__xludf.DUMMYFUNCTION("""COMPUTED_VALUE"""),"義村優")</f>
        <v>義村優</v>
      </c>
      <c r="B350" s="1" t="str">
        <f ca="1">IFERROR(__xludf.DUMMYFUNCTION("""COMPUTED_VALUE"""),"•  『STRANGE EDEN』：咬
•  『楽楽飯店』： シア")</f>
        <v>•  『STRANGE EDEN』：咬
•  『楽楽飯店』： シア</v>
      </c>
    </row>
    <row r="351" spans="1:2">
      <c r="A351" s="1" t="str">
        <f ca="1">IFERROR(__xludf.DUMMYFUNCTION("""COMPUTED_VALUE"""),"長岡龍歩")</f>
        <v>長岡龍歩</v>
      </c>
      <c r="B351" s="1" t="str">
        <f ca="1">IFERROR(__xludf.DUMMYFUNCTION("""COMPUTED_VALUE"""),"•  『Library of Ruina』：ケセド
•  『美男高校地球防衛部ハイカラ！』：酸ヶ湯愛琉志")</f>
        <v>•  『Library of Ruina』：ケセド
•  『美男高校地球防衛部ハイカラ！』：酸ヶ湯愛琉志</v>
      </c>
    </row>
    <row r="352" spans="1:2">
      <c r="A352" s="1" t="str">
        <f ca="1">IFERROR(__xludf.DUMMYFUNCTION("""COMPUTED_VALUE"""),"大野智敬")</f>
        <v>大野智敬</v>
      </c>
      <c r="B352" s="1" t="str">
        <f ca="1">IFERROR(__xludf.DUMMYFUNCTION("""COMPUTED_VALUE"""),"•  『トモダチゲーム』：四部誠
•  『杖と剣のウィストリア』：リリール・マース
•  『青のミブロ』：野口健司
•  『無能なナナ』：石井リュウジ
•  『ハイキュー!! TO THE TOP』：月岡千春
•  『魔導具師ダリヤはうつむかない』：トビアス・オルランド")</f>
        <v>•  『トモダチゲーム』：四部誠
•  『杖と剣のウィストリア』：リリール・マース
•  『青のミブロ』：野口健司
•  『無能なナナ』：石井リュウジ
•  『ハイキュー!! TO THE TOP』：月岡千春
•  『魔導具師ダリヤはうつむかない』：トビアス・オルランド</v>
      </c>
    </row>
    <row r="353" spans="1:2">
      <c r="A353" s="1" t="str">
        <f ca="1">IFERROR(__xludf.DUMMYFUNCTION("""COMPUTED_VALUE"""),"豊島聖人")</f>
        <v>豊島聖人</v>
      </c>
      <c r="B353" s="1" t="str">
        <f ca="1">IFERROR(__xludf.DUMMYFUNCTION("""COMPUTED_VALUE"""),"•  『おねがいっパトロンさま！』：猫屋敷良夜
•  『補講男子』：柏谷信")</f>
        <v>•  『おねがいっパトロンさま！』：猫屋敷良夜
•  『補講男子』：柏谷信</v>
      </c>
    </row>
    <row r="354" spans="1:2">
      <c r="A354" s="1" t="str">
        <f ca="1">IFERROR(__xludf.DUMMYFUNCTION("""COMPUTED_VALUE"""),"織田圭祐")</f>
        <v>織田圭祐</v>
      </c>
      <c r="B354" s="1" t="str">
        <f ca="1">IFERROR(__xludf.DUMMYFUNCTION("""COMPUTED_VALUE"""),"•  『桜蘭高校ホスト部』：常陸院馨
•  『のだめカンタービレ』：奥山真澄
•  『狂乱家族日記』：乱崎銀夏
•  『東京喰種√A』：宇井郡
•  『ぼくらの』：カコ（加古功）
•  『エウレカセブンAO』：ハン・ジュノ
•  『デュエル・マスターズ』：愛善真")</f>
        <v>•  『桜蘭高校ホスト部』：常陸院馨
•  『のだめカンタービレ』：奥山真澄
•  『狂乱家族日記』：乱崎銀夏
•  『東京喰種√A』：宇井郡
•  『ぼくらの』：カコ（加古功）
•  『エウレカセブンAO』：ハン・ジュノ
•  『デュエル・マスターズ』：愛善真</v>
      </c>
    </row>
    <row r="355" spans="1:2">
      <c r="A355" s="1" t="str">
        <f ca="1">IFERROR(__xludf.DUMMYFUNCTION("""COMPUTED_VALUE"""),"桐井大介")</f>
        <v>桐井大介</v>
      </c>
      <c r="B355" s="1" t="str">
        <f ca="1">IFERROR(__xludf.DUMMYFUNCTION("""COMPUTED_VALUE"""),"•  『うたわれるもの』シリーズ： オボロ
•  『桜蘭高校ホスト部』：銛之塚崇
•  『バクマン。』：港浦吾郎
•  『GIANT KILLING』：杉江勇作
•  『オトッペ』：ペッペラーノ／ポトレイン
•  『MAJOR』：薬師寺／牟田")</f>
        <v>•  『うたわれるもの』シリーズ： オボロ
•  『桜蘭高校ホスト部』：銛之塚崇
•  『バクマン。』：港浦吾郎
•  『GIANT KILLING』：杉江勇作
•  『オトッペ』：ペッペラーノ／ポトレイン
•  『MAJOR』：薬師寺／牟田</v>
      </c>
    </row>
    <row r="356" spans="1:2">
      <c r="A356" s="1" t="str">
        <f ca="1">IFERROR(__xludf.DUMMYFUNCTION("""COMPUTED_VALUE"""),"野宮一範")</f>
        <v>野宮一範</v>
      </c>
      <c r="B356" s="1" t="str">
        <f ca="1">IFERROR(__xludf.DUMMYFUNCTION("""COMPUTED_VALUE"""),"•  『緋色の欠片』シリーズ： 狗谷遼
•  『学園ハンサム』：鏡蓮児
•  『BROTHERS CONFLICT』：佐々倉和馬")</f>
        <v>•  『緋色の欠片』シリーズ： 狗谷遼
•  『学園ハンサム』：鏡蓮児
•  『BROTHERS CONFLICT』：佐々倉和馬</v>
      </c>
    </row>
    <row r="357" spans="1:2">
      <c r="A357" s="1" t="str">
        <f ca="1">IFERROR(__xludf.DUMMYFUNCTION("""COMPUTED_VALUE"""),"鶴岡聡")</f>
        <v>鶴岡聡</v>
      </c>
      <c r="B357" s="1" t="str">
        <f ca="1">IFERROR(__xludf.DUMMYFUNCTION("""COMPUTED_VALUE"""),"•  『テニスの王子様』： 樺地崇弘／木更津淳
•  『Fate/Zero』：キャスター（ジル・ド・レェ）
•  『Fate/Apocrypha』：赤のバーサーカー（スパルタクス）
•  『七つの大罪』：タルミエル
•  『新テニスの王子様』：樺地崇弘")</f>
        <v>•  『テニスの王子様』： 樺地崇弘／木更津淳
•  『Fate/Zero』：キャスター（ジル・ド・レェ）
•  『Fate/Apocrypha』：赤のバーサーカー（スパルタクス）
•  『七つの大罪』：タルミエル
•  『新テニスの王子様』：樺地崇弘</v>
      </c>
    </row>
    <row r="358" spans="1:2">
      <c r="A358" s="1" t="str">
        <f ca="1">IFERROR(__xludf.DUMMYFUNCTION("""COMPUTED_VALUE"""),"高野大河")</f>
        <v>高野大河</v>
      </c>
      <c r="B358" s="1" t="str">
        <f ca="1">IFERROR(__xludf.DUMMYFUNCTION("""COMPUTED_VALUE"""),"•  『美男高校地球防衛部ハイカラ！』：雲仙新九郎
•  『モンスターストライク』： エシカル")</f>
        <v>•  『美男高校地球防衛部ハイカラ！』：雲仙新九郎
•  『モンスターストライク』： エシカル</v>
      </c>
    </row>
    <row r="359" spans="1:2">
      <c r="A359" s="1" t="str">
        <f ca="1">IFERROR(__xludf.DUMMYFUNCTION("""COMPUTED_VALUE"""),"観世智顕")</f>
        <v>観世智顕</v>
      </c>
      <c r="B359" s="1" t="str">
        <f ca="1">IFERROR(__xludf.DUMMYFUNCTION("""COMPUTED_VALUE"""),"•  『美男高校地球防衛部ハイカラ！』：卯花惣輔
•  『SHAMAN KING』：コンチ／ニクロム
•  『SHAMAN KING FLOWERS』：コンチ
•  『NOMAD メガロボクス2』：サンタ")</f>
        <v>•  『美男高校地球防衛部ハイカラ！』：卯花惣輔
•  『SHAMAN KING』：コンチ／ニクロム
•  『SHAMAN KING FLOWERS』：コンチ
•  『NOMAD メガロボクス2』：サンタ</v>
      </c>
    </row>
    <row r="360" spans="1:2">
      <c r="A360" s="1" t="str">
        <f ca="1">IFERROR(__xludf.DUMMYFUNCTION("""COMPUTED_VALUE"""),"小池貴大")</f>
        <v>小池貴大</v>
      </c>
      <c r="B360" s="1" t="str">
        <f ca="1">IFERROR(__xludf.DUMMYFUNCTION("""COMPUTED_VALUE"""),"•  『美男高校地球防衛部ハイカラ！』：長万部潮
•  『リモート☆ホスト』：亜土夢")</f>
        <v>•  『美男高校地球防衛部ハイカラ！』：長万部潮
•  『リモート☆ホスト』：亜土夢</v>
      </c>
    </row>
  </sheetData>
  <phoneticPr fontId="19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1992"/>
  <sheetViews>
    <sheetView topLeftCell="A768" workbookViewId="0">
      <selection activeCell="G688" sqref="G688:G775"/>
    </sheetView>
  </sheetViews>
  <sheetFormatPr defaultColWidth="12.6640625" defaultRowHeight="15.75" customHeight="1"/>
  <sheetData>
    <row r="1" spans="1:5" ht="13.2">
      <c r="A1" s="2" t="s">
        <v>0</v>
      </c>
      <c r="B1" s="2" t="s">
        <v>2</v>
      </c>
      <c r="C1" s="2" t="s">
        <v>1</v>
      </c>
      <c r="D1" s="2" t="s">
        <v>6</v>
      </c>
      <c r="E1" s="2" t="s">
        <v>374</v>
      </c>
    </row>
    <row r="2" spans="1:5" ht="13.2">
      <c r="A2" s="1" t="str">
        <f t="array" ref="A2">IF(B2="", "", IFERROR(INDEX(声優一覧!A:A, MATCH(B2, 声優一覧!B:B, 0)), "該当なし"))</f>
        <v>va_137</v>
      </c>
      <c r="B2" s="1" t="s">
        <v>389</v>
      </c>
      <c r="C2" s="1" t="s">
        <v>184</v>
      </c>
      <c r="D2" s="1" t="str">
        <f>IF(C2="", "", IFERROR(VLOOKUP(C2, 作品一覧!A:B, 2, FALSE), "該当なし"))</f>
        <v>刀剣乱舞</v>
      </c>
      <c r="E2" s="1" t="s">
        <v>397</v>
      </c>
    </row>
    <row r="3" spans="1:5" ht="13.2">
      <c r="A3" s="1" t="str">
        <f t="array" ref="A3">IF(B3="", "", IFERROR(INDEX(声優一覧!A:A, MATCH(B3, 声優一覧!B:B, 0)), "該当なし"))</f>
        <v>va_132</v>
      </c>
      <c r="B3" s="1" t="s">
        <v>407</v>
      </c>
      <c r="C3" s="1" t="s">
        <v>184</v>
      </c>
      <c r="D3" s="1" t="str">
        <f>IF(C3="", "", IFERROR(VLOOKUP(C3, 作品一覧!A:B, 2, FALSE), "該当なし"))</f>
        <v>刀剣乱舞</v>
      </c>
      <c r="E3" s="1" t="s">
        <v>417</v>
      </c>
    </row>
    <row r="4" spans="1:5" ht="13.2">
      <c r="A4" s="1" t="str">
        <f t="array" ref="A4">IF(B4="", "", IFERROR(INDEX(声優一覧!A:A, MATCH(B4, 声優一覧!B:B, 0)), "該当なし"))</f>
        <v>va_081</v>
      </c>
      <c r="B4" s="1" t="s">
        <v>384</v>
      </c>
      <c r="C4" s="1" t="s">
        <v>184</v>
      </c>
      <c r="D4" s="1" t="str">
        <f>IF(C4="", "", IFERROR(VLOOKUP(C4, 作品一覧!A:B, 2, FALSE), "該当なし"))</f>
        <v>刀剣乱舞</v>
      </c>
      <c r="E4" s="1" t="s">
        <v>436</v>
      </c>
    </row>
    <row r="5" spans="1:5" ht="13.2">
      <c r="A5" s="1" t="str">
        <f t="array" ref="A5">IF(B5="", "", IFERROR(INDEX(声優一覧!A:A, MATCH(B5, 声優一覧!B:B, 0)), "該当なし"))</f>
        <v>va_110</v>
      </c>
      <c r="B5" s="1" t="s">
        <v>443</v>
      </c>
      <c r="C5" s="1" t="s">
        <v>184</v>
      </c>
      <c r="D5" s="1" t="str">
        <f>IF(C5="", "", IFERROR(VLOOKUP(C5, 作品一覧!A:B, 2, FALSE), "該当なし"))</f>
        <v>刀剣乱舞</v>
      </c>
      <c r="E5" s="1" t="s">
        <v>449</v>
      </c>
    </row>
    <row r="6" spans="1:5" ht="13.2">
      <c r="A6" s="1" t="str">
        <f t="array" ref="A6">IF(B6="", "", IFERROR(INDEX(声優一覧!A:A, MATCH(B6, 声優一覧!B:B, 0)), "該当なし"))</f>
        <v>va_181</v>
      </c>
      <c r="B6" s="1" t="s">
        <v>459</v>
      </c>
      <c r="C6" s="1" t="s">
        <v>184</v>
      </c>
      <c r="D6" s="1" t="str">
        <f>IF(C6="", "", IFERROR(VLOOKUP(C6, 作品一覧!A:B, 2, FALSE), "該当なし"))</f>
        <v>刀剣乱舞</v>
      </c>
      <c r="E6" s="1" t="s">
        <v>467</v>
      </c>
    </row>
    <row r="7" spans="1:5" ht="13.2">
      <c r="A7" s="1" t="str">
        <f t="array" ref="A7">IF(B7="", "", IFERROR(INDEX(声優一覧!A:A, MATCH(B7, 声優一覧!B:B, 0)), "該当なし"))</f>
        <v>va_193</v>
      </c>
      <c r="B7" s="1" t="s">
        <v>476</v>
      </c>
      <c r="C7" s="1" t="s">
        <v>184</v>
      </c>
      <c r="D7" s="1" t="str">
        <f>IF(C7="", "", IFERROR(VLOOKUP(C7, 作品一覧!A:B, 2, FALSE), "該当なし"))</f>
        <v>刀剣乱舞</v>
      </c>
      <c r="E7" s="1" t="s">
        <v>482</v>
      </c>
    </row>
    <row r="8" spans="1:5" ht="13.2">
      <c r="A8" s="1" t="str">
        <f t="array" ref="A8">IF(B8="", "", IFERROR(INDEX(声優一覧!A:A, MATCH(B8, 声優一覧!B:B, 0)), "該当なし"))</f>
        <v>va_138</v>
      </c>
      <c r="B8" s="1" t="s">
        <v>490</v>
      </c>
      <c r="C8" s="1" t="s">
        <v>184</v>
      </c>
      <c r="D8" s="1" t="str">
        <f>IF(C8="", "", IFERROR(VLOOKUP(C8, 作品一覧!A:B, 2, FALSE), "該当なし"))</f>
        <v>刀剣乱舞</v>
      </c>
      <c r="E8" s="1" t="s">
        <v>498</v>
      </c>
    </row>
    <row r="9" spans="1:5" ht="13.2">
      <c r="A9" s="1" t="str">
        <f t="array" ref="A9">IF(B9="", "", IFERROR(INDEX(声優一覧!A:A, MATCH(B9, 声優一覧!B:B, 0)), "該当なし"))</f>
        <v>va_005</v>
      </c>
      <c r="B9" s="1" t="s">
        <v>106</v>
      </c>
      <c r="C9" s="1" t="s">
        <v>184</v>
      </c>
      <c r="D9" s="1" t="str">
        <f>IF(C9="", "", IFERROR(VLOOKUP(C9, 作品一覧!A:B, 2, FALSE), "該当なし"))</f>
        <v>刀剣乱舞</v>
      </c>
      <c r="E9" s="1" t="s">
        <v>512</v>
      </c>
    </row>
    <row r="10" spans="1:5" ht="13.2">
      <c r="A10" s="1" t="str">
        <f t="array" ref="A10">IF(B10="", "", IFERROR(INDEX(声優一覧!A:A, MATCH(B10, 声優一覧!B:B, 0)), "該当なし"))</f>
        <v>va_180</v>
      </c>
      <c r="B10" s="1" t="s">
        <v>525</v>
      </c>
      <c r="C10" s="1" t="s">
        <v>184</v>
      </c>
      <c r="D10" s="1" t="str">
        <f>IF(C10="", "", IFERROR(VLOOKUP(C10, 作品一覧!A:B, 2, FALSE), "該当なし"))</f>
        <v>刀剣乱舞</v>
      </c>
      <c r="E10" s="1" t="s">
        <v>530</v>
      </c>
    </row>
    <row r="11" spans="1:5" ht="13.2">
      <c r="A11" s="1" t="str">
        <f t="array" ref="A11">IF(B11="", "", IFERROR(INDEX(声優一覧!A:A, MATCH(B11, 声優一覧!B:B, 0)), "該当なし"))</f>
        <v>va_171</v>
      </c>
      <c r="B11" s="1" t="s">
        <v>537</v>
      </c>
      <c r="C11" s="1" t="s">
        <v>184</v>
      </c>
      <c r="D11" s="1" t="str">
        <f>IF(C11="", "", IFERROR(VLOOKUP(C11, 作品一覧!A:B, 2, FALSE), "該当なし"))</f>
        <v>刀剣乱舞</v>
      </c>
      <c r="E11" s="1" t="s">
        <v>545</v>
      </c>
    </row>
    <row r="12" spans="1:5" ht="13.2">
      <c r="A12" s="1" t="str">
        <f t="array" ref="A12">IF(B12="", "", IFERROR(INDEX(声優一覧!A:A, MATCH(B12, 声優一覧!B:B, 0)), "該当なし"))</f>
        <v>va_186</v>
      </c>
      <c r="B12" s="1" t="s">
        <v>553</v>
      </c>
      <c r="C12" s="1" t="s">
        <v>184</v>
      </c>
      <c r="D12" s="1" t="str">
        <f>IF(C12="", "", IFERROR(VLOOKUP(C12, 作品一覧!A:B, 2, FALSE), "該当なし"))</f>
        <v>刀剣乱舞</v>
      </c>
      <c r="E12" s="1" t="s">
        <v>560</v>
      </c>
    </row>
    <row r="13" spans="1:5" ht="13.2">
      <c r="A13" s="1" t="str">
        <f t="array" ref="A13">IF(B13="", "", IFERROR(INDEX(声優一覧!A:A, MATCH(B13, 声優一覧!B:B, 0)), "該当なし"))</f>
        <v>va_004</v>
      </c>
      <c r="B13" s="1" t="s">
        <v>97</v>
      </c>
      <c r="C13" s="1" t="s">
        <v>184</v>
      </c>
      <c r="D13" s="1" t="str">
        <f>IF(C13="", "", IFERROR(VLOOKUP(C13, 作品一覧!A:B, 2, FALSE), "該当なし"))</f>
        <v>刀剣乱舞</v>
      </c>
      <c r="E13" s="1" t="s">
        <v>573</v>
      </c>
    </row>
    <row r="14" spans="1:5" ht="13.2">
      <c r="A14" s="1" t="str">
        <f t="array" ref="A14">IF(B14="", "", IFERROR(INDEX(声優一覧!A:A, MATCH(B14, 声優一覧!B:B, 0)), "該当なし"))</f>
        <v>va_117</v>
      </c>
      <c r="B14" s="1" t="s">
        <v>462</v>
      </c>
      <c r="C14" s="1" t="s">
        <v>184</v>
      </c>
      <c r="D14" s="1" t="str">
        <f>IF(C14="", "", IFERROR(VLOOKUP(C14, 作品一覧!A:B, 2, FALSE), "該当なし"))</f>
        <v>刀剣乱舞</v>
      </c>
      <c r="E14" s="1" t="s">
        <v>587</v>
      </c>
    </row>
    <row r="15" spans="1:5" ht="13.2">
      <c r="A15" s="1" t="str">
        <f t="array" ref="A15">IF(B15="", "", IFERROR(INDEX(声優一覧!A:A, MATCH(B15, 声優一覧!B:B, 0)), "該当なし"))</f>
        <v>va_083</v>
      </c>
      <c r="B15" s="1" t="s">
        <v>388</v>
      </c>
      <c r="C15" s="1" t="s">
        <v>184</v>
      </c>
      <c r="D15" s="1" t="str">
        <f>IF(C15="", "", IFERROR(VLOOKUP(C15, 作品一覧!A:B, 2, FALSE), "該当なし"))</f>
        <v>刀剣乱舞</v>
      </c>
      <c r="E15" s="1" t="s">
        <v>601</v>
      </c>
    </row>
    <row r="16" spans="1:5" ht="13.2">
      <c r="A16" s="1" t="str">
        <f t="array" ref="A16">IF(B16="", "", IFERROR(INDEX(声優一覧!A:A, MATCH(B16, 声優一覧!B:B, 0)), "該当なし"))</f>
        <v>va_100</v>
      </c>
      <c r="B16" s="1" t="s">
        <v>426</v>
      </c>
      <c r="C16" s="1" t="s">
        <v>184</v>
      </c>
      <c r="D16" s="1" t="str">
        <f>IF(C16="", "", IFERROR(VLOOKUP(C16, 作品一覧!A:B, 2, FALSE), "該当なし"))</f>
        <v>刀剣乱舞</v>
      </c>
      <c r="E16" s="1" t="s">
        <v>621</v>
      </c>
    </row>
    <row r="17" spans="1:5" ht="13.2">
      <c r="A17" s="1" t="str">
        <f t="array" ref="A17">IF(B17="", "", IFERROR(INDEX(声優一覧!A:A, MATCH(B17, 声優一覧!B:B, 0)), "該当なし"))</f>
        <v>va_005</v>
      </c>
      <c r="B17" s="1" t="s">
        <v>106</v>
      </c>
      <c r="C17" s="1" t="s">
        <v>184</v>
      </c>
      <c r="D17" s="1" t="str">
        <f>IF(C17="", "", IFERROR(VLOOKUP(C17, 作品一覧!A:B, 2, FALSE), "該当なし"))</f>
        <v>刀剣乱舞</v>
      </c>
      <c r="E17" s="1" t="s">
        <v>642</v>
      </c>
    </row>
    <row r="18" spans="1:5" ht="13.2">
      <c r="A18" s="1" t="str">
        <f t="array" ref="A18">IF(B18="", "", IFERROR(INDEX(声優一覧!A:A, MATCH(B18, 声優一覧!B:B, 0)), "該当なし"))</f>
        <v>va_193</v>
      </c>
      <c r="B18" s="1" t="s">
        <v>476</v>
      </c>
      <c r="C18" s="1" t="s">
        <v>184</v>
      </c>
      <c r="D18" s="1" t="str">
        <f>IF(C18="", "", IFERROR(VLOOKUP(C18, 作品一覧!A:B, 2, FALSE), "該当なし"))</f>
        <v>刀剣乱舞</v>
      </c>
      <c r="E18" s="1" t="s">
        <v>657</v>
      </c>
    </row>
    <row r="19" spans="1:5" ht="13.2">
      <c r="A19" s="1" t="str">
        <f t="array" ref="A19">IF(B19="", "", IFERROR(INDEX(声優一覧!A:A, MATCH(B19, 声優一覧!B:B, 0)), "該当なし"))</f>
        <v>va_184</v>
      </c>
      <c r="B19" s="1" t="s">
        <v>603</v>
      </c>
      <c r="C19" s="1" t="s">
        <v>184</v>
      </c>
      <c r="D19" s="1" t="str">
        <f>IF(C19="", "", IFERROR(VLOOKUP(C19, 作品一覧!A:B, 2, FALSE), "該当なし"))</f>
        <v>刀剣乱舞</v>
      </c>
      <c r="E19" s="1" t="s">
        <v>673</v>
      </c>
    </row>
    <row r="20" spans="1:5" ht="13.2">
      <c r="A20" s="1" t="str">
        <f t="array" ref="A20">IF(B20="", "", IFERROR(INDEX(声優一覧!A:A, MATCH(B20, 声優一覧!B:B, 0)), "該当なし"))</f>
        <v>va_075</v>
      </c>
      <c r="B20" s="1" t="s">
        <v>372</v>
      </c>
      <c r="C20" s="1" t="s">
        <v>184</v>
      </c>
      <c r="D20" s="1" t="str">
        <f>IF(C20="", "", IFERROR(VLOOKUP(C20, 作品一覧!A:B, 2, FALSE), "該当なし"))</f>
        <v>刀剣乱舞</v>
      </c>
      <c r="E20" s="1" t="s">
        <v>686</v>
      </c>
    </row>
    <row r="21" spans="1:5" ht="13.2">
      <c r="A21" s="1" t="str">
        <f t="array" ref="A21">IF(B21="", "", IFERROR(INDEX(声優一覧!A:A, MATCH(B21, 声優一覧!B:B, 0)), "該当なし"))</f>
        <v>va_024</v>
      </c>
      <c r="B21" s="1" t="s">
        <v>226</v>
      </c>
      <c r="C21" s="1" t="s">
        <v>184</v>
      </c>
      <c r="D21" s="1" t="str">
        <f>IF(C21="", "", IFERROR(VLOOKUP(C21, 作品一覧!A:B, 2, FALSE), "該当なし"))</f>
        <v>刀剣乱舞</v>
      </c>
      <c r="E21" s="1" t="s">
        <v>690</v>
      </c>
    </row>
    <row r="22" spans="1:5" ht="13.2">
      <c r="A22" s="1" t="str">
        <f t="array" ref="A22">IF(B22="", "", IFERROR(INDEX(声優一覧!A:A, MATCH(B22, 声優一覧!B:B, 0)), "該当なし"))</f>
        <v>va_196</v>
      </c>
      <c r="B22" s="1" t="s">
        <v>625</v>
      </c>
      <c r="C22" s="1" t="s">
        <v>184</v>
      </c>
      <c r="D22" s="1" t="str">
        <f>IF(C22="", "", IFERROR(VLOOKUP(C22, 作品一覧!A:B, 2, FALSE), "該当なし"))</f>
        <v>刀剣乱舞</v>
      </c>
      <c r="E22" s="1" t="s">
        <v>696</v>
      </c>
    </row>
    <row r="23" spans="1:5" ht="13.2">
      <c r="A23" s="1" t="str">
        <f t="array" ref="A23">IF(B23="", "", IFERROR(INDEX(声優一覧!A:A, MATCH(B23, 声優一覧!B:B, 0)), "該当なし"))</f>
        <v>va_039</v>
      </c>
      <c r="B23" s="1" t="s">
        <v>303</v>
      </c>
      <c r="C23" s="1" t="s">
        <v>184</v>
      </c>
      <c r="D23" s="1" t="str">
        <f>IF(C23="", "", IFERROR(VLOOKUP(C23, 作品一覧!A:B, 2, FALSE), "該当なし"))</f>
        <v>刀剣乱舞</v>
      </c>
      <c r="E23" s="1" t="s">
        <v>703</v>
      </c>
    </row>
    <row r="24" spans="1:5" ht="13.2">
      <c r="A24" s="1" t="str">
        <f t="array" ref="A24">IF(B24="", "", IFERROR(INDEX(声優一覧!A:A, MATCH(B24, 声優一覧!B:B, 0)), "該当なし"))</f>
        <v>va_195</v>
      </c>
      <c r="B24" s="1" t="s">
        <v>623</v>
      </c>
      <c r="C24" s="1" t="s">
        <v>184</v>
      </c>
      <c r="D24" s="1" t="str">
        <f>IF(C24="", "", IFERROR(VLOOKUP(C24, 作品一覧!A:B, 2, FALSE), "該当なし"))</f>
        <v>刀剣乱舞</v>
      </c>
      <c r="E24" s="1" t="s">
        <v>711</v>
      </c>
    </row>
    <row r="25" spans="1:5" ht="13.2">
      <c r="A25" s="1" t="str">
        <f t="array" ref="A25">IF(B25="", "", IFERROR(INDEX(声優一覧!A:A, MATCH(B25, 声優一覧!B:B, 0)), "該当なし"))</f>
        <v>va_054</v>
      </c>
      <c r="B25" s="1" t="s">
        <v>332</v>
      </c>
      <c r="C25" s="1" t="s">
        <v>184</v>
      </c>
      <c r="D25" s="1" t="str">
        <f>IF(C25="", "", IFERROR(VLOOKUP(C25, 作品一覧!A:B, 2, FALSE), "該当なし"))</f>
        <v>刀剣乱舞</v>
      </c>
      <c r="E25" s="1" t="s">
        <v>718</v>
      </c>
    </row>
    <row r="26" spans="1:5" ht="13.2">
      <c r="A26" s="1" t="str">
        <f t="array" ref="A26">IF(B26="", "", IFERROR(INDEX(声優一覧!A:A, MATCH(B26, 声優一覧!B:B, 0)), "該当なし"))</f>
        <v>va_192</v>
      </c>
      <c r="B26" s="1" t="s">
        <v>617</v>
      </c>
      <c r="C26" s="1" t="s">
        <v>184</v>
      </c>
      <c r="D26" s="1" t="str">
        <f>IF(C26="", "", IFERROR(VLOOKUP(C26, 作品一覧!A:B, 2, FALSE), "該当なし"))</f>
        <v>刀剣乱舞</v>
      </c>
      <c r="E26" s="1" t="s">
        <v>723</v>
      </c>
    </row>
    <row r="27" spans="1:5" ht="13.2">
      <c r="A27" s="1" t="str">
        <f t="array" ref="A27">IF(B27="", "", IFERROR(INDEX(声優一覧!A:A, MATCH(B27, 声優一覧!B:B, 0)), "該当なし"))</f>
        <v>va_182</v>
      </c>
      <c r="B27" s="1" t="s">
        <v>598</v>
      </c>
      <c r="C27" s="1" t="s">
        <v>184</v>
      </c>
      <c r="D27" s="1" t="str">
        <f>IF(C27="", "", IFERROR(VLOOKUP(C27, 作品一覧!A:B, 2, FALSE), "該当なし"))</f>
        <v>刀剣乱舞</v>
      </c>
      <c r="E27" s="1" t="s">
        <v>733</v>
      </c>
    </row>
    <row r="28" spans="1:5" ht="13.2">
      <c r="A28" s="1" t="str">
        <f t="array" ref="A28">IF(B28="", "", IFERROR(INDEX(声優一覧!A:A, MATCH(B28, 声優一覧!B:B, 0)), "該当なし"))</f>
        <v>va_046</v>
      </c>
      <c r="B28" s="1" t="s">
        <v>317</v>
      </c>
      <c r="C28" s="1" t="s">
        <v>184</v>
      </c>
      <c r="D28" s="1" t="str">
        <f>IF(C28="", "", IFERROR(VLOOKUP(C28, 作品一覧!A:B, 2, FALSE), "該当なし"))</f>
        <v>刀剣乱舞</v>
      </c>
      <c r="E28" s="1" t="s">
        <v>739</v>
      </c>
    </row>
    <row r="29" spans="1:5" ht="13.2">
      <c r="A29" s="1" t="str">
        <f t="array" ref="A29">IF(B29="", "", IFERROR(INDEX(声優一覧!A:A, MATCH(B29, 声優一覧!B:B, 0)), "該当なし"))</f>
        <v>va_048</v>
      </c>
      <c r="B29" s="1" t="s">
        <v>321</v>
      </c>
      <c r="C29" s="1" t="s">
        <v>184</v>
      </c>
      <c r="D29" s="1" t="str">
        <f>IF(C29="", "", IFERROR(VLOOKUP(C29, 作品一覧!A:B, 2, FALSE), "該当なし"))</f>
        <v>刀剣乱舞</v>
      </c>
      <c r="E29" s="1" t="s">
        <v>745</v>
      </c>
    </row>
    <row r="30" spans="1:5" ht="13.2">
      <c r="A30" s="1" t="str">
        <f t="array" ref="A30">IF(B30="", "", IFERROR(INDEX(声優一覧!A:A, MATCH(B30, 声優一覧!B:B, 0)), "該当なし"))</f>
        <v>va_005</v>
      </c>
      <c r="B30" s="1" t="s">
        <v>106</v>
      </c>
      <c r="C30" s="1" t="s">
        <v>184</v>
      </c>
      <c r="D30" s="1" t="str">
        <f>IF(C30="", "", IFERROR(VLOOKUP(C30, 作品一覧!A:B, 2, FALSE), "該当なし"))</f>
        <v>刀剣乱舞</v>
      </c>
      <c r="E30" s="1" t="s">
        <v>751</v>
      </c>
    </row>
    <row r="31" spans="1:5" ht="13.2">
      <c r="A31" s="1" t="str">
        <f t="array" ref="A31">IF(B31="", "", IFERROR(INDEX(声優一覧!A:A, MATCH(B31, 声優一覧!B:B, 0)), "該当なし"))</f>
        <v>va_012</v>
      </c>
      <c r="B31" s="1" t="s">
        <v>141</v>
      </c>
      <c r="C31" s="1" t="s">
        <v>184</v>
      </c>
      <c r="D31" s="1" t="str">
        <f>IF(C31="", "", IFERROR(VLOOKUP(C31, 作品一覧!A:B, 2, FALSE), "該当なし"))</f>
        <v>刀剣乱舞</v>
      </c>
      <c r="E31" s="1" t="s">
        <v>756</v>
      </c>
    </row>
    <row r="32" spans="1:5" ht="13.2">
      <c r="A32" s="1" t="str">
        <f t="array" ref="A32">IF(B32="", "", IFERROR(INDEX(声優一覧!A:A, MATCH(B32, 声優一覧!B:B, 0)), "該当なし"))</f>
        <v>va_192</v>
      </c>
      <c r="B32" s="1" t="s">
        <v>617</v>
      </c>
      <c r="C32" s="1" t="s">
        <v>184</v>
      </c>
      <c r="D32" s="1" t="str">
        <f>IF(C32="", "", IFERROR(VLOOKUP(C32, 作品一覧!A:B, 2, FALSE), "該当なし"))</f>
        <v>刀剣乱舞</v>
      </c>
      <c r="E32" s="1" t="s">
        <v>761</v>
      </c>
    </row>
    <row r="33" spans="1:5" ht="13.2">
      <c r="A33" s="1" t="str">
        <f t="array" ref="A33">IF(B33="", "", IFERROR(INDEX(声優一覧!A:A, MATCH(B33, 声優一覧!B:B, 0)), "該当なし"))</f>
        <v>va_102</v>
      </c>
      <c r="B33" s="1" t="s">
        <v>430</v>
      </c>
      <c r="C33" s="1" t="s">
        <v>184</v>
      </c>
      <c r="D33" s="1" t="str">
        <f>IF(C33="", "", IFERROR(VLOOKUP(C33, 作品一覧!A:B, 2, FALSE), "該当なし"))</f>
        <v>刀剣乱舞</v>
      </c>
      <c r="E33" s="1" t="s">
        <v>766</v>
      </c>
    </row>
    <row r="34" spans="1:5" ht="13.2">
      <c r="A34" s="1" t="str">
        <f t="array" ref="A34">IF(B34="", "", IFERROR(INDEX(声優一覧!A:A, MATCH(B34, 声優一覧!B:B, 0)), "該当なし"))</f>
        <v>va_089</v>
      </c>
      <c r="B34" s="1" t="s">
        <v>402</v>
      </c>
      <c r="C34" s="1" t="s">
        <v>184</v>
      </c>
      <c r="D34" s="1" t="str">
        <f>IF(C34="", "", IFERROR(VLOOKUP(C34, 作品一覧!A:B, 2, FALSE), "該当なし"))</f>
        <v>刀剣乱舞</v>
      </c>
      <c r="E34" s="1" t="s">
        <v>771</v>
      </c>
    </row>
    <row r="35" spans="1:5" ht="13.2">
      <c r="A35" s="1" t="str">
        <f t="array" ref="A35">IF(B35="", "", IFERROR(INDEX(声優一覧!A:A, MATCH(B35, 声優一覧!B:B, 0)), "該当なし"))</f>
        <v>va_045</v>
      </c>
      <c r="B35" s="1" t="s">
        <v>315</v>
      </c>
      <c r="C35" s="1" t="s">
        <v>184</v>
      </c>
      <c r="D35" s="1" t="str">
        <f>IF(C35="", "", IFERROR(VLOOKUP(C35, 作品一覧!A:B, 2, FALSE), "該当なし"))</f>
        <v>刀剣乱舞</v>
      </c>
      <c r="E35" s="1" t="s">
        <v>780</v>
      </c>
    </row>
    <row r="36" spans="1:5" ht="13.2">
      <c r="A36" s="1" t="str">
        <f t="array" ref="A36">IF(B36="", "", IFERROR(INDEX(声優一覧!A:A, MATCH(B36, 声優一覧!B:B, 0)), "該当なし"))</f>
        <v>va_109</v>
      </c>
      <c r="B36" s="1" t="s">
        <v>445</v>
      </c>
      <c r="C36" s="1" t="s">
        <v>184</v>
      </c>
      <c r="D36" s="1" t="str">
        <f>IF(C36="", "", IFERROR(VLOOKUP(C36, 作品一覧!A:B, 2, FALSE), "該当なし"))</f>
        <v>刀剣乱舞</v>
      </c>
      <c r="E36" s="1" t="s">
        <v>784</v>
      </c>
    </row>
    <row r="37" spans="1:5" ht="13.2">
      <c r="A37" s="1" t="str">
        <f t="array" ref="A37">IF(B37="", "", IFERROR(INDEX(声優一覧!A:A, MATCH(B37, 声優一覧!B:B, 0)), "該当なし"))</f>
        <v>va_194</v>
      </c>
      <c r="B37" s="1" t="s">
        <v>620</v>
      </c>
      <c r="C37" s="1" t="s">
        <v>184</v>
      </c>
      <c r="D37" s="1" t="str">
        <f>IF(C37="", "", IFERROR(VLOOKUP(C37, 作品一覧!A:B, 2, FALSE), "該当なし"))</f>
        <v>刀剣乱舞</v>
      </c>
      <c r="E37" s="1" t="s">
        <v>790</v>
      </c>
    </row>
    <row r="38" spans="1:5" ht="13.2">
      <c r="A38" s="1" t="str">
        <f t="array" ref="A38">IF(B38="", "", IFERROR(INDEX(声優一覧!A:A, MATCH(B38, 声優一覧!B:B, 0)), "該当なし"))</f>
        <v>va_090</v>
      </c>
      <c r="B38" s="1" t="s">
        <v>404</v>
      </c>
      <c r="C38" s="1" t="s">
        <v>184</v>
      </c>
      <c r="D38" s="1" t="str">
        <f>IF(C38="", "", IFERROR(VLOOKUP(C38, 作品一覧!A:B, 2, FALSE), "該当なし"))</f>
        <v>刀剣乱舞</v>
      </c>
      <c r="E38" s="1" t="s">
        <v>796</v>
      </c>
    </row>
    <row r="39" spans="1:5" ht="13.2">
      <c r="A39" s="1" t="str">
        <f t="array" ref="A39">IF(B39="", "", IFERROR(INDEX(声優一覧!A:A, MATCH(B39, 声優一覧!B:B, 0)), "該当なし"))</f>
        <v>va_176</v>
      </c>
      <c r="B39" s="1" t="s">
        <v>588</v>
      </c>
      <c r="C39" s="1" t="s">
        <v>184</v>
      </c>
      <c r="D39" s="1" t="str">
        <f>IF(C39="", "", IFERROR(VLOOKUP(C39, 作品一覧!A:B, 2, FALSE), "該当なし"))</f>
        <v>刀剣乱舞</v>
      </c>
      <c r="E39" s="1" t="s">
        <v>802</v>
      </c>
    </row>
    <row r="40" spans="1:5" ht="13.2">
      <c r="A40" s="1" t="str">
        <f t="array" ref="A40">IF(B40="", "", IFERROR(INDEX(声優一覧!A:A, MATCH(B40, 声優一覧!B:B, 0)), "該当なし"))</f>
        <v>va_114</v>
      </c>
      <c r="B40" s="1" t="s">
        <v>455</v>
      </c>
      <c r="C40" s="1" t="s">
        <v>184</v>
      </c>
      <c r="D40" s="1" t="str">
        <f>IF(C40="", "", IFERROR(VLOOKUP(C40, 作品一覧!A:B, 2, FALSE), "該当なし"))</f>
        <v>刀剣乱舞</v>
      </c>
      <c r="E40" s="1" t="s">
        <v>808</v>
      </c>
    </row>
    <row r="41" spans="1:5" ht="13.2">
      <c r="A41" s="1" t="str">
        <f t="array" ref="A41">IF(B41="", "", IFERROR(INDEX(声優一覧!A:A, MATCH(B41, 声優一覧!B:B, 0)), "該当なし"))</f>
        <v>va_090</v>
      </c>
      <c r="B41" s="1" t="s">
        <v>404</v>
      </c>
      <c r="C41" s="1" t="s">
        <v>184</v>
      </c>
      <c r="D41" s="1" t="str">
        <f>IF(C41="", "", IFERROR(VLOOKUP(C41, 作品一覧!A:B, 2, FALSE), "該当なし"))</f>
        <v>刀剣乱舞</v>
      </c>
      <c r="E41" s="1" t="s">
        <v>816</v>
      </c>
    </row>
    <row r="42" spans="1:5" ht="13.2">
      <c r="A42" s="1" t="str">
        <f t="array" ref="A42">IF(B42="", "", IFERROR(INDEX(声優一覧!A:A, MATCH(B42, 声優一覧!B:B, 0)), "該当なし"))</f>
        <v>va_118</v>
      </c>
      <c r="B42" s="1" t="s">
        <v>464</v>
      </c>
      <c r="C42" s="1" t="s">
        <v>184</v>
      </c>
      <c r="D42" s="1" t="str">
        <f>IF(C42="", "", IFERROR(VLOOKUP(C42, 作品一覧!A:B, 2, FALSE), "該当なし"))</f>
        <v>刀剣乱舞</v>
      </c>
      <c r="E42" s="1" t="s">
        <v>827</v>
      </c>
    </row>
    <row r="43" spans="1:5" ht="13.2">
      <c r="A43" s="1" t="str">
        <f t="array" ref="A43">IF(B43="", "", IFERROR(INDEX(声優一覧!A:A, MATCH(B43, 声優一覧!B:B, 0)), "該当なし"))</f>
        <v>va_183</v>
      </c>
      <c r="B43" s="1" t="s">
        <v>600</v>
      </c>
      <c r="C43" s="1" t="s">
        <v>184</v>
      </c>
      <c r="D43" s="1" t="str">
        <f>IF(C43="", "", IFERROR(VLOOKUP(C43, 作品一覧!A:B, 2, FALSE), "該当なし"))</f>
        <v>刀剣乱舞</v>
      </c>
      <c r="E43" s="1" t="s">
        <v>831</v>
      </c>
    </row>
    <row r="44" spans="1:5" ht="13.2">
      <c r="A44" s="1" t="str">
        <f t="array" ref="A44">IF(B44="", "", IFERROR(INDEX(声優一覧!A:A, MATCH(B44, 声優一覧!B:B, 0)), "該当なし"))</f>
        <v>va_172</v>
      </c>
      <c r="B44" s="1" t="s">
        <v>579</v>
      </c>
      <c r="C44" s="1" t="s">
        <v>184</v>
      </c>
      <c r="D44" s="1" t="str">
        <f>IF(C44="", "", IFERROR(VLOOKUP(C44, 作品一覧!A:B, 2, FALSE), "該当なし"))</f>
        <v>刀剣乱舞</v>
      </c>
      <c r="E44" s="1" t="s">
        <v>839</v>
      </c>
    </row>
    <row r="45" spans="1:5" ht="13.2">
      <c r="A45" s="1" t="str">
        <f t="array" ref="A45">IF(B45="", "", IFERROR(INDEX(声優一覧!A:A, MATCH(B45, 声優一覧!B:B, 0)), "該当なし"))</f>
        <v>va_017</v>
      </c>
      <c r="B45" s="1" t="s">
        <v>177</v>
      </c>
      <c r="C45" s="1" t="s">
        <v>184</v>
      </c>
      <c r="D45" s="1" t="str">
        <f>IF(C45="", "", IFERROR(VLOOKUP(C45, 作品一覧!A:B, 2, FALSE), "該当なし"))</f>
        <v>刀剣乱舞</v>
      </c>
      <c r="E45" s="1" t="s">
        <v>845</v>
      </c>
    </row>
    <row r="46" spans="1:5" ht="13.2">
      <c r="A46" s="1" t="str">
        <f t="array" ref="A46">IF(B46="", "", IFERROR(INDEX(声優一覧!A:A, MATCH(B46, 声優一覧!B:B, 0)), "該当なし"))</f>
        <v>va_013</v>
      </c>
      <c r="B46" s="1" t="s">
        <v>144</v>
      </c>
      <c r="C46" s="1" t="s">
        <v>184</v>
      </c>
      <c r="D46" s="1" t="str">
        <f>IF(C46="", "", IFERROR(VLOOKUP(C46, 作品一覧!A:B, 2, FALSE), "該当なし"))</f>
        <v>刀剣乱舞</v>
      </c>
      <c r="E46" s="1" t="s">
        <v>852</v>
      </c>
    </row>
    <row r="47" spans="1:5" ht="13.2">
      <c r="A47" s="1" t="str">
        <f t="array" ref="A47">IF(B47="", "", IFERROR(INDEX(声優一覧!A:A, MATCH(B47, 声優一覧!B:B, 0)), "該当なし"))</f>
        <v>va_066</v>
      </c>
      <c r="B47" s="1" t="s">
        <v>354</v>
      </c>
      <c r="C47" s="1" t="s">
        <v>184</v>
      </c>
      <c r="D47" s="1" t="str">
        <f>IF(C47="", "", IFERROR(VLOOKUP(C47, 作品一覧!A:B, 2, FALSE), "該当なし"))</f>
        <v>刀剣乱舞</v>
      </c>
      <c r="E47" s="1" t="s">
        <v>857</v>
      </c>
    </row>
    <row r="48" spans="1:5" ht="13.2">
      <c r="A48" s="1" t="str">
        <f t="array" ref="A48">IF(B48="", "", IFERROR(INDEX(声優一覧!A:A, MATCH(B48, 声優一覧!B:B, 0)), "該当なし"))</f>
        <v>va_151</v>
      </c>
      <c r="B48" s="1" t="s">
        <v>534</v>
      </c>
      <c r="C48" s="1" t="s">
        <v>184</v>
      </c>
      <c r="D48" s="1" t="str">
        <f>IF(C48="", "", IFERROR(VLOOKUP(C48, 作品一覧!A:B, 2, FALSE), "該当なし"))</f>
        <v>刀剣乱舞</v>
      </c>
      <c r="E48" s="1" t="s">
        <v>865</v>
      </c>
    </row>
    <row r="49" spans="1:5" ht="13.2">
      <c r="A49" s="1" t="str">
        <f t="array" ref="A49">IF(B49="", "", IFERROR(INDEX(声優一覧!A:A, MATCH(B49, 声優一覧!B:B, 0)), "該当なし"))</f>
        <v>va_169</v>
      </c>
      <c r="B49" s="1" t="s">
        <v>574</v>
      </c>
      <c r="C49" s="1" t="s">
        <v>184</v>
      </c>
      <c r="D49" s="1" t="str">
        <f>IF(C49="", "", IFERROR(VLOOKUP(C49, 作品一覧!A:B, 2, FALSE), "該当なし"))</f>
        <v>刀剣乱舞</v>
      </c>
      <c r="E49" s="1" t="s">
        <v>867</v>
      </c>
    </row>
    <row r="50" spans="1:5" ht="13.2">
      <c r="A50" s="1" t="str">
        <f t="array" ref="A50">IF(B50="", "", IFERROR(INDEX(声優一覧!A:A, MATCH(B50, 声優一覧!B:B, 0)), "該当なし"))</f>
        <v>va_089</v>
      </c>
      <c r="B50" s="1" t="s">
        <v>402</v>
      </c>
      <c r="C50" s="1" t="s">
        <v>184</v>
      </c>
      <c r="D50" s="1" t="str">
        <f>IF(C50="", "", IFERROR(VLOOKUP(C50, 作品一覧!A:B, 2, FALSE), "該当なし"))</f>
        <v>刀剣乱舞</v>
      </c>
      <c r="E50" s="1" t="s">
        <v>868</v>
      </c>
    </row>
    <row r="51" spans="1:5" ht="13.2">
      <c r="A51" s="1" t="str">
        <f t="array" ref="A51">IF(B51="", "", IFERROR(INDEX(声優一覧!A:A, MATCH(B51, 声優一覧!B:B, 0)), "該当なし"))</f>
        <v>va_036</v>
      </c>
      <c r="B51" s="1" t="s">
        <v>297</v>
      </c>
      <c r="C51" s="1" t="s">
        <v>184</v>
      </c>
      <c r="D51" s="1" t="str">
        <f>IF(C51="", "", IFERROR(VLOOKUP(C51, 作品一覧!A:B, 2, FALSE), "該当なし"))</f>
        <v>刀剣乱舞</v>
      </c>
      <c r="E51" s="1" t="s">
        <v>869</v>
      </c>
    </row>
    <row r="52" spans="1:5" ht="13.2">
      <c r="A52" s="1" t="str">
        <f t="array" ref="A52">IF(B52="", "", IFERROR(INDEX(声優一覧!A:A, MATCH(B52, 声優一覧!B:B, 0)), "該当なし"))</f>
        <v>va_044</v>
      </c>
      <c r="B52" s="1" t="s">
        <v>313</v>
      </c>
      <c r="C52" s="1" t="s">
        <v>184</v>
      </c>
      <c r="D52" s="1" t="str">
        <f>IF(C52="", "", IFERROR(VLOOKUP(C52, 作品一覧!A:B, 2, FALSE), "該当なし"))</f>
        <v>刀剣乱舞</v>
      </c>
      <c r="E52" s="1" t="s">
        <v>870</v>
      </c>
    </row>
    <row r="53" spans="1:5" ht="13.2">
      <c r="A53" s="1" t="str">
        <f t="array" ref="A53">IF(B53="", "", IFERROR(INDEX(声優一覧!A:A, MATCH(B53, 声優一覧!B:B, 0)), "該当なし"))</f>
        <v>va_159</v>
      </c>
      <c r="B53" s="1" t="s">
        <v>552</v>
      </c>
      <c r="C53" s="1" t="s">
        <v>184</v>
      </c>
      <c r="D53" s="1" t="str">
        <f>IF(C53="", "", IFERROR(VLOOKUP(C53, 作品一覧!A:B, 2, FALSE), "該当なし"))</f>
        <v>刀剣乱舞</v>
      </c>
      <c r="E53" s="1" t="s">
        <v>871</v>
      </c>
    </row>
    <row r="54" spans="1:5" ht="13.2">
      <c r="A54" s="1" t="str">
        <f t="array" ref="A54">IF(B54="", "", IFERROR(INDEX(声優一覧!A:A, MATCH(B54, 声優一覧!B:B, 0)), "該当なし"))</f>
        <v>va_201</v>
      </c>
      <c r="B54" s="1" t="s">
        <v>635</v>
      </c>
      <c r="C54" s="1" t="s">
        <v>184</v>
      </c>
      <c r="D54" s="1" t="str">
        <f>IF(C54="", "", IFERROR(VLOOKUP(C54, 作品一覧!A:B, 2, FALSE), "該当なし"))</f>
        <v>刀剣乱舞</v>
      </c>
      <c r="E54" s="1" t="s">
        <v>872</v>
      </c>
    </row>
    <row r="55" spans="1:5" ht="13.2">
      <c r="A55" s="1" t="str">
        <f t="array" ref="A55">IF(B55="", "", IFERROR(INDEX(声優一覧!A:A, MATCH(B55, 声優一覧!B:B, 0)), "該当なし"))</f>
        <v>va_150</v>
      </c>
      <c r="B55" s="1" t="s">
        <v>532</v>
      </c>
      <c r="C55" s="1" t="s">
        <v>184</v>
      </c>
      <c r="D55" s="1" t="str">
        <f>IF(C55="", "", IFERROR(VLOOKUP(C55, 作品一覧!A:B, 2, FALSE), "該当なし"))</f>
        <v>刀剣乱舞</v>
      </c>
      <c r="E55" s="1" t="s">
        <v>873</v>
      </c>
    </row>
    <row r="56" spans="1:5" ht="13.2">
      <c r="A56" s="1" t="str">
        <f t="array" ref="A56">IF(B56="", "", IFERROR(INDEX(声優一覧!A:A, MATCH(B56, 声優一覧!B:B, 0)), "該当なし"))</f>
        <v>va_042</v>
      </c>
      <c r="B56" s="1" t="s">
        <v>309</v>
      </c>
      <c r="C56" s="1" t="s">
        <v>184</v>
      </c>
      <c r="D56" s="1" t="str">
        <f>IF(C56="", "", IFERROR(VLOOKUP(C56, 作品一覧!A:B, 2, FALSE), "該当なし"))</f>
        <v>刀剣乱舞</v>
      </c>
      <c r="E56" s="1" t="s">
        <v>874</v>
      </c>
    </row>
    <row r="57" spans="1:5" ht="13.2">
      <c r="A57" s="1" t="str">
        <f t="array" ref="A57">IF(B57="", "", IFERROR(INDEX(声優一覧!A:A, MATCH(B57, 声優一覧!B:B, 0)), "該当なし"))</f>
        <v>va_161</v>
      </c>
      <c r="B57" s="1" t="s">
        <v>557</v>
      </c>
      <c r="C57" s="1" t="s">
        <v>184</v>
      </c>
      <c r="D57" s="1" t="str">
        <f>IF(C57="", "", IFERROR(VLOOKUP(C57, 作品一覧!A:B, 2, FALSE), "該当なし"))</f>
        <v>刀剣乱舞</v>
      </c>
      <c r="E57" s="1" t="s">
        <v>875</v>
      </c>
    </row>
    <row r="58" spans="1:5" ht="13.2">
      <c r="A58" s="1" t="str">
        <f t="array" ref="A58">IF(B58="", "", IFERROR(INDEX(声優一覧!A:A, MATCH(B58, 声優一覧!B:B, 0)), "該当なし"))</f>
        <v>va_201</v>
      </c>
      <c r="B58" s="1" t="s">
        <v>635</v>
      </c>
      <c r="C58" s="1" t="s">
        <v>184</v>
      </c>
      <c r="D58" s="1" t="str">
        <f>IF(C58="", "", IFERROR(VLOOKUP(C58, 作品一覧!A:B, 2, FALSE), "該当なし"))</f>
        <v>刀剣乱舞</v>
      </c>
      <c r="E58" s="1" t="s">
        <v>876</v>
      </c>
    </row>
    <row r="59" spans="1:5" ht="13.2">
      <c r="A59" s="1" t="str">
        <f t="array" ref="A59">IF(B59="", "", IFERROR(INDEX(声優一覧!A:A, MATCH(B59, 声優一覧!B:B, 0)), "該当なし"))</f>
        <v>va_088</v>
      </c>
      <c r="B59" s="1" t="s">
        <v>400</v>
      </c>
      <c r="C59" s="1" t="s">
        <v>184</v>
      </c>
      <c r="D59" s="1" t="str">
        <f>IF(C59="", "", IFERROR(VLOOKUP(C59, 作品一覧!A:B, 2, FALSE), "該当なし"))</f>
        <v>刀剣乱舞</v>
      </c>
      <c r="E59" s="1" t="s">
        <v>877</v>
      </c>
    </row>
    <row r="60" spans="1:5" ht="13.2">
      <c r="A60" s="1" t="str">
        <f t="array" ref="A60">IF(B60="", "", IFERROR(INDEX(声優一覧!A:A, MATCH(B60, 声優一覧!B:B, 0)), "該当なし"))</f>
        <v>va_037</v>
      </c>
      <c r="B60" s="1" t="s">
        <v>299</v>
      </c>
      <c r="C60" s="1" t="s">
        <v>184</v>
      </c>
      <c r="D60" s="1" t="str">
        <f>IF(C60="", "", IFERROR(VLOOKUP(C60, 作品一覧!A:B, 2, FALSE), "該当なし"))</f>
        <v>刀剣乱舞</v>
      </c>
      <c r="E60" s="1" t="s">
        <v>878</v>
      </c>
    </row>
    <row r="61" spans="1:5" ht="13.2">
      <c r="A61" s="1" t="str">
        <f t="array" ref="A61">IF(B61="", "", IFERROR(INDEX(声優一覧!A:A, MATCH(B61, 声優一覧!B:B, 0)), "該当なし"))</f>
        <v>va_089</v>
      </c>
      <c r="B61" s="1" t="s">
        <v>402</v>
      </c>
      <c r="C61" s="1" t="s">
        <v>184</v>
      </c>
      <c r="D61" s="1" t="str">
        <f>IF(C61="", "", IFERROR(VLOOKUP(C61, 作品一覧!A:B, 2, FALSE), "該当なし"))</f>
        <v>刀剣乱舞</v>
      </c>
      <c r="E61" s="1" t="s">
        <v>879</v>
      </c>
    </row>
    <row r="62" spans="1:5" ht="13.2">
      <c r="A62" s="1" t="str">
        <f t="array" ref="A62">IF(B62="", "", IFERROR(INDEX(声優一覧!A:A, MATCH(B62, 声優一覧!B:B, 0)), "該当なし"))</f>
        <v>va_083</v>
      </c>
      <c r="B62" s="1" t="s">
        <v>388</v>
      </c>
      <c r="C62" s="1" t="s">
        <v>184</v>
      </c>
      <c r="D62" s="1" t="str">
        <f>IF(C62="", "", IFERROR(VLOOKUP(C62, 作品一覧!A:B, 2, FALSE), "該当なし"))</f>
        <v>刀剣乱舞</v>
      </c>
      <c r="E62" s="1" t="s">
        <v>880</v>
      </c>
    </row>
    <row r="63" spans="1:5" ht="13.2">
      <c r="A63" s="1" t="str">
        <f t="array" ref="A63">IF(B63="", "", IFERROR(INDEX(声優一覧!A:A, MATCH(B63, 声優一覧!B:B, 0)), "該当なし"))</f>
        <v>va_118</v>
      </c>
      <c r="B63" s="1" t="s">
        <v>464</v>
      </c>
      <c r="C63" s="1" t="s">
        <v>184</v>
      </c>
      <c r="D63" s="1" t="str">
        <f>IF(C63="", "", IFERROR(VLOOKUP(C63, 作品一覧!A:B, 2, FALSE), "該当なし"))</f>
        <v>刀剣乱舞</v>
      </c>
      <c r="E63" s="1" t="s">
        <v>881</v>
      </c>
    </row>
    <row r="64" spans="1:5" ht="13.2">
      <c r="A64" s="1" t="str">
        <f t="array" ref="A64">IF(B64="", "", IFERROR(INDEX(声優一覧!A:A, MATCH(B64, 声優一覧!B:B, 0)), "該当なし"))</f>
        <v>va_181</v>
      </c>
      <c r="B64" s="1" t="s">
        <v>459</v>
      </c>
      <c r="C64" s="1" t="s">
        <v>184</v>
      </c>
      <c r="D64" s="1" t="str">
        <f>IF(C64="", "", IFERROR(VLOOKUP(C64, 作品一覧!A:B, 2, FALSE), "該当なし"))</f>
        <v>刀剣乱舞</v>
      </c>
      <c r="E64" s="1" t="s">
        <v>882</v>
      </c>
    </row>
    <row r="65" spans="1:5" ht="13.2">
      <c r="A65" s="1" t="str">
        <f t="array" ref="A65">IF(B65="", "", IFERROR(INDEX(声優一覧!A:A, MATCH(B65, 声優一覧!B:B, 0)), "該当なし"))</f>
        <v>va_120</v>
      </c>
      <c r="B65" s="1" t="s">
        <v>469</v>
      </c>
      <c r="C65" s="1" t="s">
        <v>184</v>
      </c>
      <c r="D65" s="1" t="str">
        <f>IF(C65="", "", IFERROR(VLOOKUP(C65, 作品一覧!A:B, 2, FALSE), "該当なし"))</f>
        <v>刀剣乱舞</v>
      </c>
      <c r="E65" s="1" t="s">
        <v>883</v>
      </c>
    </row>
    <row r="66" spans="1:5" ht="13.2">
      <c r="A66" s="1" t="str">
        <f t="array" ref="A66">IF(B66="", "", IFERROR(INDEX(声優一覧!A:A, MATCH(B66, 声優一覧!B:B, 0)), "該当なし"))</f>
        <v>va_152</v>
      </c>
      <c r="B66" s="1" t="s">
        <v>536</v>
      </c>
      <c r="C66" s="1" t="s">
        <v>184</v>
      </c>
      <c r="D66" s="1" t="str">
        <f>IF(C66="", "", IFERROR(VLOOKUP(C66, 作品一覧!A:B, 2, FALSE), "該当なし"))</f>
        <v>刀剣乱舞</v>
      </c>
      <c r="E66" s="1" t="s">
        <v>884</v>
      </c>
    </row>
    <row r="67" spans="1:5" ht="13.2">
      <c r="A67" s="1" t="str">
        <f t="array" ref="A67">IF(B67="", "", IFERROR(INDEX(声優一覧!A:A, MATCH(B67, 声優一覧!B:B, 0)), "該当なし"))</f>
        <v>va_144</v>
      </c>
      <c r="B67" s="1" t="s">
        <v>518</v>
      </c>
      <c r="C67" s="1" t="s">
        <v>184</v>
      </c>
      <c r="D67" s="1" t="str">
        <f>IF(C67="", "", IFERROR(VLOOKUP(C67, 作品一覧!A:B, 2, FALSE), "該当なし"))</f>
        <v>刀剣乱舞</v>
      </c>
      <c r="E67" s="1" t="s">
        <v>885</v>
      </c>
    </row>
    <row r="68" spans="1:5" ht="13.2">
      <c r="A68" s="1" t="str">
        <f t="array" ref="A68">IF(B68="", "", IFERROR(INDEX(声優一覧!A:A, MATCH(B68, 声優一覧!B:B, 0)), "該当なし"))</f>
        <v>va_003</v>
      </c>
      <c r="B68" s="1" t="s">
        <v>88</v>
      </c>
      <c r="C68" s="1" t="s">
        <v>184</v>
      </c>
      <c r="D68" s="1" t="str">
        <f>IF(C68="", "", IFERROR(VLOOKUP(C68, 作品一覧!A:B, 2, FALSE), "該当なし"))</f>
        <v>刀剣乱舞</v>
      </c>
      <c r="E68" s="1" t="s">
        <v>886</v>
      </c>
    </row>
    <row r="69" spans="1:5" ht="13.2">
      <c r="A69" s="1" t="str">
        <f t="array" ref="A69">IF(B69="", "", IFERROR(INDEX(声優一覧!A:A, MATCH(B69, 声優一覧!B:B, 0)), "該当なし"))</f>
        <v>va_105</v>
      </c>
      <c r="B69" s="1" t="s">
        <v>437</v>
      </c>
      <c r="C69" s="1" t="s">
        <v>184</v>
      </c>
      <c r="D69" s="1" t="str">
        <f>IF(C69="", "", IFERROR(VLOOKUP(C69, 作品一覧!A:B, 2, FALSE), "該当なし"))</f>
        <v>刀剣乱舞</v>
      </c>
      <c r="E69" s="1" t="s">
        <v>887</v>
      </c>
    </row>
    <row r="70" spans="1:5" ht="13.2">
      <c r="A70" s="1" t="str">
        <f t="array" ref="A70">IF(B70="", "", IFERROR(INDEX(声優一覧!A:A, MATCH(B70, 声優一覧!B:B, 0)), "該当なし"))</f>
        <v>va_198</v>
      </c>
      <c r="B70" s="1" t="s">
        <v>629</v>
      </c>
      <c r="C70" s="1" t="s">
        <v>184</v>
      </c>
      <c r="D70" s="1" t="str">
        <f>IF(C70="", "", IFERROR(VLOOKUP(C70, 作品一覧!A:B, 2, FALSE), "該当なし"))</f>
        <v>刀剣乱舞</v>
      </c>
      <c r="E70" s="1" t="s">
        <v>888</v>
      </c>
    </row>
    <row r="71" spans="1:5" ht="13.2">
      <c r="A71" s="1" t="str">
        <f t="array" ref="A71">IF(B71="", "", IFERROR(INDEX(声優一覧!A:A, MATCH(B71, 声優一覧!B:B, 0)), "該当なし"))</f>
        <v>va_051</v>
      </c>
      <c r="B71" s="1" t="s">
        <v>326</v>
      </c>
      <c r="C71" s="1" t="s">
        <v>184</v>
      </c>
      <c r="D71" s="1" t="str">
        <f>IF(C71="", "", IFERROR(VLOOKUP(C71, 作品一覧!A:B, 2, FALSE), "該当なし"))</f>
        <v>刀剣乱舞</v>
      </c>
      <c r="E71" s="1" t="s">
        <v>889</v>
      </c>
    </row>
    <row r="72" spans="1:5" ht="13.2">
      <c r="A72" s="1" t="str">
        <f t="array" ref="A72">IF(B72="", "", IFERROR(INDEX(声優一覧!A:A, MATCH(B72, 声優一覧!B:B, 0)), "該当なし"))</f>
        <v>va_168</v>
      </c>
      <c r="B72" s="1" t="s">
        <v>571</v>
      </c>
      <c r="C72" s="1" t="s">
        <v>184</v>
      </c>
      <c r="D72" s="1" t="str">
        <f>IF(C72="", "", IFERROR(VLOOKUP(C72, 作品一覧!A:B, 2, FALSE), "該当なし"))</f>
        <v>刀剣乱舞</v>
      </c>
      <c r="E72" s="1" t="s">
        <v>890</v>
      </c>
    </row>
    <row r="73" spans="1:5" ht="13.2">
      <c r="A73" s="1" t="str">
        <f t="array" ref="A73">IF(B73="", "", IFERROR(INDEX(声優一覧!A:A, MATCH(B73, 声優一覧!B:B, 0)), "該当なし"))</f>
        <v>va_053</v>
      </c>
      <c r="B73" s="1" t="s">
        <v>330</v>
      </c>
      <c r="C73" s="1" t="s">
        <v>184</v>
      </c>
      <c r="D73" s="1" t="str">
        <f>IF(C73="", "", IFERROR(VLOOKUP(C73, 作品一覧!A:B, 2, FALSE), "該当なし"))</f>
        <v>刀剣乱舞</v>
      </c>
      <c r="E73" s="1" t="s">
        <v>891</v>
      </c>
    </row>
    <row r="74" spans="1:5" ht="13.2">
      <c r="A74" s="1" t="str">
        <f t="array" ref="A74">IF(B74="", "", IFERROR(INDEX(声優一覧!A:A, MATCH(B74, 声優一覧!B:B, 0)), "該当なし"))</f>
        <v>va_058</v>
      </c>
      <c r="B74" s="1" t="s">
        <v>340</v>
      </c>
      <c r="C74" s="1" t="s">
        <v>184</v>
      </c>
      <c r="D74" s="1" t="str">
        <f>IF(C74="", "", IFERROR(VLOOKUP(C74, 作品一覧!A:B, 2, FALSE), "該当なし"))</f>
        <v>刀剣乱舞</v>
      </c>
      <c r="E74" s="1" t="s">
        <v>892</v>
      </c>
    </row>
    <row r="75" spans="1:5" ht="13.2">
      <c r="A75" s="1" t="str">
        <f t="array" ref="A75">IF(B75="", "", IFERROR(INDEX(声優一覧!A:A, MATCH(B75, 声優一覧!B:B, 0)), "該当なし"))</f>
        <v>va_108</v>
      </c>
      <c r="B75" s="1" t="s">
        <v>442</v>
      </c>
      <c r="C75" s="1" t="s">
        <v>184</v>
      </c>
      <c r="D75" s="1" t="str">
        <f>IF(C75="", "", IFERROR(VLOOKUP(C75, 作品一覧!A:B, 2, FALSE), "該当なし"))</f>
        <v>刀剣乱舞</v>
      </c>
      <c r="E75" s="1" t="s">
        <v>893</v>
      </c>
    </row>
    <row r="76" spans="1:5" ht="13.2">
      <c r="A76" s="1" t="str">
        <f t="array" ref="A76">IF(B76="", "", IFERROR(INDEX(声優一覧!A:A, MATCH(B76, 声優一覧!B:B, 0)), "該当なし"))</f>
        <v>va_155</v>
      </c>
      <c r="B76" s="1" t="s">
        <v>543</v>
      </c>
      <c r="C76" s="1" t="s">
        <v>184</v>
      </c>
      <c r="D76" s="1" t="str">
        <f>IF(C76="", "", IFERROR(VLOOKUP(C76, 作品一覧!A:B, 2, FALSE), "該当なし"))</f>
        <v>刀剣乱舞</v>
      </c>
      <c r="E76" s="1" t="s">
        <v>894</v>
      </c>
    </row>
    <row r="77" spans="1:5" ht="13.2">
      <c r="A77" s="1" t="str">
        <f t="array" ref="A77">IF(B77="", "", IFERROR(INDEX(声優一覧!A:A, MATCH(B77, 声優一覧!B:B, 0)), "該当なし"))</f>
        <v>va_188</v>
      </c>
      <c r="B77" s="1" t="s">
        <v>609</v>
      </c>
      <c r="C77" s="1" t="s">
        <v>184</v>
      </c>
      <c r="D77" s="1" t="str">
        <f>IF(C77="", "", IFERROR(VLOOKUP(C77, 作品一覧!A:B, 2, FALSE), "該当なし"))</f>
        <v>刀剣乱舞</v>
      </c>
      <c r="E77" s="1" t="s">
        <v>895</v>
      </c>
    </row>
    <row r="78" spans="1:5" ht="13.2">
      <c r="A78" s="1" t="str">
        <f t="array" ref="A78">IF(B78="", "", IFERROR(INDEX(声優一覧!A:A, MATCH(B78, 声優一覧!B:B, 0)), "該当なし"))</f>
        <v>va_019</v>
      </c>
      <c r="B78" s="1" t="s">
        <v>187</v>
      </c>
      <c r="C78" s="1" t="s">
        <v>184</v>
      </c>
      <c r="D78" s="1" t="str">
        <f>IF(C78="", "", IFERROR(VLOOKUP(C78, 作品一覧!A:B, 2, FALSE), "該当なし"))</f>
        <v>刀剣乱舞</v>
      </c>
      <c r="E78" s="1" t="s">
        <v>896</v>
      </c>
    </row>
    <row r="79" spans="1:5" ht="13.2">
      <c r="A79" s="1" t="str">
        <f t="array" ref="A79">IF(B79="", "", IFERROR(INDEX(声優一覧!A:A, MATCH(B79, 声優一覧!B:B, 0)), "該当なし"))</f>
        <v>va_129</v>
      </c>
      <c r="B79" s="1" t="s">
        <v>489</v>
      </c>
      <c r="C79" s="1" t="s">
        <v>184</v>
      </c>
      <c r="D79" s="1" t="str">
        <f>IF(C79="", "", IFERROR(VLOOKUP(C79, 作品一覧!A:B, 2, FALSE), "該当なし"))</f>
        <v>刀剣乱舞</v>
      </c>
      <c r="E79" s="1" t="s">
        <v>897</v>
      </c>
    </row>
    <row r="80" spans="1:5" ht="13.2">
      <c r="A80" s="1" t="str">
        <f t="array" ref="A80">IF(B80="", "", IFERROR(INDEX(声優一覧!A:A, MATCH(B80, 声優一覧!B:B, 0)), "該当なし"))</f>
        <v>va_035</v>
      </c>
      <c r="B80" s="1" t="s">
        <v>295</v>
      </c>
      <c r="C80" s="1" t="s">
        <v>184</v>
      </c>
      <c r="D80" s="1" t="str">
        <f>IF(C80="", "", IFERROR(VLOOKUP(C80, 作品一覧!A:B, 2, FALSE), "該当なし"))</f>
        <v>刀剣乱舞</v>
      </c>
      <c r="E80" s="1" t="s">
        <v>898</v>
      </c>
    </row>
    <row r="81" spans="1:5" ht="13.2">
      <c r="A81" s="1" t="str">
        <f t="array" ref="A81">IF(B81="", "", IFERROR(INDEX(声優一覧!A:A, MATCH(B81, 声優一覧!B:B, 0)), "該当なし"))</f>
        <v>va_112</v>
      </c>
      <c r="B81" s="1" t="s">
        <v>451</v>
      </c>
      <c r="C81" s="1" t="s">
        <v>184</v>
      </c>
      <c r="D81" s="1" t="str">
        <f>IF(C81="", "", IFERROR(VLOOKUP(C81, 作品一覧!A:B, 2, FALSE), "該当なし"))</f>
        <v>刀剣乱舞</v>
      </c>
      <c r="E81" s="1" t="s">
        <v>899</v>
      </c>
    </row>
    <row r="82" spans="1:5" ht="13.2">
      <c r="A82" s="1" t="str">
        <f t="array" ref="A82">IF(B82="", "", IFERROR(INDEX(声優一覧!A:A, MATCH(B82, 声優一覧!B:B, 0)), "該当なし"))</f>
        <v>va_045</v>
      </c>
      <c r="B82" s="1" t="s">
        <v>315</v>
      </c>
      <c r="C82" s="1" t="s">
        <v>184</v>
      </c>
      <c r="D82" s="1" t="str">
        <f>IF(C82="", "", IFERROR(VLOOKUP(C82, 作品一覧!A:B, 2, FALSE), "該当なし"))</f>
        <v>刀剣乱舞</v>
      </c>
      <c r="E82" s="1" t="s">
        <v>900</v>
      </c>
    </row>
    <row r="83" spans="1:5" ht="13.2">
      <c r="A83" s="1" t="str">
        <f t="array" ref="A83">IF(B83="", "", IFERROR(INDEX(声優一覧!A:A, MATCH(B83, 声優一覧!B:B, 0)), "該当なし"))</f>
        <v>va_056</v>
      </c>
      <c r="B83" s="1" t="s">
        <v>336</v>
      </c>
      <c r="C83" s="1" t="s">
        <v>184</v>
      </c>
      <c r="D83" s="1" t="str">
        <f>IF(C83="", "", IFERROR(VLOOKUP(C83, 作品一覧!A:B, 2, FALSE), "該当なし"))</f>
        <v>刀剣乱舞</v>
      </c>
      <c r="E83" s="1" t="s">
        <v>901</v>
      </c>
    </row>
    <row r="84" spans="1:5" ht="13.2">
      <c r="A84" s="1" t="str">
        <f t="array" ref="A84">IF(B84="", "", IFERROR(INDEX(声優一覧!A:A, MATCH(B84, 声優一覧!B:B, 0)), "該当なし"))</f>
        <v>va_158</v>
      </c>
      <c r="B84" s="1" t="s">
        <v>550</v>
      </c>
      <c r="C84" s="1" t="s">
        <v>184</v>
      </c>
      <c r="D84" s="1" t="str">
        <f>IF(C84="", "", IFERROR(VLOOKUP(C84, 作品一覧!A:B, 2, FALSE), "該当なし"))</f>
        <v>刀剣乱舞</v>
      </c>
      <c r="E84" s="1" t="s">
        <v>902</v>
      </c>
    </row>
    <row r="85" spans="1:5" ht="13.2">
      <c r="A85" s="1" t="str">
        <f t="array" ref="A85">IF(B85="", "", IFERROR(INDEX(声優一覧!A:A, MATCH(B85, 声優一覧!B:B, 0)), "該当なし"))</f>
        <v>va_006</v>
      </c>
      <c r="B85" s="1" t="s">
        <v>117</v>
      </c>
      <c r="C85" s="1" t="s">
        <v>184</v>
      </c>
      <c r="D85" s="1" t="str">
        <f>IF(C85="", "", IFERROR(VLOOKUP(C85, 作品一覧!A:B, 2, FALSE), "該当なし"))</f>
        <v>刀剣乱舞</v>
      </c>
      <c r="E85" s="1" t="s">
        <v>903</v>
      </c>
    </row>
    <row r="86" spans="1:5" ht="13.2">
      <c r="A86" s="1" t="str">
        <f t="array" ref="A86">IF(B86="", "", IFERROR(INDEX(声優一覧!A:A, MATCH(B86, 声優一覧!B:B, 0)), "該当なし"))</f>
        <v>va_002</v>
      </c>
      <c r="B86" s="1" t="s">
        <v>75</v>
      </c>
      <c r="C86" s="1" t="s">
        <v>184</v>
      </c>
      <c r="D86" s="1" t="str">
        <f>IF(C86="", "", IFERROR(VLOOKUP(C86, 作品一覧!A:B, 2, FALSE), "該当なし"))</f>
        <v>刀剣乱舞</v>
      </c>
      <c r="E86" s="1" t="s">
        <v>904</v>
      </c>
    </row>
    <row r="87" spans="1:5" ht="13.2">
      <c r="A87" s="1" t="str">
        <f t="array" ref="A87">IF(B87="", "", IFERROR(INDEX(声優一覧!A:A, MATCH(B87, 声優一覧!B:B, 0)), "該当なし"))</f>
        <v>va_143</v>
      </c>
      <c r="B87" s="1" t="s">
        <v>516</v>
      </c>
      <c r="C87" s="1" t="s">
        <v>184</v>
      </c>
      <c r="D87" s="1" t="str">
        <f>IF(C87="", "", IFERROR(VLOOKUP(C87, 作品一覧!A:B, 2, FALSE), "該当なし"))</f>
        <v>刀剣乱舞</v>
      </c>
      <c r="E87" s="1" t="s">
        <v>905</v>
      </c>
    </row>
    <row r="88" spans="1:5" ht="13.2">
      <c r="A88" s="1" t="str">
        <f t="array" ref="A88">IF(B88="", "", IFERROR(INDEX(声優一覧!A:A, MATCH(B88, 声優一覧!B:B, 0)), "該当なし"))</f>
        <v>va_076</v>
      </c>
      <c r="B88" s="1" t="s">
        <v>375</v>
      </c>
      <c r="C88" s="1" t="s">
        <v>184</v>
      </c>
      <c r="D88" s="1" t="str">
        <f>IF(C88="", "", IFERROR(VLOOKUP(C88, 作品一覧!A:B, 2, FALSE), "該当なし"))</f>
        <v>刀剣乱舞</v>
      </c>
      <c r="E88" s="1" t="s">
        <v>906</v>
      </c>
    </row>
    <row r="89" spans="1:5" ht="13.2">
      <c r="A89" s="1" t="str">
        <f t="array" ref="A89">IF(B89="", "", IFERROR(INDEX(声優一覧!A:A, MATCH(B89, 声優一覧!B:B, 0)), "該当なし"))</f>
        <v>va_069</v>
      </c>
      <c r="B89" s="1" t="s">
        <v>360</v>
      </c>
      <c r="C89" s="1" t="s">
        <v>184</v>
      </c>
      <c r="D89" s="1" t="str">
        <f>IF(C89="", "", IFERROR(VLOOKUP(C89, 作品一覧!A:B, 2, FALSE), "該当なし"))</f>
        <v>刀剣乱舞</v>
      </c>
      <c r="E89" s="1" t="s">
        <v>907</v>
      </c>
    </row>
    <row r="90" spans="1:5" ht="13.2">
      <c r="A90" s="1" t="str">
        <f t="array" ref="A90">IF(B90="", "", IFERROR(INDEX(声優一覧!A:A, MATCH(B90, 声優一覧!B:B, 0)), "該当なし"))</f>
        <v>va_028</v>
      </c>
      <c r="B90" s="1" t="s">
        <v>260</v>
      </c>
      <c r="C90" s="1" t="s">
        <v>184</v>
      </c>
      <c r="D90" s="1" t="str">
        <f>IF(C90="", "", IFERROR(VLOOKUP(C90, 作品一覧!A:B, 2, FALSE), "該当なし"))</f>
        <v>刀剣乱舞</v>
      </c>
      <c r="E90" s="1" t="s">
        <v>908</v>
      </c>
    </row>
    <row r="91" spans="1:5" ht="13.2">
      <c r="A91" s="1" t="str">
        <f t="array" ref="A91">IF(B91="", "", IFERROR(INDEX(声優一覧!A:A, MATCH(B91, 声優一覧!B:B, 0)), "該当なし"))</f>
        <v>va_135</v>
      </c>
      <c r="B91" s="1" t="s">
        <v>502</v>
      </c>
      <c r="C91" s="1" t="s">
        <v>184</v>
      </c>
      <c r="D91" s="1" t="str">
        <f>IF(C91="", "", IFERROR(VLOOKUP(C91, 作品一覧!A:B, 2, FALSE), "該当なし"))</f>
        <v>刀剣乱舞</v>
      </c>
      <c r="E91" s="1" t="s">
        <v>909</v>
      </c>
    </row>
    <row r="92" spans="1:5" ht="13.2">
      <c r="A92" s="1" t="str">
        <f t="array" ref="A92">IF(B92="", "", IFERROR(INDEX(声優一覧!A:A, MATCH(B92, 声優一覧!B:B, 0)), "該当なし"))</f>
        <v>va_040</v>
      </c>
      <c r="B92" s="1" t="s">
        <v>305</v>
      </c>
      <c r="C92" s="1" t="s">
        <v>184</v>
      </c>
      <c r="D92" s="1" t="str">
        <f>IF(C92="", "", IFERROR(VLOOKUP(C92, 作品一覧!A:B, 2, FALSE), "該当なし"))</f>
        <v>刀剣乱舞</v>
      </c>
      <c r="E92" s="1" t="s">
        <v>910</v>
      </c>
    </row>
    <row r="93" spans="1:5" ht="13.2">
      <c r="A93" s="1" t="str">
        <f t="array" ref="A93">IF(B93="", "", IFERROR(INDEX(声優一覧!A:A, MATCH(B93, 声優一覧!B:B, 0)), "該当なし"))</f>
        <v>va_087</v>
      </c>
      <c r="B93" s="1" t="s">
        <v>398</v>
      </c>
      <c r="C93" s="1" t="s">
        <v>184</v>
      </c>
      <c r="D93" s="1" t="str">
        <f>IF(C93="", "", IFERROR(VLOOKUP(C93, 作品一覧!A:B, 2, FALSE), "該当なし"))</f>
        <v>刀剣乱舞</v>
      </c>
      <c r="E93" s="1" t="s">
        <v>911</v>
      </c>
    </row>
    <row r="94" spans="1:5" ht="13.2">
      <c r="A94" s="1" t="str">
        <f t="array" ref="A94">IF(B94="", "", IFERROR(INDEX(声優一覧!A:A, MATCH(B94, 声優一覧!B:B, 0)), "該当なし"))</f>
        <v>va_052</v>
      </c>
      <c r="B94" s="1" t="s">
        <v>328</v>
      </c>
      <c r="C94" s="1" t="s">
        <v>184</v>
      </c>
      <c r="D94" s="1" t="str">
        <f>IF(C94="", "", IFERROR(VLOOKUP(C94, 作品一覧!A:B, 2, FALSE), "該当なし"))</f>
        <v>刀剣乱舞</v>
      </c>
      <c r="E94" s="1" t="s">
        <v>912</v>
      </c>
    </row>
    <row r="95" spans="1:5" ht="13.2">
      <c r="A95" s="1" t="str">
        <f t="array" ref="A95">IF(B95="", "", IFERROR(INDEX(声優一覧!A:A, MATCH(B95, 声優一覧!B:B, 0)), "該当なし"))</f>
        <v>va_095</v>
      </c>
      <c r="B95" s="1" t="s">
        <v>415</v>
      </c>
      <c r="C95" s="1" t="s">
        <v>184</v>
      </c>
      <c r="D95" s="1" t="str">
        <f>IF(C95="", "", IFERROR(VLOOKUP(C95, 作品一覧!A:B, 2, FALSE), "該当なし"))</f>
        <v>刀剣乱舞</v>
      </c>
      <c r="E95" s="1" t="s">
        <v>913</v>
      </c>
    </row>
    <row r="96" spans="1:5" ht="13.2">
      <c r="A96" s="1" t="str">
        <f t="array" ref="A96">IF(B96="", "", IFERROR(INDEX(声優一覧!A:A, MATCH(B96, 声優一覧!B:B, 0)), "該当なし"))</f>
        <v>va_057</v>
      </c>
      <c r="B96" s="1" t="s">
        <v>338</v>
      </c>
      <c r="C96" s="1" t="s">
        <v>184</v>
      </c>
      <c r="D96" s="1" t="str">
        <f>IF(C96="", "", IFERROR(VLOOKUP(C96, 作品一覧!A:B, 2, FALSE), "該当なし"))</f>
        <v>刀剣乱舞</v>
      </c>
      <c r="E96" s="1" t="s">
        <v>914</v>
      </c>
    </row>
    <row r="97" spans="1:5" ht="13.2">
      <c r="A97" s="1" t="str">
        <f t="array" ref="A97">IF(B97="", "", IFERROR(INDEX(声優一覧!A:A, MATCH(B97, 声優一覧!B:B, 0)), "該当なし"))</f>
        <v>va_148</v>
      </c>
      <c r="B97" s="1" t="s">
        <v>527</v>
      </c>
      <c r="C97" s="1" t="s">
        <v>184</v>
      </c>
      <c r="D97" s="1" t="str">
        <f>IF(C97="", "", IFERROR(VLOOKUP(C97, 作品一覧!A:B, 2, FALSE), "該当なし"))</f>
        <v>刀剣乱舞</v>
      </c>
      <c r="E97" s="1" t="s">
        <v>915</v>
      </c>
    </row>
    <row r="98" spans="1:5" ht="13.2">
      <c r="A98" s="1" t="str">
        <f t="array" ref="A98">IF(B98="", "", IFERROR(INDEX(声優一覧!A:A, MATCH(B98, 声優一覧!B:B, 0)), "該当なし"))</f>
        <v>va_059</v>
      </c>
      <c r="B98" s="1" t="s">
        <v>342</v>
      </c>
      <c r="C98" s="1" t="s">
        <v>184</v>
      </c>
      <c r="D98" s="1" t="str">
        <f>IF(C98="", "", IFERROR(VLOOKUP(C98, 作品一覧!A:B, 2, FALSE), "該当なし"))</f>
        <v>刀剣乱舞</v>
      </c>
      <c r="E98" s="1" t="s">
        <v>916</v>
      </c>
    </row>
    <row r="99" spans="1:5" ht="13.2">
      <c r="A99" s="1" t="str">
        <f t="array" ref="A99">IF(B99="", "", IFERROR(INDEX(声優一覧!A:A, MATCH(B99, 声優一覧!B:B, 0)), "該当なし"))</f>
        <v>va_201</v>
      </c>
      <c r="B99" s="1" t="s">
        <v>635</v>
      </c>
      <c r="C99" s="1" t="s">
        <v>184</v>
      </c>
      <c r="D99" s="1" t="str">
        <f>IF(C99="", "", IFERROR(VLOOKUP(C99, 作品一覧!A:B, 2, FALSE), "該当なし"))</f>
        <v>刀剣乱舞</v>
      </c>
      <c r="E99" s="1" t="s">
        <v>917</v>
      </c>
    </row>
    <row r="100" spans="1:5" ht="13.2">
      <c r="A100" s="1" t="str">
        <f t="array" ref="A100">IF(B100="", "", IFERROR(INDEX(声優一覧!A:A, MATCH(B100, 声優一覧!B:B, 0)), "該当なし"))</f>
        <v>va_021</v>
      </c>
      <c r="B100" s="1" t="s">
        <v>201</v>
      </c>
      <c r="C100" s="1" t="s">
        <v>184</v>
      </c>
      <c r="D100" s="1" t="str">
        <f>IF(C100="", "", IFERROR(VLOOKUP(C100, 作品一覧!A:B, 2, FALSE), "該当なし"))</f>
        <v>刀剣乱舞</v>
      </c>
      <c r="E100" s="1" t="s">
        <v>918</v>
      </c>
    </row>
    <row r="101" spans="1:5" ht="13.2">
      <c r="A101" s="1" t="str">
        <f t="array" ref="A101">IF(B101="", "", IFERROR(INDEX(声優一覧!A:A, MATCH(B101, 声優一覧!B:B, 0)), "該当なし"))</f>
        <v>va_157</v>
      </c>
      <c r="B101" s="1" t="s">
        <v>548</v>
      </c>
      <c r="C101" s="1" t="s">
        <v>184</v>
      </c>
      <c r="D101" s="1" t="str">
        <f>IF(C101="", "", IFERROR(VLOOKUP(C101, 作品一覧!A:B, 2, FALSE), "該当なし"))</f>
        <v>刀剣乱舞</v>
      </c>
      <c r="E101" s="1" t="s">
        <v>919</v>
      </c>
    </row>
    <row r="102" spans="1:5" ht="13.2">
      <c r="A102" s="1" t="str">
        <f t="array" ref="A102">IF(B102="", "", IFERROR(INDEX(声優一覧!A:A, MATCH(B102, 声優一覧!B:B, 0)), "該当なし"))</f>
        <v>va_043</v>
      </c>
      <c r="B102" s="1" t="s">
        <v>311</v>
      </c>
      <c r="C102" s="1" t="s">
        <v>184</v>
      </c>
      <c r="D102" s="1" t="str">
        <f>IF(C102="", "", IFERROR(VLOOKUP(C102, 作品一覧!A:B, 2, FALSE), "該当なし"))</f>
        <v>刀剣乱舞</v>
      </c>
      <c r="E102" s="1" t="s">
        <v>920</v>
      </c>
    </row>
    <row r="103" spans="1:5" ht="13.2">
      <c r="A103" s="1" t="str">
        <f t="array" ref="A103">IF(B103="", "", IFERROR(INDEX(声優一覧!A:A, MATCH(B103, 声優一覧!B:B, 0)), "該当なし"))</f>
        <v>va_103</v>
      </c>
      <c r="B103" s="1" t="s">
        <v>432</v>
      </c>
      <c r="C103" s="1" t="s">
        <v>184</v>
      </c>
      <c r="D103" s="1" t="str">
        <f>IF(C103="", "", IFERROR(VLOOKUP(C103, 作品一覧!A:B, 2, FALSE), "該当なし"))</f>
        <v>刀剣乱舞</v>
      </c>
      <c r="E103" s="1" t="s">
        <v>921</v>
      </c>
    </row>
    <row r="104" spans="1:5" ht="13.2">
      <c r="A104" s="1" t="str">
        <f t="array" ref="A104">IF(B104="", "", IFERROR(INDEX(声優一覧!A:A, MATCH(B104, 声優一覧!B:B, 0)), "該当なし"))</f>
        <v>va_141</v>
      </c>
      <c r="B104" s="1" t="s">
        <v>511</v>
      </c>
      <c r="C104" s="1" t="s">
        <v>184</v>
      </c>
      <c r="D104" s="1" t="str">
        <f>IF(C104="", "", IFERROR(VLOOKUP(C104, 作品一覧!A:B, 2, FALSE), "該当なし"))</f>
        <v>刀剣乱舞</v>
      </c>
      <c r="E104" s="1" t="s">
        <v>922</v>
      </c>
    </row>
    <row r="105" spans="1:5" ht="13.2">
      <c r="A105" s="1" t="str">
        <f t="array" ref="A105">IF(B105="", "", IFERROR(INDEX(声優一覧!A:A, MATCH(B105, 声優一覧!B:B, 0)), "該当なし"))</f>
        <v>va_164</v>
      </c>
      <c r="B105" s="1" t="s">
        <v>563</v>
      </c>
      <c r="C105" s="1" t="s">
        <v>184</v>
      </c>
      <c r="D105" s="1" t="str">
        <f>IF(C105="", "", IFERROR(VLOOKUP(C105, 作品一覧!A:B, 2, FALSE), "該当なし"))</f>
        <v>刀剣乱舞</v>
      </c>
      <c r="E105" s="1" t="s">
        <v>923</v>
      </c>
    </row>
    <row r="106" spans="1:5" ht="13.2">
      <c r="A106" s="1" t="str">
        <f t="array" ref="A106">IF(B106="", "", IFERROR(INDEX(声優一覧!A:A, MATCH(B106, 声優一覧!B:B, 0)), "該当なし"))</f>
        <v>va_111</v>
      </c>
      <c r="B106" s="1" t="s">
        <v>448</v>
      </c>
      <c r="C106" s="1" t="s">
        <v>184</v>
      </c>
      <c r="D106" s="1" t="str">
        <f>IF(C106="", "", IFERROR(VLOOKUP(C106, 作品一覧!A:B, 2, FALSE), "該当なし"))</f>
        <v>刀剣乱舞</v>
      </c>
      <c r="E106" s="1" t="s">
        <v>924</v>
      </c>
    </row>
    <row r="107" spans="1:5" ht="13.2">
      <c r="A107" s="1" t="str">
        <f t="array" ref="A107">IF(B107="", "", IFERROR(INDEX(声優一覧!A:A, MATCH(B107, 声優一覧!B:B, 0)), "該当なし"))</f>
        <v>va_050</v>
      </c>
      <c r="B107" s="1" t="s">
        <v>324</v>
      </c>
      <c r="C107" s="1" t="s">
        <v>184</v>
      </c>
      <c r="D107" s="1" t="str">
        <f>IF(C107="", "", IFERROR(VLOOKUP(C107, 作品一覧!A:B, 2, FALSE), "該当なし"))</f>
        <v>刀剣乱舞</v>
      </c>
      <c r="E107" s="1" t="s">
        <v>925</v>
      </c>
    </row>
    <row r="108" spans="1:5" ht="13.2">
      <c r="A108" s="1" t="str">
        <f t="array" ref="A108">IF(B108="", "", IFERROR(INDEX(声優一覧!A:A, MATCH(B108, 声優一覧!B:B, 0)), "該当なし"))</f>
        <v>va_067</v>
      </c>
      <c r="B108" s="1" t="s">
        <v>356</v>
      </c>
      <c r="C108" s="1" t="s">
        <v>184</v>
      </c>
      <c r="D108" s="1" t="str">
        <f>IF(C108="", "", IFERROR(VLOOKUP(C108, 作品一覧!A:B, 2, FALSE), "該当なし"))</f>
        <v>刀剣乱舞</v>
      </c>
      <c r="E108" s="1" t="s">
        <v>926</v>
      </c>
    </row>
    <row r="109" spans="1:5" ht="13.2">
      <c r="A109" s="1" t="str">
        <f t="array" ref="A109">IF(B109="", "", IFERROR(INDEX(声優一覧!A:A, MATCH(B109, 声優一覧!B:B, 0)), "該当なし"))</f>
        <v>va_041</v>
      </c>
      <c r="B109" s="1" t="s">
        <v>307</v>
      </c>
      <c r="C109" s="1" t="s">
        <v>184</v>
      </c>
      <c r="D109" s="1" t="str">
        <f>IF(C109="", "", IFERROR(VLOOKUP(C109, 作品一覧!A:B, 2, FALSE), "該当なし"))</f>
        <v>刀剣乱舞</v>
      </c>
      <c r="E109" s="1" t="s">
        <v>927</v>
      </c>
    </row>
    <row r="110" spans="1:5" ht="13.2">
      <c r="A110" s="1" t="str">
        <f t="array" ref="A110">IF(B110="", "", IFERROR(INDEX(声優一覧!A:A, MATCH(B110, 声優一覧!B:B, 0)), "該当なし"))</f>
        <v>va_063</v>
      </c>
      <c r="B110" s="1" t="s">
        <v>348</v>
      </c>
      <c r="C110" s="1" t="s">
        <v>184</v>
      </c>
      <c r="D110" s="1" t="str">
        <f>IF(C110="", "", IFERROR(VLOOKUP(C110, 作品一覧!A:B, 2, FALSE), "該当なし"))</f>
        <v>刀剣乱舞</v>
      </c>
      <c r="E110" s="1" t="s">
        <v>928</v>
      </c>
    </row>
    <row r="111" spans="1:5" ht="13.2">
      <c r="A111" s="1" t="str">
        <f t="array" ref="A111">IF(B111="", "", IFERROR(INDEX(声優一覧!A:A, MATCH(B111, 声優一覧!B:B, 0)), "該当なし"))</f>
        <v>va_065</v>
      </c>
      <c r="B111" s="1" t="s">
        <v>352</v>
      </c>
      <c r="C111" s="1" t="s">
        <v>184</v>
      </c>
      <c r="D111" s="1" t="str">
        <f>IF(C111="", "", IFERROR(VLOOKUP(C111, 作品一覧!A:B, 2, FALSE), "該当なし"))</f>
        <v>刀剣乱舞</v>
      </c>
      <c r="E111" s="1" t="s">
        <v>929</v>
      </c>
    </row>
    <row r="112" spans="1:5" ht="13.2">
      <c r="A112" s="1" t="str">
        <f t="array" ref="A112">IF(B112="", "", IFERROR(INDEX(声優一覧!A:A, MATCH(B112, 声優一覧!B:B, 0)), "該当なし"))</f>
        <v>va_027</v>
      </c>
      <c r="B112" s="1" t="s">
        <v>250</v>
      </c>
      <c r="C112" s="1" t="s">
        <v>184</v>
      </c>
      <c r="D112" s="1" t="str">
        <f>IF(C112="", "", IFERROR(VLOOKUP(C112, 作品一覧!A:B, 2, FALSE), "該当なし"))</f>
        <v>刀剣乱舞</v>
      </c>
      <c r="E112" s="1" t="s">
        <v>930</v>
      </c>
    </row>
    <row r="113" spans="1:5" ht="13.2">
      <c r="A113" s="1" t="str">
        <f t="array" ref="A113">IF(B113="", "", IFERROR(INDEX(声優一覧!A:A, MATCH(B113, 声優一覧!B:B, 0)), "該当なし"))</f>
        <v>va_030</v>
      </c>
      <c r="B113" s="1" t="s">
        <v>277</v>
      </c>
      <c r="C113" s="1" t="s">
        <v>184</v>
      </c>
      <c r="D113" s="1" t="str">
        <f>IF(C113="", "", IFERROR(VLOOKUP(C113, 作品一覧!A:B, 2, FALSE), "該当なし"))</f>
        <v>刀剣乱舞</v>
      </c>
      <c r="E113" s="1" t="s">
        <v>931</v>
      </c>
    </row>
    <row r="114" spans="1:5" ht="13.2">
      <c r="A114" s="1" t="str">
        <f t="array" ref="A114">IF(B114="", "", IFERROR(INDEX(声優一覧!A:A, MATCH(B114, 声優一覧!B:B, 0)), "該当なし"))</f>
        <v>va_174</v>
      </c>
      <c r="B114" s="1" t="s">
        <v>583</v>
      </c>
      <c r="C114" s="1" t="s">
        <v>184</v>
      </c>
      <c r="D114" s="1" t="str">
        <f>IF(C114="", "", IFERROR(VLOOKUP(C114, 作品一覧!A:B, 2, FALSE), "該当なし"))</f>
        <v>刀剣乱舞</v>
      </c>
      <c r="E114" s="1" t="s">
        <v>932</v>
      </c>
    </row>
    <row r="115" spans="1:5" ht="13.2">
      <c r="A115" s="1" t="str">
        <f t="array" ref="A115">IF(B115="", "", IFERROR(INDEX(声優一覧!A:A, MATCH(B115, 声優一覧!B:B, 0)), "該当なし"))</f>
        <v>va_033</v>
      </c>
      <c r="B115" s="1" t="s">
        <v>291</v>
      </c>
      <c r="C115" s="1" t="s">
        <v>184</v>
      </c>
      <c r="D115" s="1" t="str">
        <f>IF(C115="", "", IFERROR(VLOOKUP(C115, 作品一覧!A:B, 2, FALSE), "該当なし"))</f>
        <v>刀剣乱舞</v>
      </c>
      <c r="E115" s="1" t="s">
        <v>933</v>
      </c>
    </row>
    <row r="116" spans="1:5" ht="13.2">
      <c r="A116" s="1" t="str">
        <f t="array" ref="A116">IF(B116="", "", IFERROR(INDEX(声優一覧!A:A, MATCH(B116, 声優一覧!B:B, 0)), "該当なし"))</f>
        <v>va_034</v>
      </c>
      <c r="B116" s="1" t="s">
        <v>293</v>
      </c>
      <c r="C116" s="1" t="s">
        <v>184</v>
      </c>
      <c r="D116" s="1" t="str">
        <f>IF(C116="", "", IFERROR(VLOOKUP(C116, 作品一覧!A:B, 2, FALSE), "該当なし"))</f>
        <v>刀剣乱舞</v>
      </c>
      <c r="E116" s="1" t="s">
        <v>934</v>
      </c>
    </row>
    <row r="117" spans="1:5" ht="13.2">
      <c r="A117" s="1" t="str">
        <f t="array" ref="A117">IF(B117="", "", IFERROR(INDEX(声優一覧!A:A, MATCH(B117, 声優一覧!B:B, 0)), "該当なし"))</f>
        <v>va_097</v>
      </c>
      <c r="B117" s="1" t="s">
        <v>420</v>
      </c>
      <c r="C117" s="1" t="s">
        <v>184</v>
      </c>
      <c r="D117" s="1" t="str">
        <f>IF(C117="", "", IFERROR(VLOOKUP(C117, 作品一覧!A:B, 2, FALSE), "該当なし"))</f>
        <v>刀剣乱舞</v>
      </c>
      <c r="E117" s="1" t="s">
        <v>935</v>
      </c>
    </row>
    <row r="118" spans="1:5" ht="13.2">
      <c r="A118" s="1" t="str">
        <f t="array" ref="A118">IF(B118="", "", IFERROR(INDEX(声優一覧!A:A, MATCH(B118, 声優一覧!B:B, 0)), "該当なし"))</f>
        <v>va_160</v>
      </c>
      <c r="B118" s="1" t="s">
        <v>555</v>
      </c>
      <c r="C118" s="1" t="s">
        <v>184</v>
      </c>
      <c r="D118" s="1" t="str">
        <f>IF(C118="", "", IFERROR(VLOOKUP(C118, 作品一覧!A:B, 2, FALSE), "該当なし"))</f>
        <v>刀剣乱舞</v>
      </c>
      <c r="E118" s="1" t="s">
        <v>936</v>
      </c>
    </row>
    <row r="119" spans="1:5" ht="13.2">
      <c r="A119" s="1" t="str">
        <f t="array" ref="A119">IF(B119="", "", IFERROR(INDEX(声優一覧!A:A, MATCH(B119, 声優一覧!B:B, 0)), "該当なし"))</f>
        <v>va_126</v>
      </c>
      <c r="B119" s="1" t="s">
        <v>483</v>
      </c>
      <c r="C119" s="1" t="s">
        <v>184</v>
      </c>
      <c r="D119" s="1" t="str">
        <f>IF(C119="", "", IFERROR(VLOOKUP(C119, 作品一覧!A:B, 2, FALSE), "該当なし"))</f>
        <v>刀剣乱舞</v>
      </c>
      <c r="E119" s="1" t="s">
        <v>937</v>
      </c>
    </row>
    <row r="120" spans="1:5" ht="13.2">
      <c r="A120" s="1" t="str">
        <f t="array" ref="A120">IF(B120="", "", IFERROR(INDEX(声優一覧!A:A, MATCH(B120, 声優一覧!B:B, 0)), "該当なし"))</f>
        <v>va_022</v>
      </c>
      <c r="B120" s="1" t="s">
        <v>209</v>
      </c>
      <c r="C120" s="1" t="s">
        <v>184</v>
      </c>
      <c r="D120" s="1" t="str">
        <f>IF(C120="", "", IFERROR(VLOOKUP(C120, 作品一覧!A:B, 2, FALSE), "該当なし"))</f>
        <v>刀剣乱舞</v>
      </c>
      <c r="E120" s="1" t="s">
        <v>938</v>
      </c>
    </row>
    <row r="121" spans="1:5" ht="13.2">
      <c r="A121" s="1" t="str">
        <f t="array" ref="A121">IF(B121="", "", IFERROR(INDEX(声優一覧!A:A, MATCH(B121, 声優一覧!B:B, 0)), "該当なし"))</f>
        <v>va_125</v>
      </c>
      <c r="B121" s="1" t="s">
        <v>480</v>
      </c>
      <c r="C121" s="1" t="s">
        <v>184</v>
      </c>
      <c r="D121" s="1" t="str">
        <f>IF(C121="", "", IFERROR(VLOOKUP(C121, 作品一覧!A:B, 2, FALSE), "該当なし"))</f>
        <v>刀剣乱舞</v>
      </c>
      <c r="E121" s="1" t="s">
        <v>939</v>
      </c>
    </row>
    <row r="122" spans="1:5" ht="13.2">
      <c r="A122" s="1" t="str">
        <f t="array" ref="A122">IF(B122="", "", IFERROR(INDEX(声優一覧!A:A, MATCH(B122, 声優一覧!B:B, 0)), "該当なし"))</f>
        <v>va_178</v>
      </c>
      <c r="B122" s="1" t="s">
        <v>592</v>
      </c>
      <c r="C122" s="1" t="s">
        <v>184</v>
      </c>
      <c r="D122" s="1" t="str">
        <f>IF(C122="", "", IFERROR(VLOOKUP(C122, 作品一覧!A:B, 2, FALSE), "該当なし"))</f>
        <v>刀剣乱舞</v>
      </c>
      <c r="E122" s="1" t="s">
        <v>940</v>
      </c>
    </row>
    <row r="123" spans="1:5" ht="13.2">
      <c r="A123" s="1" t="str">
        <f t="array" ref="A123">IF(B123="", "", IFERROR(INDEX(声優一覧!A:A, MATCH(B123, 声優一覧!B:B, 0)), "該当なし"))</f>
        <v>va_135</v>
      </c>
      <c r="B123" s="1" t="s">
        <v>502</v>
      </c>
      <c r="C123" s="1" t="s">
        <v>184</v>
      </c>
      <c r="D123" s="1" t="str">
        <f>IF(C123="", "", IFERROR(VLOOKUP(C123, 作品一覧!A:B, 2, FALSE), "該当なし"))</f>
        <v>刀剣乱舞</v>
      </c>
      <c r="E123" s="1" t="s">
        <v>941</v>
      </c>
    </row>
    <row r="124" spans="1:5" ht="13.2">
      <c r="A124" s="1" t="str">
        <f t="array" ref="A124">IF(B124="", "", IFERROR(INDEX(声優一覧!A:A, MATCH(B124, 声優一覧!B:B, 0)), "該当なし"))</f>
        <v>va_116</v>
      </c>
      <c r="B124" s="1" t="s">
        <v>460</v>
      </c>
      <c r="C124" s="1" t="s">
        <v>184</v>
      </c>
      <c r="D124" s="1" t="str">
        <f>IF(C124="", "", IFERROR(VLOOKUP(C124, 作品一覧!A:B, 2, FALSE), "該当なし"))</f>
        <v>刀剣乱舞</v>
      </c>
      <c r="E124" s="1" t="s">
        <v>942</v>
      </c>
    </row>
    <row r="125" spans="1:5" ht="13.2">
      <c r="A125" s="1" t="str">
        <f t="array" ref="A125">IF(B125="", "", IFERROR(INDEX(声優一覧!A:A, MATCH(B125, 声優一覧!B:B, 0)), "該当なし"))</f>
        <v>va_080</v>
      </c>
      <c r="B125" s="1" t="s">
        <v>382</v>
      </c>
      <c r="C125" s="1" t="s">
        <v>184</v>
      </c>
      <c r="D125" s="1" t="str">
        <f>IF(C125="", "", IFERROR(VLOOKUP(C125, 作品一覧!A:B, 2, FALSE), "該当なし"))</f>
        <v>刀剣乱舞</v>
      </c>
      <c r="E125" s="1" t="s">
        <v>943</v>
      </c>
    </row>
    <row r="126" spans="1:5" ht="13.2">
      <c r="A126" s="1" t="str">
        <f t="array" ref="A126">IF(B126="", "", IFERROR(INDEX(声優一覧!A:A, MATCH(B126, 声優一覧!B:B, 0)), "該当なし"))</f>
        <v>va_166</v>
      </c>
      <c r="B126" s="1" t="s">
        <v>567</v>
      </c>
      <c r="C126" s="1" t="s">
        <v>184</v>
      </c>
      <c r="D126" s="1" t="str">
        <f>IF(C126="", "", IFERROR(VLOOKUP(C126, 作品一覧!A:B, 2, FALSE), "該当なし"))</f>
        <v>刀剣乱舞</v>
      </c>
      <c r="E126" s="1" t="s">
        <v>944</v>
      </c>
    </row>
    <row r="127" spans="1:5" ht="13.2">
      <c r="A127" s="1" t="str">
        <f t="array" ref="A127">IF(B127="", "", IFERROR(INDEX(声優一覧!A:A, MATCH(B127, 声優一覧!B:B, 0)), "該当なし"))</f>
        <v>va_197</v>
      </c>
      <c r="B127" s="1" t="s">
        <v>627</v>
      </c>
      <c r="C127" s="1" t="s">
        <v>184</v>
      </c>
      <c r="D127" s="1" t="str">
        <f>IF(C127="", "", IFERROR(VLOOKUP(C127, 作品一覧!A:B, 2, FALSE), "該当なし"))</f>
        <v>刀剣乱舞</v>
      </c>
      <c r="E127" s="1" t="s">
        <v>945</v>
      </c>
    </row>
    <row r="128" spans="1:5" ht="13.2">
      <c r="A128" s="1" t="str">
        <f t="array" ref="A128">IF(B128="", "", IFERROR(INDEX(声優一覧!A:A, MATCH(B128, 声優一覧!B:B, 0)), "該当なし"))</f>
        <v>va_119</v>
      </c>
      <c r="B128" s="1" t="s">
        <v>466</v>
      </c>
      <c r="C128" s="1" t="s">
        <v>184</v>
      </c>
      <c r="D128" s="1" t="str">
        <f>IF(C128="", "", IFERROR(VLOOKUP(C128, 作品一覧!A:B, 2, FALSE), "該当なし"))</f>
        <v>刀剣乱舞</v>
      </c>
      <c r="E128" s="1" t="s">
        <v>946</v>
      </c>
    </row>
    <row r="129" spans="1:5" ht="13.2">
      <c r="A129" s="1" t="str">
        <f t="array" ref="A129">IF(B129="", "", IFERROR(INDEX(声優一覧!A:A, MATCH(B129, 声優一覧!B:B, 0)), "該当なし"))</f>
        <v>va_123</v>
      </c>
      <c r="B129" s="1" t="s">
        <v>475</v>
      </c>
      <c r="C129" s="1" t="s">
        <v>184</v>
      </c>
      <c r="D129" s="1" t="str">
        <f>IF(C129="", "", IFERROR(VLOOKUP(C129, 作品一覧!A:B, 2, FALSE), "該当なし"))</f>
        <v>刀剣乱舞</v>
      </c>
      <c r="E129" s="1" t="s">
        <v>947</v>
      </c>
    </row>
    <row r="130" spans="1:5" ht="13.2">
      <c r="A130" s="1" t="str">
        <f t="array" ref="A130">IF(B130="", "", IFERROR(INDEX(声優一覧!A:A, MATCH(B130, 声優一覧!B:B, 0)), "該当なし"))</f>
        <v>va_191</v>
      </c>
      <c r="B130" s="1" t="s">
        <v>615</v>
      </c>
      <c r="C130" s="1" t="s">
        <v>184</v>
      </c>
      <c r="D130" s="1" t="str">
        <f>IF(C130="", "", IFERROR(VLOOKUP(C130, 作品一覧!A:B, 2, FALSE), "該当なし"))</f>
        <v>刀剣乱舞</v>
      </c>
      <c r="E130" s="1" t="s">
        <v>948</v>
      </c>
    </row>
    <row r="131" spans="1:5" ht="13.2">
      <c r="A131" s="1" t="str">
        <f t="array" ref="A131">IF(B131="", "", IFERROR(INDEX(声優一覧!A:A, MATCH(B131, 声優一覧!B:B, 0)), "該当なし"))</f>
        <v>va_202</v>
      </c>
      <c r="B131" s="1" t="s">
        <v>637</v>
      </c>
      <c r="C131" s="1" t="s">
        <v>184</v>
      </c>
      <c r="D131" s="1" t="str">
        <f>IF(C131="", "", IFERROR(VLOOKUP(C131, 作品一覧!A:B, 2, FALSE), "該当なし"))</f>
        <v>刀剣乱舞</v>
      </c>
      <c r="E131" s="1" t="s">
        <v>949</v>
      </c>
    </row>
    <row r="132" spans="1:5" ht="13.2">
      <c r="A132" s="1" t="str">
        <f t="array" ref="A132">IF(B132="", "", IFERROR(INDEX(声優一覧!A:A, MATCH(B132, 声優一覧!B:B, 0)), "該当なし"))</f>
        <v>va_084</v>
      </c>
      <c r="B132" s="1" t="s">
        <v>391</v>
      </c>
      <c r="C132" s="1" t="s">
        <v>57</v>
      </c>
      <c r="D132" s="1" t="str">
        <f>IF(C132="", "", IFERROR(VLOOKUP(C132, 作品一覧!A:B, 2, FALSE), "該当なし"))</f>
        <v>A3!</v>
      </c>
      <c r="E132" s="1" t="s">
        <v>950</v>
      </c>
    </row>
    <row r="133" spans="1:5" ht="13.2">
      <c r="A133" s="1" t="str">
        <f t="array" ref="A133">IF(B133="", "", IFERROR(INDEX(声優一覧!A:A, MATCH(B133, 声優一覧!B:B, 0)), "該当なし"))</f>
        <v>va_096</v>
      </c>
      <c r="B133" s="1" t="s">
        <v>418</v>
      </c>
      <c r="C133" s="1" t="s">
        <v>57</v>
      </c>
      <c r="D133" s="1" t="str">
        <f>IF(C133="", "", IFERROR(VLOOKUP(C133, 作品一覧!A:B, 2, FALSE), "該当なし"))</f>
        <v>A3!</v>
      </c>
      <c r="E133" s="1" t="s">
        <v>951</v>
      </c>
    </row>
    <row r="134" spans="1:5" ht="13.2">
      <c r="A134" s="1" t="str">
        <f t="array" ref="A134">IF(B134="", "", IFERROR(INDEX(声優一覧!A:A, MATCH(B134, 声優一覧!B:B, 0)), "該当なし"))</f>
        <v>va_141</v>
      </c>
      <c r="B134" s="1" t="s">
        <v>511</v>
      </c>
      <c r="C134" s="1" t="s">
        <v>57</v>
      </c>
      <c r="D134" s="1" t="str">
        <f>IF(C134="", "", IFERROR(VLOOKUP(C134, 作品一覧!A:B, 2, FALSE), "該当なし"))</f>
        <v>A3!</v>
      </c>
      <c r="E134" s="1" t="s">
        <v>952</v>
      </c>
    </row>
    <row r="135" spans="1:5" ht="13.2">
      <c r="A135" s="1" t="str">
        <f t="array" ref="A135">IF(B135="", "", IFERROR(INDEX(声優一覧!A:A, MATCH(B135, 声優一覧!B:B, 0)), "該当なし"))</f>
        <v>va_004</v>
      </c>
      <c r="B135" s="1" t="s">
        <v>97</v>
      </c>
      <c r="C135" s="1" t="s">
        <v>57</v>
      </c>
      <c r="D135" s="1" t="str">
        <f>IF(C135="", "", IFERROR(VLOOKUP(C135, 作品一覧!A:B, 2, FALSE), "該当なし"))</f>
        <v>A3!</v>
      </c>
      <c r="E135" s="1" t="s">
        <v>953</v>
      </c>
    </row>
    <row r="136" spans="1:5" ht="13.2">
      <c r="A136" s="1" t="str">
        <f t="array" ref="A136">IF(B136="", "", IFERROR(INDEX(声優一覧!A:A, MATCH(B136, 声優一覧!B:B, 0)), "該当なし"))</f>
        <v>va_011</v>
      </c>
      <c r="B136" s="1" t="s">
        <v>140</v>
      </c>
      <c r="C136" s="1" t="s">
        <v>57</v>
      </c>
      <c r="D136" s="1" t="str">
        <f>IF(C136="", "", IFERROR(VLOOKUP(C136, 作品一覧!A:B, 2, FALSE), "該当なし"))</f>
        <v>A3!</v>
      </c>
      <c r="E136" s="1" t="s">
        <v>954</v>
      </c>
    </row>
    <row r="137" spans="1:5" ht="13.2">
      <c r="A137" s="1" t="str">
        <f t="array" ref="A137">IF(B137="", "", IFERROR(INDEX(声優一覧!A:A, MATCH(B137, 声優一覧!B:B, 0)), "該当なし"))</f>
        <v>va_148</v>
      </c>
      <c r="B137" s="1" t="s">
        <v>527</v>
      </c>
      <c r="C137" s="1" t="s">
        <v>57</v>
      </c>
      <c r="D137" s="1" t="str">
        <f>IF(C137="", "", IFERROR(VLOOKUP(C137, 作品一覧!A:B, 2, FALSE), "該当なし"))</f>
        <v>A3!</v>
      </c>
      <c r="E137" s="1" t="s">
        <v>955</v>
      </c>
    </row>
    <row r="138" spans="1:5" ht="13.2">
      <c r="A138" s="1" t="str">
        <f t="array" ref="A138">IF(B138="", "", IFERROR(INDEX(声優一覧!A:A, MATCH(B138, 声優一覧!B:B, 0)), "該当なし"))</f>
        <v>va_035</v>
      </c>
      <c r="B138" s="1" t="s">
        <v>295</v>
      </c>
      <c r="C138" s="1" t="s">
        <v>57</v>
      </c>
      <c r="D138" s="1" t="str">
        <f>IF(C138="", "", IFERROR(VLOOKUP(C138, 作品一覧!A:B, 2, FALSE), "該当なし"))</f>
        <v>A3!</v>
      </c>
      <c r="E138" s="1" t="s">
        <v>956</v>
      </c>
    </row>
    <row r="139" spans="1:5" ht="13.2">
      <c r="A139" s="1" t="str">
        <f t="array" ref="A139">IF(B139="", "", IFERROR(INDEX(声優一覧!A:A, MATCH(B139, 声優一覧!B:B, 0)), "該当なし"))</f>
        <v>va_129</v>
      </c>
      <c r="B139" s="1" t="s">
        <v>489</v>
      </c>
      <c r="C139" s="1" t="s">
        <v>57</v>
      </c>
      <c r="D139" s="1" t="str">
        <f>IF(C139="", "", IFERROR(VLOOKUP(C139, 作品一覧!A:B, 2, FALSE), "該当なし"))</f>
        <v>A3!</v>
      </c>
      <c r="E139" s="1" t="s">
        <v>957</v>
      </c>
    </row>
    <row r="140" spans="1:5" ht="13.2">
      <c r="A140" s="1" t="str">
        <f t="array" ref="A140">IF(B140="", "", IFERROR(INDEX(声優一覧!A:A, MATCH(B140, 声優一覧!B:B, 0)), "該当なし"))</f>
        <v>va_196</v>
      </c>
      <c r="B140" s="1" t="s">
        <v>625</v>
      </c>
      <c r="C140" s="1" t="s">
        <v>57</v>
      </c>
      <c r="D140" s="1" t="str">
        <f>IF(C140="", "", IFERROR(VLOOKUP(C140, 作品一覧!A:B, 2, FALSE), "該当なし"))</f>
        <v>A3!</v>
      </c>
      <c r="E140" s="1" t="s">
        <v>958</v>
      </c>
    </row>
    <row r="141" spans="1:5" ht="13.2">
      <c r="A141" s="1" t="str">
        <f t="array" ref="A141">IF(B141="", "", IFERROR(INDEX(声優一覧!A:A, MATCH(B141, 声優一覧!B:B, 0)), "該当なし"))</f>
        <v>va_154</v>
      </c>
      <c r="B141" s="1" t="s">
        <v>541</v>
      </c>
      <c r="C141" s="1" t="s">
        <v>57</v>
      </c>
      <c r="D141" s="1" t="str">
        <f>IF(C141="", "", IFERROR(VLOOKUP(C141, 作品一覧!A:B, 2, FALSE), "該当なし"))</f>
        <v>A3!</v>
      </c>
      <c r="E141" s="1" t="s">
        <v>959</v>
      </c>
    </row>
    <row r="142" spans="1:5" ht="13.2">
      <c r="A142" s="1" t="str">
        <f t="array" ref="A142">IF(B142="", "", IFERROR(INDEX(声優一覧!A:A, MATCH(B142, 声優一覧!B:B, 0)), "該当なし"))</f>
        <v>va_001</v>
      </c>
      <c r="B142" s="1" t="s">
        <v>40</v>
      </c>
      <c r="C142" s="1" t="s">
        <v>57</v>
      </c>
      <c r="D142" s="1" t="str">
        <f>IF(C142="", "", IFERROR(VLOOKUP(C142, 作品一覧!A:B, 2, FALSE), "該当なし"))</f>
        <v>A3!</v>
      </c>
      <c r="E142" s="1" t="s">
        <v>960</v>
      </c>
    </row>
    <row r="143" spans="1:5" ht="13.2">
      <c r="A143" s="1" t="str">
        <f t="array" ref="A143">IF(B143="", "", IFERROR(INDEX(声優一覧!A:A, MATCH(B143, 声優一覧!B:B, 0)), "該当なし"))</f>
        <v>va_147</v>
      </c>
      <c r="B143" s="1" t="s">
        <v>524</v>
      </c>
      <c r="C143" s="1" t="s">
        <v>57</v>
      </c>
      <c r="D143" s="1" t="str">
        <f>IF(C143="", "", IFERROR(VLOOKUP(C143, 作品一覧!A:B, 2, FALSE), "該当なし"))</f>
        <v>A3!</v>
      </c>
      <c r="E143" s="1" t="s">
        <v>961</v>
      </c>
    </row>
    <row r="144" spans="1:5" ht="13.2">
      <c r="A144" s="1" t="str">
        <f t="array" ref="A144">IF(B144="", "", IFERROR(INDEX(声優一覧!A:A, MATCH(B144, 声優一覧!B:B, 0)), "該当なし"))</f>
        <v>va_092</v>
      </c>
      <c r="B144" s="1" t="s">
        <v>409</v>
      </c>
      <c r="C144" s="1" t="s">
        <v>57</v>
      </c>
      <c r="D144" s="1" t="str">
        <f>IF(C144="", "", IFERROR(VLOOKUP(C144, 作品一覧!A:B, 2, FALSE), "該当なし"))</f>
        <v>A3!</v>
      </c>
      <c r="E144" s="1" t="s">
        <v>962</v>
      </c>
    </row>
    <row r="145" spans="1:5" ht="13.2">
      <c r="A145" s="1" t="str">
        <f t="array" ref="A145">IF(B145="", "", IFERROR(INDEX(声優一覧!A:A, MATCH(B145, 声優一覧!B:B, 0)), "該当なし"))</f>
        <v>va_112</v>
      </c>
      <c r="B145" s="1" t="s">
        <v>451</v>
      </c>
      <c r="C145" s="1" t="s">
        <v>57</v>
      </c>
      <c r="D145" s="1" t="str">
        <f>IF(C145="", "", IFERROR(VLOOKUP(C145, 作品一覧!A:B, 2, FALSE), "該当なし"))</f>
        <v>A3!</v>
      </c>
      <c r="E145" s="1" t="s">
        <v>963</v>
      </c>
    </row>
    <row r="146" spans="1:5" ht="13.2">
      <c r="A146" s="1" t="str">
        <f t="array" ref="A146">IF(B146="", "", IFERROR(INDEX(声優一覧!A:A, MATCH(B146, 声優一覧!B:B, 0)), "該当なし"))</f>
        <v>va_151</v>
      </c>
      <c r="B146" s="1" t="s">
        <v>534</v>
      </c>
      <c r="C146" s="1" t="s">
        <v>57</v>
      </c>
      <c r="D146" s="1" t="str">
        <f>IF(C146="", "", IFERROR(VLOOKUP(C146, 作品一覧!A:B, 2, FALSE), "該当なし"))</f>
        <v>A3!</v>
      </c>
      <c r="E146" s="1" t="s">
        <v>964</v>
      </c>
    </row>
    <row r="147" spans="1:5" ht="13.2">
      <c r="A147" s="1" t="str">
        <f t="array" ref="A147">IF(B147="", "", IFERROR(INDEX(声優一覧!A:A, MATCH(B147, 声優一覧!B:B, 0)), "該当なし"))</f>
        <v>va_069</v>
      </c>
      <c r="B147" s="1" t="s">
        <v>360</v>
      </c>
      <c r="C147" s="1" t="s">
        <v>57</v>
      </c>
      <c r="D147" s="1" t="str">
        <f>IF(C147="", "", IFERROR(VLOOKUP(C147, 作品一覧!A:B, 2, FALSE), "該当なし"))</f>
        <v>A3!</v>
      </c>
      <c r="E147" s="1" t="s">
        <v>965</v>
      </c>
    </row>
    <row r="148" spans="1:5" ht="13.2">
      <c r="A148" s="1" t="str">
        <f t="array" ref="A148">IF(B148="", "", IFERROR(INDEX(声優一覧!A:A, MATCH(B148, 声優一覧!B:B, 0)), "該当なし"))</f>
        <v>va_167</v>
      </c>
      <c r="B148" s="1" t="s">
        <v>569</v>
      </c>
      <c r="C148" s="1" t="s">
        <v>57</v>
      </c>
      <c r="D148" s="1" t="str">
        <f>IF(C148="", "", IFERROR(VLOOKUP(C148, 作品一覧!A:B, 2, FALSE), "該当なし"))</f>
        <v>A3!</v>
      </c>
      <c r="E148" s="1" t="s">
        <v>966</v>
      </c>
    </row>
    <row r="149" spans="1:5" ht="13.2">
      <c r="A149" s="1" t="str">
        <f t="array" ref="A149">IF(B149="", "", IFERROR(INDEX(声優一覧!A:A, MATCH(B149, 声優一覧!B:B, 0)), "該当なし"))</f>
        <v>va_079</v>
      </c>
      <c r="B149" s="1" t="s">
        <v>381</v>
      </c>
      <c r="C149" s="1" t="s">
        <v>57</v>
      </c>
      <c r="D149" s="1" t="str">
        <f>IF(C149="", "", IFERROR(VLOOKUP(C149, 作品一覧!A:B, 2, FALSE), "該当なし"))</f>
        <v>A3!</v>
      </c>
      <c r="E149" s="1" t="s">
        <v>967</v>
      </c>
    </row>
    <row r="150" spans="1:5" ht="13.2">
      <c r="A150" s="1" t="str">
        <f t="array" ref="A150">IF(B150="", "", IFERROR(INDEX(声優一覧!A:A, MATCH(B150, 声優一覧!B:B, 0)), "該当なし"))</f>
        <v>va_117</v>
      </c>
      <c r="B150" s="1" t="s">
        <v>462</v>
      </c>
      <c r="C150" s="1" t="s">
        <v>57</v>
      </c>
      <c r="D150" s="1" t="str">
        <f>IF(C150="", "", IFERROR(VLOOKUP(C150, 作品一覧!A:B, 2, FALSE), "該当なし"))</f>
        <v>A3!</v>
      </c>
      <c r="E150" s="1" t="s">
        <v>968</v>
      </c>
    </row>
    <row r="151" spans="1:5" ht="13.2">
      <c r="A151" s="1" t="str">
        <f t="array" ref="A151">IF(B151="", "", IFERROR(INDEX(声優一覧!A:A, MATCH(B151, 声優一覧!B:B, 0)), "該当なし"))</f>
        <v>va_090</v>
      </c>
      <c r="B151" s="1" t="s">
        <v>404</v>
      </c>
      <c r="C151" s="1" t="s">
        <v>57</v>
      </c>
      <c r="D151" s="1" t="str">
        <f>IF(C151="", "", IFERROR(VLOOKUP(C151, 作品一覧!A:B, 2, FALSE), "該当なし"))</f>
        <v>A3!</v>
      </c>
      <c r="E151" s="1" t="s">
        <v>969</v>
      </c>
    </row>
    <row r="152" spans="1:5" ht="13.2">
      <c r="A152" s="1" t="str">
        <f t="array" ref="A152">IF(B152="", "", IFERROR(INDEX(声優一覧!A:A, MATCH(B152, 声優一覧!B:B, 0)), "該当なし"))</f>
        <v>va_124</v>
      </c>
      <c r="B152" s="1" t="s">
        <v>478</v>
      </c>
      <c r="C152" s="1" t="s">
        <v>57</v>
      </c>
      <c r="D152" s="1" t="str">
        <f>IF(C152="", "", IFERROR(VLOOKUP(C152, 作品一覧!A:B, 2, FALSE), "該当なし"))</f>
        <v>A3!</v>
      </c>
      <c r="E152" s="1" t="s">
        <v>970</v>
      </c>
    </row>
    <row r="153" spans="1:5" ht="13.2">
      <c r="A153" s="1" t="str">
        <f t="array" ref="A153">IF(B153="", "", IFERROR(INDEX(声優一覧!A:A, MATCH(B153, 声優一覧!B:B, 0)), "該当なし"))</f>
        <v>va_131</v>
      </c>
      <c r="B153" s="1" t="s">
        <v>494</v>
      </c>
      <c r="C153" s="1" t="s">
        <v>57</v>
      </c>
      <c r="D153" s="1" t="str">
        <f>IF(C153="", "", IFERROR(VLOOKUP(C153, 作品一覧!A:B, 2, FALSE), "該当なし"))</f>
        <v>A3!</v>
      </c>
      <c r="E153" s="1" t="s">
        <v>971</v>
      </c>
    </row>
    <row r="154" spans="1:5" ht="13.2">
      <c r="A154" s="1" t="str">
        <f t="array" ref="A154">IF(B154="", "", IFERROR(INDEX(声優一覧!A:A, MATCH(B154, 声優一覧!B:B, 0)), "該当なし"))</f>
        <v>va_048</v>
      </c>
      <c r="B154" s="1" t="s">
        <v>321</v>
      </c>
      <c r="C154" s="1" t="s">
        <v>57</v>
      </c>
      <c r="D154" s="1" t="str">
        <f>IF(C154="", "", IFERROR(VLOOKUP(C154, 作品一覧!A:B, 2, FALSE), "該当なし"))</f>
        <v>A3!</v>
      </c>
      <c r="E154" s="1" t="s">
        <v>972</v>
      </c>
    </row>
    <row r="155" spans="1:5" ht="13.2">
      <c r="A155" s="1" t="str">
        <f t="array" ref="A155">IF(B155="", "", IFERROR(INDEX(声優一覧!A:A, MATCH(B155, 声優一覧!B:B, 0)), "該当なし"))</f>
        <v>va_156</v>
      </c>
      <c r="B155" s="1" t="s">
        <v>546</v>
      </c>
      <c r="C155" s="1" t="s">
        <v>57</v>
      </c>
      <c r="D155" s="1" t="str">
        <f>IF(C155="", "", IFERROR(VLOOKUP(C155, 作品一覧!A:B, 2, FALSE), "該当なし"))</f>
        <v>A3!</v>
      </c>
      <c r="E155" s="1" t="s">
        <v>973</v>
      </c>
    </row>
    <row r="156" spans="1:5" ht="13.2">
      <c r="A156" s="1" t="str">
        <f t="array" ref="A156">IF(B156="", "", IFERROR(INDEX(声優一覧!A:A, MATCH(B156, 声優一覧!B:B, 0)), "該当なし"))</f>
        <v>va_081</v>
      </c>
      <c r="B156" s="1" t="s">
        <v>384</v>
      </c>
      <c r="C156" s="1" t="s">
        <v>267</v>
      </c>
      <c r="D156" s="1" t="str">
        <f>IF(C156="", "", IFERROR(VLOOKUP(C156, 作品一覧!A:B, 2, FALSE), "該当なし"))</f>
        <v>魔法使いの約束</v>
      </c>
      <c r="E156" s="1" t="s">
        <v>974</v>
      </c>
    </row>
    <row r="157" spans="1:5" ht="13.2">
      <c r="A157" s="1" t="str">
        <f t="array" ref="A157">IF(B157="", "", IFERROR(INDEX(声優一覧!A:A, MATCH(B157, 声優一覧!B:B, 0)), "該当なし"))</f>
        <v>va_117</v>
      </c>
      <c r="B157" s="1" t="s">
        <v>462</v>
      </c>
      <c r="C157" s="1" t="s">
        <v>267</v>
      </c>
      <c r="D157" s="1" t="str">
        <f>IF(C157="", "", IFERROR(VLOOKUP(C157, 作品一覧!A:B, 2, FALSE), "該当なし"))</f>
        <v>魔法使いの約束</v>
      </c>
      <c r="E157" s="1" t="s">
        <v>975</v>
      </c>
    </row>
    <row r="158" spans="1:5" ht="13.2">
      <c r="A158" s="1" t="str">
        <f t="array" ref="A158">IF(B158="", "", IFERROR(INDEX(声優一覧!A:A, MATCH(B158, 声優一覧!B:B, 0)), "該当なし"))</f>
        <v>va_055</v>
      </c>
      <c r="B158" s="1" t="s">
        <v>334</v>
      </c>
      <c r="C158" s="1" t="s">
        <v>267</v>
      </c>
      <c r="D158" s="1" t="str">
        <f>IF(C158="", "", IFERROR(VLOOKUP(C158, 作品一覧!A:B, 2, FALSE), "該当なし"))</f>
        <v>魔法使いの約束</v>
      </c>
      <c r="E158" s="1" t="s">
        <v>976</v>
      </c>
    </row>
    <row r="159" spans="1:5" ht="13.2">
      <c r="A159" s="1" t="str">
        <f t="array" ref="A159">IF(B159="", "", IFERROR(INDEX(声優一覧!A:A, MATCH(B159, 声優一覧!B:B, 0)), "該当なし"))</f>
        <v>va_203</v>
      </c>
      <c r="B159" s="1" t="s">
        <v>639</v>
      </c>
      <c r="C159" s="1" t="s">
        <v>267</v>
      </c>
      <c r="D159" s="1" t="str">
        <f>IF(C159="", "", IFERROR(VLOOKUP(C159, 作品一覧!A:B, 2, FALSE), "該当なし"))</f>
        <v>魔法使いの約束</v>
      </c>
      <c r="E159" s="1" t="s">
        <v>977</v>
      </c>
    </row>
    <row r="160" spans="1:5" ht="13.2">
      <c r="A160" s="1" t="str">
        <f t="array" ref="A160">IF(B160="", "", IFERROR(INDEX(声優一覧!A:A, MATCH(B160, 声優一覧!B:B, 0)), "該当なし"))</f>
        <v>va_099</v>
      </c>
      <c r="B160" s="1" t="s">
        <v>424</v>
      </c>
      <c r="C160" s="1" t="s">
        <v>267</v>
      </c>
      <c r="D160" s="1" t="str">
        <f>IF(C160="", "", IFERROR(VLOOKUP(C160, 作品一覧!A:B, 2, FALSE), "該当なし"))</f>
        <v>魔法使いの約束</v>
      </c>
      <c r="E160" s="1" t="s">
        <v>978</v>
      </c>
    </row>
    <row r="161" spans="1:5" ht="13.2">
      <c r="A161" s="1" t="str">
        <f t="array" ref="A161">IF(B161="", "", IFERROR(INDEX(声優一覧!A:A, MATCH(B161, 声優一覧!B:B, 0)), "該当なし"))</f>
        <v>va_125</v>
      </c>
      <c r="B161" s="1" t="s">
        <v>480</v>
      </c>
      <c r="C161" s="1" t="s">
        <v>267</v>
      </c>
      <c r="D161" s="1" t="str">
        <f>IF(C161="", "", IFERROR(VLOOKUP(C161, 作品一覧!A:B, 2, FALSE), "該当なし"))</f>
        <v>魔法使いの約束</v>
      </c>
      <c r="E161" s="1" t="s">
        <v>979</v>
      </c>
    </row>
    <row r="162" spans="1:5" ht="13.2">
      <c r="A162" s="1" t="str">
        <f t="array" ref="A162">IF(B162="", "", IFERROR(INDEX(声優一覧!A:A, MATCH(B162, 声優一覧!B:B, 0)), "該当なし"))</f>
        <v>va_111</v>
      </c>
      <c r="B162" s="1" t="s">
        <v>448</v>
      </c>
      <c r="C162" s="1" t="s">
        <v>267</v>
      </c>
      <c r="D162" s="1" t="str">
        <f>IF(C162="", "", IFERROR(VLOOKUP(C162, 作品一覧!A:B, 2, FALSE), "該当なし"))</f>
        <v>魔法使いの約束</v>
      </c>
      <c r="E162" s="1" t="s">
        <v>980</v>
      </c>
    </row>
    <row r="163" spans="1:5" ht="13.2">
      <c r="A163" s="1" t="str">
        <f t="array" ref="A163">IF(B163="", "", IFERROR(INDEX(声優一覧!A:A, MATCH(B163, 声優一覧!B:B, 0)), "該当なし"))</f>
        <v>va_004</v>
      </c>
      <c r="B163" s="1" t="s">
        <v>97</v>
      </c>
      <c r="C163" s="1" t="s">
        <v>267</v>
      </c>
      <c r="D163" s="1" t="str">
        <f>IF(C163="", "", IFERROR(VLOOKUP(C163, 作品一覧!A:B, 2, FALSE), "該当なし"))</f>
        <v>魔法使いの約束</v>
      </c>
      <c r="E163" s="1" t="s">
        <v>981</v>
      </c>
    </row>
    <row r="164" spans="1:5" ht="13.2">
      <c r="A164" s="1" t="str">
        <f t="array" ref="A164">IF(B164="", "", IFERROR(INDEX(声優一覧!A:A, MATCH(B164, 声優一覧!B:B, 0)), "該当なし"))</f>
        <v>va_156</v>
      </c>
      <c r="B164" s="1" t="s">
        <v>546</v>
      </c>
      <c r="C164" s="1" t="s">
        <v>267</v>
      </c>
      <c r="D164" s="1" t="str">
        <f>IF(C164="", "", IFERROR(VLOOKUP(C164, 作品一覧!A:B, 2, FALSE), "該当なし"))</f>
        <v>魔法使いの約束</v>
      </c>
      <c r="E164" s="1" t="s">
        <v>982</v>
      </c>
    </row>
    <row r="165" spans="1:5" ht="13.2">
      <c r="A165" s="1" t="str">
        <f t="array" ref="A165">IF(B165="", "", IFERROR(INDEX(声優一覧!A:A, MATCH(B165, 声優一覧!B:B, 0)), "該当なし"))</f>
        <v>va_019</v>
      </c>
      <c r="B165" s="1" t="s">
        <v>187</v>
      </c>
      <c r="C165" s="1" t="s">
        <v>267</v>
      </c>
      <c r="D165" s="1" t="str">
        <f>IF(C165="", "", IFERROR(VLOOKUP(C165, 作品一覧!A:B, 2, FALSE), "該当なし"))</f>
        <v>魔法使いの約束</v>
      </c>
      <c r="E165" s="1" t="s">
        <v>983</v>
      </c>
    </row>
    <row r="166" spans="1:5" ht="13.2">
      <c r="A166" s="1" t="str">
        <f t="array" ref="A166">IF(B166="", "", IFERROR(INDEX(声優一覧!A:A, MATCH(B166, 声優一覧!B:B, 0)), "該当なし"))</f>
        <v>va_042</v>
      </c>
      <c r="B166" s="1" t="s">
        <v>309</v>
      </c>
      <c r="C166" s="1" t="s">
        <v>267</v>
      </c>
      <c r="D166" s="1" t="str">
        <f>IF(C166="", "", IFERROR(VLOOKUP(C166, 作品一覧!A:B, 2, FALSE), "該当なし"))</f>
        <v>魔法使いの約束</v>
      </c>
      <c r="E166" s="1" t="s">
        <v>984</v>
      </c>
    </row>
    <row r="167" spans="1:5" ht="13.2">
      <c r="A167" s="1" t="str">
        <f t="array" ref="A167">IF(B167="", "", IFERROR(INDEX(声優一覧!A:A, MATCH(B167, 声優一覧!B:B, 0)), "該当なし"))</f>
        <v>va_082</v>
      </c>
      <c r="B167" s="1" t="s">
        <v>386</v>
      </c>
      <c r="C167" s="1" t="s">
        <v>267</v>
      </c>
      <c r="D167" s="1" t="str">
        <f>IF(C167="", "", IFERROR(VLOOKUP(C167, 作品一覧!A:B, 2, FALSE), "該当なし"))</f>
        <v>魔法使いの約束</v>
      </c>
      <c r="E167" s="1" t="s">
        <v>985</v>
      </c>
    </row>
    <row r="168" spans="1:5" ht="13.2">
      <c r="A168" s="1" t="str">
        <f t="array" ref="A168">IF(B168="", "", IFERROR(INDEX(声優一覧!A:A, MATCH(B168, 声優一覧!B:B, 0)), "該当なし"))</f>
        <v>va_098</v>
      </c>
      <c r="B168" s="1" t="s">
        <v>422</v>
      </c>
      <c r="C168" s="1" t="s">
        <v>267</v>
      </c>
      <c r="D168" s="1" t="str">
        <f>IF(C168="", "", IFERROR(VLOOKUP(C168, 作品一覧!A:B, 2, FALSE), "該当なし"))</f>
        <v>魔法使いの約束</v>
      </c>
      <c r="E168" s="1" t="s">
        <v>986</v>
      </c>
    </row>
    <row r="169" spans="1:5" ht="13.2">
      <c r="A169" s="1" t="str">
        <f t="array" ref="A169">IF(B169="", "", IFERROR(INDEX(声優一覧!A:A, MATCH(B169, 声優一覧!B:B, 0)), "該当なし"))</f>
        <v>va_114</v>
      </c>
      <c r="B169" s="1" t="s">
        <v>455</v>
      </c>
      <c r="C169" s="1" t="s">
        <v>267</v>
      </c>
      <c r="D169" s="1" t="str">
        <f>IF(C169="", "", IFERROR(VLOOKUP(C169, 作品一覧!A:B, 2, FALSE), "該当なし"))</f>
        <v>魔法使いの約束</v>
      </c>
      <c r="E169" s="1" t="s">
        <v>987</v>
      </c>
    </row>
    <row r="170" spans="1:5" ht="13.2">
      <c r="A170" s="1" t="str">
        <f t="array" ref="A170">IF(B170="", "", IFERROR(INDEX(声優一覧!A:A, MATCH(B170, 声優一覧!B:B, 0)), "該当なし"))</f>
        <v>va_136</v>
      </c>
      <c r="B170" s="1" t="s">
        <v>504</v>
      </c>
      <c r="C170" s="1" t="s">
        <v>267</v>
      </c>
      <c r="D170" s="1" t="str">
        <f>IF(C170="", "", IFERROR(VLOOKUP(C170, 作品一覧!A:B, 2, FALSE), "該当なし"))</f>
        <v>魔法使いの約束</v>
      </c>
      <c r="E170" s="1" t="s">
        <v>988</v>
      </c>
    </row>
    <row r="171" spans="1:5" ht="13.2">
      <c r="A171" s="1" t="str">
        <f t="array" ref="A171">IF(B171="", "", IFERROR(INDEX(声優一覧!A:A, MATCH(B171, 声優一覧!B:B, 0)), "該当なし"))</f>
        <v>va_007</v>
      </c>
      <c r="B171" s="1" t="s">
        <v>126</v>
      </c>
      <c r="C171" s="1" t="s">
        <v>267</v>
      </c>
      <c r="D171" s="1" t="str">
        <f>IF(C171="", "", IFERROR(VLOOKUP(C171, 作品一覧!A:B, 2, FALSE), "該当なし"))</f>
        <v>魔法使いの約束</v>
      </c>
      <c r="E171" s="1" t="s">
        <v>989</v>
      </c>
    </row>
    <row r="172" spans="1:5" ht="13.2">
      <c r="A172" s="1" t="str">
        <f t="array" ref="A172">IF(B172="", "", IFERROR(INDEX(声優一覧!A:A, MATCH(B172, 声優一覧!B:B, 0)), "該当なし"))</f>
        <v>va_175</v>
      </c>
      <c r="B172" s="1" t="s">
        <v>585</v>
      </c>
      <c r="C172" s="1" t="s">
        <v>267</v>
      </c>
      <c r="D172" s="1" t="str">
        <f>IF(C172="", "", IFERROR(VLOOKUP(C172, 作品一覧!A:B, 2, FALSE), "該当なし"))</f>
        <v>魔法使いの約束</v>
      </c>
      <c r="E172" s="1" t="s">
        <v>990</v>
      </c>
    </row>
    <row r="173" spans="1:5" ht="13.2">
      <c r="A173" s="1" t="str">
        <f t="array" ref="A173">IF(B173="", "", IFERROR(INDEX(声優一覧!A:A, MATCH(B173, 声優一覧!B:B, 0)), "該当なし"))</f>
        <v>va_186</v>
      </c>
      <c r="B173" s="1" t="s">
        <v>553</v>
      </c>
      <c r="C173" s="1" t="s">
        <v>267</v>
      </c>
      <c r="D173" s="1" t="str">
        <f>IF(C173="", "", IFERROR(VLOOKUP(C173, 作品一覧!A:B, 2, FALSE), "該当なし"))</f>
        <v>魔法使いの約束</v>
      </c>
      <c r="E173" s="1" t="s">
        <v>991</v>
      </c>
    </row>
    <row r="174" spans="1:5" ht="13.2">
      <c r="A174" s="1" t="str">
        <f t="array" ref="A174">IF(B174="", "", IFERROR(INDEX(声優一覧!A:A, MATCH(B174, 声優一覧!B:B, 0)), "該当なし"))</f>
        <v>va_129</v>
      </c>
      <c r="B174" s="1" t="s">
        <v>489</v>
      </c>
      <c r="C174" s="1" t="s">
        <v>267</v>
      </c>
      <c r="D174" s="1" t="str">
        <f>IF(C174="", "", IFERROR(VLOOKUP(C174, 作品一覧!A:B, 2, FALSE), "該当なし"))</f>
        <v>魔法使いの約束</v>
      </c>
      <c r="E174" s="1" t="s">
        <v>992</v>
      </c>
    </row>
    <row r="175" spans="1:5" ht="13.2">
      <c r="A175" s="1" t="str">
        <f t="array" ref="A175">IF(B175="", "", IFERROR(INDEX(声優一覧!A:A, MATCH(B175, 声優一覧!B:B, 0)), "該当なし"))</f>
        <v>va_167</v>
      </c>
      <c r="B175" s="1" t="s">
        <v>569</v>
      </c>
      <c r="C175" s="1" t="s">
        <v>267</v>
      </c>
      <c r="D175" s="1" t="str">
        <f>IF(C175="", "", IFERROR(VLOOKUP(C175, 作品一覧!A:B, 2, FALSE), "該当なし"))</f>
        <v>魔法使いの約束</v>
      </c>
      <c r="E175" s="1" t="s">
        <v>993</v>
      </c>
    </row>
    <row r="176" spans="1:5" ht="13.2">
      <c r="A176" s="1" t="str">
        <f t="array" ref="A176">IF(B176="", "", IFERROR(INDEX(声優一覧!A:A, MATCH(B176, 声優一覧!B:B, 0)), "該当なし"))</f>
        <v>va_183</v>
      </c>
      <c r="B176" s="1" t="s">
        <v>600</v>
      </c>
      <c r="C176" s="1" t="s">
        <v>267</v>
      </c>
      <c r="D176" s="1" t="str">
        <f>IF(C176="", "", IFERROR(VLOOKUP(C176, 作品一覧!A:B, 2, FALSE), "該当なし"))</f>
        <v>魔法使いの約束</v>
      </c>
      <c r="E176" s="1" t="s">
        <v>994</v>
      </c>
    </row>
    <row r="177" spans="1:5" ht="13.2">
      <c r="A177" s="1" t="str">
        <f t="array" ref="A177">IF(B177="", "", IFERROR(INDEX(声優一覧!A:A, MATCH(B177, 声優一覧!B:B, 0)), "該当なし"))</f>
        <v>va_150</v>
      </c>
      <c r="B177" s="1" t="s">
        <v>532</v>
      </c>
      <c r="C177" s="1" t="s">
        <v>167</v>
      </c>
      <c r="D177" s="1" t="str">
        <f>IF(C177="", "", IFERROR(VLOOKUP(C177, 作品一覧!A:B, 2, FALSE), "該当なし"))</f>
        <v>ツイステッドワンダーランド</v>
      </c>
      <c r="E177" s="1" t="s">
        <v>995</v>
      </c>
    </row>
    <row r="178" spans="1:5" ht="13.2">
      <c r="A178" s="1" t="str">
        <f t="array" ref="A178">IF(B178="", "", IFERROR(INDEX(声優一覧!A:A, MATCH(B178, 声優一覧!B:B, 0)), "該当なし"))</f>
        <v>va_192</v>
      </c>
      <c r="B178" s="1" t="s">
        <v>617</v>
      </c>
      <c r="C178" s="1" t="s">
        <v>167</v>
      </c>
      <c r="D178" s="1" t="str">
        <f>IF(C178="", "", IFERROR(VLOOKUP(C178, 作品一覧!A:B, 2, FALSE), "該当なし"))</f>
        <v>ツイステッドワンダーランド</v>
      </c>
      <c r="E178" s="1" t="s">
        <v>996</v>
      </c>
    </row>
    <row r="179" spans="1:5" ht="13.2">
      <c r="A179" s="1" t="str">
        <f t="array" ref="A179">IF(B179="", "", IFERROR(INDEX(声優一覧!A:A, MATCH(B179, 声優一覧!B:B, 0)), "該当なし"))</f>
        <v>va_072</v>
      </c>
      <c r="B179" s="1" t="s">
        <v>366</v>
      </c>
      <c r="C179" s="1" t="s">
        <v>167</v>
      </c>
      <c r="D179" s="1" t="str">
        <f>IF(C179="", "", IFERROR(VLOOKUP(C179, 作品一覧!A:B, 2, FALSE), "該当なし"))</f>
        <v>ツイステッドワンダーランド</v>
      </c>
      <c r="E179" s="1" t="s">
        <v>997</v>
      </c>
    </row>
    <row r="180" spans="1:5" ht="13.2">
      <c r="A180" s="1" t="str">
        <f t="array" ref="A180">IF(B180="", "", IFERROR(INDEX(声優一覧!A:A, MATCH(B180, 声優一覧!B:B, 0)), "該当なし"))</f>
        <v>va_101</v>
      </c>
      <c r="B180" s="1" t="s">
        <v>428</v>
      </c>
      <c r="C180" s="1" t="s">
        <v>167</v>
      </c>
      <c r="D180" s="1" t="str">
        <f>IF(C180="", "", IFERROR(VLOOKUP(C180, 作品一覧!A:B, 2, FALSE), "該当なし"))</f>
        <v>ツイステッドワンダーランド</v>
      </c>
      <c r="E180" s="1" t="s">
        <v>998</v>
      </c>
    </row>
    <row r="181" spans="1:5" ht="13.2">
      <c r="A181" s="1" t="str">
        <f t="array" ref="A181">IF(B181="", "", IFERROR(INDEX(声優一覧!A:A, MATCH(B181, 声優一覧!B:B, 0)), "該当なし"))</f>
        <v>va_074</v>
      </c>
      <c r="B181" s="1" t="s">
        <v>370</v>
      </c>
      <c r="C181" s="1" t="s">
        <v>167</v>
      </c>
      <c r="D181" s="1" t="str">
        <f>IF(C181="", "", IFERROR(VLOOKUP(C181, 作品一覧!A:B, 2, FALSE), "該当なし"))</f>
        <v>ツイステッドワンダーランド</v>
      </c>
      <c r="E181" s="1" t="s">
        <v>999</v>
      </c>
    </row>
    <row r="182" spans="1:5" ht="13.2">
      <c r="A182" s="1" t="str">
        <f t="array" ref="A182">IF(B182="", "", IFERROR(INDEX(声優一覧!A:A, MATCH(B182, 声優一覧!B:B, 0)), "該当なし"))</f>
        <v>va_033</v>
      </c>
      <c r="B182" s="1" t="s">
        <v>291</v>
      </c>
      <c r="C182" s="1" t="s">
        <v>167</v>
      </c>
      <c r="D182" s="1" t="str">
        <f>IF(C182="", "", IFERROR(VLOOKUP(C182, 作品一覧!A:B, 2, FALSE), "該当なし"))</f>
        <v>ツイステッドワンダーランド</v>
      </c>
      <c r="E182" s="1" t="s">
        <v>1000</v>
      </c>
    </row>
    <row r="183" spans="1:5" ht="13.2">
      <c r="A183" s="1" t="str">
        <f t="array" ref="A183">IF(B183="", "", IFERROR(INDEX(声優一覧!A:A, MATCH(B183, 声優一覧!B:B, 0)), "該当なし"))</f>
        <v>va_015</v>
      </c>
      <c r="B183" s="1" t="s">
        <v>158</v>
      </c>
      <c r="C183" s="1" t="s">
        <v>167</v>
      </c>
      <c r="D183" s="1" t="str">
        <f>IF(C183="", "", IFERROR(VLOOKUP(C183, 作品一覧!A:B, 2, FALSE), "該当なし"))</f>
        <v>ツイステッドワンダーランド</v>
      </c>
      <c r="E183" s="1" t="s">
        <v>1001</v>
      </c>
    </row>
    <row r="184" spans="1:5" ht="13.2">
      <c r="A184" s="1" t="str">
        <f t="array" ref="A184">IF(B184="", "", IFERROR(INDEX(声優一覧!A:A, MATCH(B184, 声優一覧!B:B, 0)), "該当なし"))</f>
        <v>va_085</v>
      </c>
      <c r="B184" s="1" t="s">
        <v>393</v>
      </c>
      <c r="C184" s="1" t="s">
        <v>167</v>
      </c>
      <c r="D184" s="1" t="str">
        <f>IF(C184="", "", IFERROR(VLOOKUP(C184, 作品一覧!A:B, 2, FALSE), "該当なし"))</f>
        <v>ツイステッドワンダーランド</v>
      </c>
      <c r="E184" s="1" t="s">
        <v>1002</v>
      </c>
    </row>
    <row r="185" spans="1:5" ht="13.2">
      <c r="A185" s="1" t="str">
        <f t="array" ref="A185">IF(B185="", "", IFERROR(INDEX(声優一覧!A:A, MATCH(B185, 声優一覧!B:B, 0)), "該当なし"))</f>
        <v>va_117</v>
      </c>
      <c r="B185" s="1" t="s">
        <v>462</v>
      </c>
      <c r="C185" s="1" t="s">
        <v>167</v>
      </c>
      <c r="D185" s="1" t="str">
        <f>IF(C185="", "", IFERROR(VLOOKUP(C185, 作品一覧!A:B, 2, FALSE), "該当なし"))</f>
        <v>ツイステッドワンダーランド</v>
      </c>
      <c r="E185" s="1" t="s">
        <v>1003</v>
      </c>
    </row>
    <row r="186" spans="1:5" ht="13.2">
      <c r="A186" s="1" t="str">
        <f t="array" ref="A186">IF(B186="", "", IFERROR(INDEX(声優一覧!A:A, MATCH(B186, 声優一覧!B:B, 0)), "該当なし"))</f>
        <v>va_077</v>
      </c>
      <c r="B186" s="1" t="s">
        <v>377</v>
      </c>
      <c r="C186" s="1" t="s">
        <v>167</v>
      </c>
      <c r="D186" s="1" t="str">
        <f>IF(C186="", "", IFERROR(VLOOKUP(C186, 作品一覧!A:B, 2, FALSE), "該当なし"))</f>
        <v>ツイステッドワンダーランド</v>
      </c>
      <c r="E186" s="1" t="s">
        <v>1004</v>
      </c>
    </row>
    <row r="187" spans="1:5" ht="13.2">
      <c r="A187" s="1" t="str">
        <f t="array" ref="A187">IF(B187="", "", IFERROR(INDEX(声優一覧!A:A, MATCH(B187, 声優一覧!B:B, 0)), "該当なし"))</f>
        <v>va_042</v>
      </c>
      <c r="B187" s="1" t="s">
        <v>309</v>
      </c>
      <c r="C187" s="1" t="s">
        <v>167</v>
      </c>
      <c r="D187" s="1" t="str">
        <f>IF(C187="", "", IFERROR(VLOOKUP(C187, 作品一覧!A:B, 2, FALSE), "該当なし"))</f>
        <v>ツイステッドワンダーランド</v>
      </c>
      <c r="E187" s="1" t="s">
        <v>1005</v>
      </c>
    </row>
    <row r="188" spans="1:5" ht="13.2">
      <c r="A188" s="1" t="str">
        <f t="array" ref="A188">IF(B188="", "", IFERROR(INDEX(声優一覧!A:A, MATCH(B188, 声優一覧!B:B, 0)), "該当なし"))</f>
        <v>va_162</v>
      </c>
      <c r="B188" s="1" t="s">
        <v>559</v>
      </c>
      <c r="C188" s="1" t="s">
        <v>167</v>
      </c>
      <c r="D188" s="1" t="str">
        <f>IF(C188="", "", IFERROR(VLOOKUP(C188, 作品一覧!A:B, 2, FALSE), "該当なし"))</f>
        <v>ツイステッドワンダーランド</v>
      </c>
      <c r="E188" s="1" t="s">
        <v>1006</v>
      </c>
    </row>
    <row r="189" spans="1:5" ht="13.2">
      <c r="A189" s="1" t="str">
        <f t="array" ref="A189">IF(B189="", "", IFERROR(INDEX(声優一覧!A:A, MATCH(B189, 声優一覧!B:B, 0)), "該当なし"))</f>
        <v>va_140</v>
      </c>
      <c r="B189" s="1" t="s">
        <v>510</v>
      </c>
      <c r="C189" s="1" t="s">
        <v>167</v>
      </c>
      <c r="D189" s="1" t="str">
        <f>IF(C189="", "", IFERROR(VLOOKUP(C189, 作品一覧!A:B, 2, FALSE), "該当なし"))</f>
        <v>ツイステッドワンダーランド</v>
      </c>
      <c r="E189" s="1" t="s">
        <v>1007</v>
      </c>
    </row>
    <row r="190" spans="1:5" ht="13.2">
      <c r="A190" s="1" t="str">
        <f t="array" ref="A190">IF(B190="", "", IFERROR(INDEX(声優一覧!A:A, MATCH(B190, 声優一覧!B:B, 0)), "該当なし"))</f>
        <v>va_010</v>
      </c>
      <c r="B190" s="1" t="s">
        <v>139</v>
      </c>
      <c r="C190" s="1" t="s">
        <v>167</v>
      </c>
      <c r="D190" s="1" t="str">
        <f>IF(C190="", "", IFERROR(VLOOKUP(C190, 作品一覧!A:B, 2, FALSE), "該当なし"))</f>
        <v>ツイステッドワンダーランド</v>
      </c>
      <c r="E190" s="1" t="s">
        <v>1008</v>
      </c>
    </row>
    <row r="191" spans="1:5" ht="13.2">
      <c r="A191" s="1" t="str">
        <f t="array" ref="A191">IF(B191="", "", IFERROR(INDEX(声優一覧!A:A, MATCH(B191, 声優一覧!B:B, 0)), "該当なし"))</f>
        <v>va_123</v>
      </c>
      <c r="B191" s="1" t="s">
        <v>475</v>
      </c>
      <c r="C191" s="1" t="s">
        <v>167</v>
      </c>
      <c r="D191" s="1" t="str">
        <f>IF(C191="", "", IFERROR(VLOOKUP(C191, 作品一覧!A:B, 2, FALSE), "該当なし"))</f>
        <v>ツイステッドワンダーランド</v>
      </c>
      <c r="E191" s="1" t="s">
        <v>1009</v>
      </c>
    </row>
    <row r="192" spans="1:5" ht="13.2">
      <c r="A192" s="1" t="str">
        <f t="array" ref="A192">IF(B192="", "", IFERROR(INDEX(声優一覧!A:A, MATCH(B192, 声優一覧!B:B, 0)), "該当なし"))</f>
        <v>va_020</v>
      </c>
      <c r="B192" s="1" t="s">
        <v>195</v>
      </c>
      <c r="C192" s="1" t="s">
        <v>167</v>
      </c>
      <c r="D192" s="1" t="str">
        <f>IF(C192="", "", IFERROR(VLOOKUP(C192, 作品一覧!A:B, 2, FALSE), "該当なし"))</f>
        <v>ツイステッドワンダーランド</v>
      </c>
      <c r="E192" s="1" t="s">
        <v>1010</v>
      </c>
    </row>
    <row r="193" spans="1:5" ht="13.2">
      <c r="A193" s="1" t="str">
        <f t="array" ref="A193">IF(B193="", "", IFERROR(INDEX(声優一覧!A:A, MATCH(B193, 声優一覧!B:B, 0)), "該当なし"))</f>
        <v>va_031</v>
      </c>
      <c r="B193" s="1" t="s">
        <v>284</v>
      </c>
      <c r="C193" s="1" t="s">
        <v>167</v>
      </c>
      <c r="D193" s="1" t="str">
        <f>IF(C193="", "", IFERROR(VLOOKUP(C193, 作品一覧!A:B, 2, FALSE), "該当なし"))</f>
        <v>ツイステッドワンダーランド</v>
      </c>
      <c r="E193" s="1" t="s">
        <v>1011</v>
      </c>
    </row>
    <row r="194" spans="1:5" ht="13.2">
      <c r="A194" s="1" t="str">
        <f t="array" ref="A194">IF(B194="", "", IFERROR(INDEX(声優一覧!A:A, MATCH(B194, 声優一覧!B:B, 0)), "該当なし"))</f>
        <v>va_009</v>
      </c>
      <c r="B194" s="1" t="s">
        <v>137</v>
      </c>
      <c r="C194" s="1" t="s">
        <v>167</v>
      </c>
      <c r="D194" s="1" t="str">
        <f>IF(C194="", "", IFERROR(VLOOKUP(C194, 作品一覧!A:B, 2, FALSE), "該当なし"))</f>
        <v>ツイステッドワンダーランド</v>
      </c>
      <c r="E194" s="1" t="s">
        <v>1012</v>
      </c>
    </row>
    <row r="195" spans="1:5" ht="13.2">
      <c r="A195" s="1" t="str">
        <f t="array" ref="A195">IF(B195="", "", IFERROR(INDEX(声優一覧!A:A, MATCH(B195, 声優一覧!B:B, 0)), "該当なし"))</f>
        <v>va_049</v>
      </c>
      <c r="B195" s="1" t="s">
        <v>323</v>
      </c>
      <c r="C195" s="1" t="s">
        <v>167</v>
      </c>
      <c r="D195" s="1" t="str">
        <f>IF(C195="", "", IFERROR(VLOOKUP(C195, 作品一覧!A:B, 2, FALSE), "該当なし"))</f>
        <v>ツイステッドワンダーランド</v>
      </c>
      <c r="E195" s="1" t="s">
        <v>1013</v>
      </c>
    </row>
    <row r="196" spans="1:5" ht="13.2">
      <c r="A196" s="1" t="str">
        <f t="array" ref="A196">IF(B196="", "", IFERROR(INDEX(声優一覧!A:A, MATCH(B196, 声優一覧!B:B, 0)), "該当なし"))</f>
        <v>va_180</v>
      </c>
      <c r="B196" s="1" t="s">
        <v>525</v>
      </c>
      <c r="C196" s="1" t="s">
        <v>167</v>
      </c>
      <c r="D196" s="1" t="str">
        <f>IF(C196="", "", IFERROR(VLOOKUP(C196, 作品一覧!A:B, 2, FALSE), "該当なし"))</f>
        <v>ツイステッドワンダーランド</v>
      </c>
      <c r="E196" s="1" t="s">
        <v>1014</v>
      </c>
    </row>
    <row r="197" spans="1:5" ht="13.2">
      <c r="A197" s="1" t="str">
        <f t="array" ref="A197">IF(B197="", "", IFERROR(INDEX(声優一覧!A:A, MATCH(B197, 声優一覧!B:B, 0)), "該当なし"))</f>
        <v>va_094</v>
      </c>
      <c r="B197" s="1" t="s">
        <v>413</v>
      </c>
      <c r="C197" s="1" t="s">
        <v>167</v>
      </c>
      <c r="D197" s="1" t="str">
        <f>IF(C197="", "", IFERROR(VLOOKUP(C197, 作品一覧!A:B, 2, FALSE), "該当なし"))</f>
        <v>ツイステッドワンダーランド</v>
      </c>
      <c r="E197" s="1" t="s">
        <v>1015</v>
      </c>
    </row>
    <row r="198" spans="1:5" ht="13.2">
      <c r="A198" s="1" t="str">
        <f t="array" ref="A198">IF(B198="", "", IFERROR(INDEX(声優一覧!A:A, MATCH(B198, 声優一覧!B:B, 0)), "該当なし"))</f>
        <v>va_014</v>
      </c>
      <c r="B198" s="1" t="s">
        <v>150</v>
      </c>
      <c r="C198" s="1" t="s">
        <v>167</v>
      </c>
      <c r="D198" s="1" t="str">
        <f>IF(C198="", "", IFERROR(VLOOKUP(C198, 作品一覧!A:B, 2, FALSE), "該当なし"))</f>
        <v>ツイステッドワンダーランド</v>
      </c>
      <c r="E198" s="1" t="s">
        <v>1016</v>
      </c>
    </row>
    <row r="199" spans="1:5" ht="13.2">
      <c r="A199" s="1" t="str">
        <f t="array" ref="A199">IF(B199="", "", IFERROR(INDEX(声優一覧!A:A, MATCH(B199, 声優一覧!B:B, 0)), "該当なし"))</f>
        <v>va_117</v>
      </c>
      <c r="B199" s="1" t="s">
        <v>462</v>
      </c>
      <c r="C199" s="1" t="s">
        <v>9</v>
      </c>
      <c r="D199" s="1" t="str">
        <f>IF(C199="", "", IFERROR(VLOOKUP(C199, 作品一覧!A:B, 2, FALSE), "該当なし"))</f>
        <v>悪魔執事と黒い猫</v>
      </c>
      <c r="E199" s="1" t="s">
        <v>1017</v>
      </c>
    </row>
    <row r="200" spans="1:5" ht="13.2">
      <c r="A200" s="1" t="str">
        <f t="array" ref="A200">IF(B200="", "", IFERROR(INDEX(声優一覧!A:A, MATCH(B200, 声優一覧!B:B, 0)), "該当なし"))</f>
        <v>va_101</v>
      </c>
      <c r="B200" s="1" t="s">
        <v>428</v>
      </c>
      <c r="C200" s="1" t="s">
        <v>9</v>
      </c>
      <c r="D200" s="1" t="str">
        <f>IF(C200="", "", IFERROR(VLOOKUP(C200, 作品一覧!A:B, 2, FALSE), "該当なし"))</f>
        <v>悪魔執事と黒い猫</v>
      </c>
      <c r="E200" s="1" t="s">
        <v>1018</v>
      </c>
    </row>
    <row r="201" spans="1:5" ht="13.2">
      <c r="A201" s="1" t="str">
        <f t="array" ref="A201">IF(B201="", "", IFERROR(INDEX(声優一覧!A:A, MATCH(B201, 声優一覧!B:B, 0)), "該当なし"))</f>
        <v>va_162</v>
      </c>
      <c r="B201" s="1" t="s">
        <v>559</v>
      </c>
      <c r="C201" s="1" t="s">
        <v>9</v>
      </c>
      <c r="D201" s="1" t="str">
        <f>IF(C201="", "", IFERROR(VLOOKUP(C201, 作品一覧!A:B, 2, FALSE), "該当なし"))</f>
        <v>悪魔執事と黒い猫</v>
      </c>
      <c r="E201" s="1" t="s">
        <v>1019</v>
      </c>
    </row>
    <row r="202" spans="1:5" ht="13.2">
      <c r="A202" s="1" t="str">
        <f t="array" ref="A202">IF(B202="", "", IFERROR(INDEX(声優一覧!A:A, MATCH(B202, 声優一覧!B:B, 0)), "該当なし"))</f>
        <v>va_063</v>
      </c>
      <c r="B202" s="1" t="s">
        <v>348</v>
      </c>
      <c r="C202" s="1" t="s">
        <v>9</v>
      </c>
      <c r="D202" s="1" t="str">
        <f>IF(C202="", "", IFERROR(VLOOKUP(C202, 作品一覧!A:B, 2, FALSE), "該当なし"))</f>
        <v>悪魔執事と黒い猫</v>
      </c>
      <c r="E202" s="1" t="s">
        <v>1020</v>
      </c>
    </row>
    <row r="203" spans="1:5" ht="13.2">
      <c r="A203" s="1" t="str">
        <f t="array" ref="A203">IF(B203="", "", IFERROR(INDEX(声優一覧!A:A, MATCH(B203, 声優一覧!B:B, 0)), "該当なし"))</f>
        <v>va_085</v>
      </c>
      <c r="B203" s="1" t="s">
        <v>393</v>
      </c>
      <c r="C203" s="1" t="s">
        <v>9</v>
      </c>
      <c r="D203" s="1" t="str">
        <f>IF(C203="", "", IFERROR(VLOOKUP(C203, 作品一覧!A:B, 2, FALSE), "該当なし"))</f>
        <v>悪魔執事と黒い猫</v>
      </c>
      <c r="E203" s="1" t="s">
        <v>1021</v>
      </c>
    </row>
    <row r="204" spans="1:5" ht="13.2">
      <c r="A204" s="1" t="str">
        <f t="array" ref="A204">IF(B204="", "", IFERROR(INDEX(声優一覧!A:A, MATCH(B204, 声優一覧!B:B, 0)), "該当なし"))</f>
        <v>va_107</v>
      </c>
      <c r="B204" s="1" t="s">
        <v>440</v>
      </c>
      <c r="C204" s="1" t="s">
        <v>9</v>
      </c>
      <c r="D204" s="1" t="str">
        <f>IF(C204="", "", IFERROR(VLOOKUP(C204, 作品一覧!A:B, 2, FALSE), "該当なし"))</f>
        <v>悪魔執事と黒い猫</v>
      </c>
      <c r="E204" s="1" t="s">
        <v>1022</v>
      </c>
    </row>
    <row r="205" spans="1:5" ht="13.2">
      <c r="A205" s="1" t="str">
        <f t="array" ref="A205">IF(B205="", "", IFERROR(INDEX(声優一覧!A:A, MATCH(B205, 声優一覧!B:B, 0)), "該当なし"))</f>
        <v>va_022</v>
      </c>
      <c r="B205" s="1" t="s">
        <v>209</v>
      </c>
      <c r="C205" s="1" t="s">
        <v>9</v>
      </c>
      <c r="D205" s="1" t="str">
        <f>IF(C205="", "", IFERROR(VLOOKUP(C205, 作品一覧!A:B, 2, FALSE), "該当なし"))</f>
        <v>悪魔執事と黒い猫</v>
      </c>
      <c r="E205" s="1" t="s">
        <v>1023</v>
      </c>
    </row>
    <row r="206" spans="1:5" ht="13.2">
      <c r="A206" s="1" t="str">
        <f t="array" ref="A206">IF(B206="", "", IFERROR(INDEX(声優一覧!A:A, MATCH(B206, 声優一覧!B:B, 0)), "該当なし"))</f>
        <v>va_060</v>
      </c>
      <c r="B206" s="1" t="s">
        <v>344</v>
      </c>
      <c r="C206" s="1" t="s">
        <v>9</v>
      </c>
      <c r="D206" s="1" t="str">
        <f>IF(C206="", "", IFERROR(VLOOKUP(C206, 作品一覧!A:B, 2, FALSE), "該当なし"))</f>
        <v>悪魔執事と黒い猫</v>
      </c>
      <c r="E206" s="1" t="s">
        <v>1024</v>
      </c>
    </row>
    <row r="207" spans="1:5" ht="13.2">
      <c r="A207" s="1" t="str">
        <f t="array" ref="A207">IF(B207="", "", IFERROR(INDEX(声優一覧!A:A, MATCH(B207, 声優一覧!B:B, 0)), "該当なし"))</f>
        <v>va_014</v>
      </c>
      <c r="B207" s="1" t="s">
        <v>150</v>
      </c>
      <c r="C207" s="1" t="s">
        <v>9</v>
      </c>
      <c r="D207" s="1" t="str">
        <f>IF(C207="", "", IFERROR(VLOOKUP(C207, 作品一覧!A:B, 2, FALSE), "該当なし"))</f>
        <v>悪魔執事と黒い猫</v>
      </c>
      <c r="E207" s="1" t="s">
        <v>1025</v>
      </c>
    </row>
    <row r="208" spans="1:5" ht="13.2">
      <c r="A208" s="1" t="str">
        <f t="array" ref="A208">IF(B208="", "", IFERROR(INDEX(声優一覧!A:A, MATCH(B208, 声優一覧!B:B, 0)), "該当なし"))</f>
        <v>va_086</v>
      </c>
      <c r="B208" s="1" t="s">
        <v>395</v>
      </c>
      <c r="C208" s="1" t="s">
        <v>9</v>
      </c>
      <c r="D208" s="1" t="str">
        <f>IF(C208="", "", IFERROR(VLOOKUP(C208, 作品一覧!A:B, 2, FALSE), "該当なし"))</f>
        <v>悪魔執事と黒い猫</v>
      </c>
      <c r="E208" s="1" t="s">
        <v>1026</v>
      </c>
    </row>
    <row r="209" spans="1:5" ht="13.2">
      <c r="A209" s="1" t="str">
        <f t="array" ref="A209">IF(B209="", "", IFERROR(INDEX(声優一覧!A:A, MATCH(B209, 声優一覧!B:B, 0)), "該当なし"))</f>
        <v>va_196</v>
      </c>
      <c r="B209" s="1" t="s">
        <v>625</v>
      </c>
      <c r="C209" s="1" t="s">
        <v>9</v>
      </c>
      <c r="D209" s="1" t="str">
        <f>IF(C209="", "", IFERROR(VLOOKUP(C209, 作品一覧!A:B, 2, FALSE), "該当なし"))</f>
        <v>悪魔執事と黒い猫</v>
      </c>
      <c r="E209" s="1" t="s">
        <v>1027</v>
      </c>
    </row>
    <row r="210" spans="1:5" ht="13.2">
      <c r="A210" s="1" t="str">
        <f t="array" ref="A210">IF(B210="", "", IFERROR(INDEX(声優一覧!A:A, MATCH(B210, 声優一覧!B:B, 0)), "該当なし"))</f>
        <v>va_116</v>
      </c>
      <c r="B210" s="1" t="s">
        <v>460</v>
      </c>
      <c r="C210" s="1" t="s">
        <v>9</v>
      </c>
      <c r="D210" s="1" t="str">
        <f>IF(C210="", "", IFERROR(VLOOKUP(C210, 作品一覧!A:B, 2, FALSE), "該当なし"))</f>
        <v>悪魔執事と黒い猫</v>
      </c>
      <c r="E210" s="1" t="s">
        <v>1028</v>
      </c>
    </row>
    <row r="211" spans="1:5" ht="13.2">
      <c r="A211" s="1" t="str">
        <f t="array" ref="A211">IF(B211="", "", IFERROR(INDEX(声優一覧!A:A, MATCH(B211, 声優一覧!B:B, 0)), "該当なし"))</f>
        <v>va_034</v>
      </c>
      <c r="B211" s="1" t="s">
        <v>293</v>
      </c>
      <c r="C211" s="1" t="s">
        <v>9</v>
      </c>
      <c r="D211" s="1" t="str">
        <f>IF(C211="", "", IFERROR(VLOOKUP(C211, 作品一覧!A:B, 2, FALSE), "該当なし"))</f>
        <v>悪魔執事と黒い猫</v>
      </c>
      <c r="E211" s="1" t="s">
        <v>1029</v>
      </c>
    </row>
    <row r="212" spans="1:5" ht="13.2">
      <c r="A212" s="1" t="str">
        <f t="array" ref="A212">IF(B212="", "", IFERROR(INDEX(声優一覧!A:A, MATCH(B212, 声優一覧!B:B, 0)), "該当なし"))</f>
        <v>va_094</v>
      </c>
      <c r="B212" s="1" t="s">
        <v>413</v>
      </c>
      <c r="C212" s="1" t="s">
        <v>9</v>
      </c>
      <c r="D212" s="1" t="str">
        <f>IF(C212="", "", IFERROR(VLOOKUP(C212, 作品一覧!A:B, 2, FALSE), "該当なし"))</f>
        <v>悪魔執事と黒い猫</v>
      </c>
      <c r="E212" s="1" t="s">
        <v>1030</v>
      </c>
    </row>
    <row r="213" spans="1:5" ht="13.2">
      <c r="A213" s="1" t="str">
        <f t="array" ref="A213">IF(B213="", "", IFERROR(INDEX(声優一覧!A:A, MATCH(B213, 声優一覧!B:B, 0)), "該当なし"))</f>
        <v>va_035</v>
      </c>
      <c r="B213" s="1" t="s">
        <v>295</v>
      </c>
      <c r="C213" s="1" t="s">
        <v>9</v>
      </c>
      <c r="D213" s="1" t="str">
        <f>IF(C213="", "", IFERROR(VLOOKUP(C213, 作品一覧!A:B, 2, FALSE), "該当なし"))</f>
        <v>悪魔執事と黒い猫</v>
      </c>
      <c r="E213" s="1" t="s">
        <v>1031</v>
      </c>
    </row>
    <row r="214" spans="1:5" ht="13.2">
      <c r="A214" s="1" t="str">
        <f t="array" ref="A214">IF(B214="", "", IFERROR(INDEX(声優一覧!A:A, MATCH(B214, 声優一覧!B:B, 0)), "該当なし"))</f>
        <v>va_083</v>
      </c>
      <c r="B214" s="1" t="s">
        <v>388</v>
      </c>
      <c r="C214" s="1" t="s">
        <v>9</v>
      </c>
      <c r="D214" s="1" t="str">
        <f>IF(C214="", "", IFERROR(VLOOKUP(C214, 作品一覧!A:B, 2, FALSE), "該当なし"))</f>
        <v>悪魔執事と黒い猫</v>
      </c>
      <c r="E214" s="1" t="s">
        <v>1032</v>
      </c>
    </row>
    <row r="215" spans="1:5" ht="13.2">
      <c r="A215" s="1" t="str">
        <f t="array" ref="A215">IF(B215="", "", IFERROR(INDEX(声優一覧!A:A, MATCH(B215, 声優一覧!B:B, 0)), "該当なし"))</f>
        <v>va_042</v>
      </c>
      <c r="B215" s="1" t="s">
        <v>309</v>
      </c>
      <c r="C215" s="1" t="s">
        <v>9</v>
      </c>
      <c r="D215" s="1" t="str">
        <f>IF(C215="", "", IFERROR(VLOOKUP(C215, 作品一覧!A:B, 2, FALSE), "該当なし"))</f>
        <v>悪魔執事と黒い猫</v>
      </c>
      <c r="E215" s="1" t="s">
        <v>1033</v>
      </c>
    </row>
    <row r="216" spans="1:5" ht="13.2">
      <c r="A216" s="1" t="str">
        <f t="array" ref="A216">IF(B216="", "", IFERROR(INDEX(声優一覧!A:A, MATCH(B216, 声優一覧!B:B, 0)), "該当なし"))</f>
        <v>va_033</v>
      </c>
      <c r="B216" s="1" t="s">
        <v>291</v>
      </c>
      <c r="C216" s="1" t="s">
        <v>9</v>
      </c>
      <c r="D216" s="1" t="str">
        <f>IF(C216="", "", IFERROR(VLOOKUP(C216, 作品一覧!A:B, 2, FALSE), "該当なし"))</f>
        <v>悪魔執事と黒い猫</v>
      </c>
      <c r="E216" s="1" t="s">
        <v>1034</v>
      </c>
    </row>
    <row r="217" spans="1:5" ht="13.2">
      <c r="A217" s="1" t="str">
        <f t="array" ref="A217">IF(B217="", "", IFERROR(INDEX(声優一覧!A:A, MATCH(B217, 声優一覧!B:B, 0)), "該当なし"))</f>
        <v>va_132</v>
      </c>
      <c r="B217" s="1" t="s">
        <v>407</v>
      </c>
      <c r="C217" s="1" t="s">
        <v>9</v>
      </c>
      <c r="D217" s="1" t="str">
        <f>IF(C217="", "", IFERROR(VLOOKUP(C217, 作品一覧!A:B, 2, FALSE), "該当なし"))</f>
        <v>悪魔執事と黒い猫</v>
      </c>
      <c r="E217" s="1" t="s">
        <v>1035</v>
      </c>
    </row>
    <row r="218" spans="1:5" ht="13.2">
      <c r="A218" s="1" t="str">
        <f t="array" ref="A218">IF(B218="", "", IFERROR(INDEX(声優一覧!A:A, MATCH(B218, 声優一覧!B:B, 0)), "該当なし"))</f>
        <v>va_147</v>
      </c>
      <c r="B218" s="1" t="s">
        <v>524</v>
      </c>
      <c r="C218" s="1" t="s">
        <v>60</v>
      </c>
      <c r="D218" s="1" t="str">
        <f>IF(C218="", "", IFERROR(VLOOKUP(C218, 作品一覧!A:B, 2, FALSE), "該当なし"))</f>
        <v>18TRIP</v>
      </c>
      <c r="E218" s="1" t="s">
        <v>1036</v>
      </c>
    </row>
    <row r="219" spans="1:5" ht="13.2">
      <c r="A219" s="1" t="str">
        <f t="array" ref="A219">IF(B219="", "", IFERROR(INDEX(声優一覧!A:A, MATCH(B219, 声優一覧!B:B, 0)), "該当なし"))</f>
        <v>va_072</v>
      </c>
      <c r="B219" s="1" t="s">
        <v>366</v>
      </c>
      <c r="C219" s="1" t="s">
        <v>60</v>
      </c>
      <c r="D219" s="1" t="str">
        <f>IF(C219="", "", IFERROR(VLOOKUP(C219, 作品一覧!A:B, 2, FALSE), "該当なし"))</f>
        <v>18TRIP</v>
      </c>
      <c r="E219" s="1" t="s">
        <v>1037</v>
      </c>
    </row>
    <row r="220" spans="1:5" ht="13.2">
      <c r="A220" s="1" t="str">
        <f t="array" ref="A220">IF(B220="", "", IFERROR(INDEX(声優一覧!A:A, MATCH(B220, 声優一覧!B:B, 0)), "該当なし"))</f>
        <v>va_038</v>
      </c>
      <c r="B220" s="1" t="s">
        <v>301</v>
      </c>
      <c r="C220" s="1" t="s">
        <v>60</v>
      </c>
      <c r="D220" s="1" t="str">
        <f>IF(C220="", "", IFERROR(VLOOKUP(C220, 作品一覧!A:B, 2, FALSE), "該当なし"))</f>
        <v>18TRIP</v>
      </c>
      <c r="E220" s="1" t="s">
        <v>1038</v>
      </c>
    </row>
    <row r="221" spans="1:5" ht="13.2">
      <c r="A221" s="1" t="str">
        <f t="array" ref="A221">IF(B221="", "", IFERROR(INDEX(声優一覧!A:A, MATCH(B221, 声優一覧!B:B, 0)), "該当なし"))</f>
        <v>va_134</v>
      </c>
      <c r="B221" s="1" t="s">
        <v>500</v>
      </c>
      <c r="C221" s="1" t="s">
        <v>60</v>
      </c>
      <c r="D221" s="1" t="str">
        <f>IF(C221="", "", IFERROR(VLOOKUP(C221, 作品一覧!A:B, 2, FALSE), "該当なし"))</f>
        <v>18TRIP</v>
      </c>
      <c r="E221" s="1" t="s">
        <v>1039</v>
      </c>
    </row>
    <row r="222" spans="1:5" ht="13.2">
      <c r="A222" s="1" t="str">
        <f t="array" ref="A222">IF(B222="", "", IFERROR(INDEX(声優一覧!A:A, MATCH(B222, 声優一覧!B:B, 0)), "該当なし"))</f>
        <v>va_158</v>
      </c>
      <c r="B222" s="1" t="s">
        <v>550</v>
      </c>
      <c r="C222" s="1" t="s">
        <v>60</v>
      </c>
      <c r="D222" s="1" t="str">
        <f>IF(C222="", "", IFERROR(VLOOKUP(C222, 作品一覧!A:B, 2, FALSE), "該当なし"))</f>
        <v>18TRIP</v>
      </c>
      <c r="E222" s="1" t="s">
        <v>1040</v>
      </c>
    </row>
    <row r="223" spans="1:5" ht="13.2">
      <c r="A223" s="1" t="str">
        <f t="array" ref="A223">IF(B223="", "", IFERROR(INDEX(声優一覧!A:A, MATCH(B223, 声優一覧!B:B, 0)), "該当なし"))</f>
        <v>va_179</v>
      </c>
      <c r="B223" s="1" t="s">
        <v>594</v>
      </c>
      <c r="C223" s="1" t="s">
        <v>60</v>
      </c>
      <c r="D223" s="1" t="str">
        <f>IF(C223="", "", IFERROR(VLOOKUP(C223, 作品一覧!A:B, 2, FALSE), "該当なし"))</f>
        <v>18TRIP</v>
      </c>
      <c r="E223" s="1" t="s">
        <v>1041</v>
      </c>
    </row>
    <row r="224" spans="1:5" ht="13.2">
      <c r="A224" s="1" t="str">
        <f t="array" ref="A224">IF(B224="", "", IFERROR(INDEX(声優一覧!A:A, MATCH(B224, 声優一覧!B:B, 0)), "該当なし"))</f>
        <v>va_029</v>
      </c>
      <c r="B224" s="1" t="s">
        <v>268</v>
      </c>
      <c r="C224" s="1" t="s">
        <v>60</v>
      </c>
      <c r="D224" s="1" t="str">
        <f>IF(C224="", "", IFERROR(VLOOKUP(C224, 作品一覧!A:B, 2, FALSE), "該当なし"))</f>
        <v>18TRIP</v>
      </c>
      <c r="E224" s="1" t="s">
        <v>1042</v>
      </c>
    </row>
    <row r="225" spans="1:5" ht="13.2">
      <c r="A225" s="1" t="str">
        <f t="array" ref="A225">IF(B225="", "", IFERROR(INDEX(声優一覧!A:A, MATCH(B225, 声優一覧!B:B, 0)), "該当なし"))</f>
        <v>va_091</v>
      </c>
      <c r="B225" s="1" t="s">
        <v>406</v>
      </c>
      <c r="C225" s="1" t="s">
        <v>60</v>
      </c>
      <c r="D225" s="1" t="str">
        <f>IF(C225="", "", IFERROR(VLOOKUP(C225, 作品一覧!A:B, 2, FALSE), "該当なし"))</f>
        <v>18TRIP</v>
      </c>
      <c r="E225" s="1" t="s">
        <v>1043</v>
      </c>
    </row>
    <row r="226" spans="1:5" ht="13.2">
      <c r="A226" s="1" t="str">
        <f t="array" ref="A226">IF(B226="", "", IFERROR(INDEX(声優一覧!A:A, MATCH(B226, 声優一覧!B:B, 0)), "該当なし"))</f>
        <v>va_041</v>
      </c>
      <c r="B226" s="1" t="s">
        <v>307</v>
      </c>
      <c r="C226" s="1" t="s">
        <v>60</v>
      </c>
      <c r="D226" s="1" t="str">
        <f>IF(C226="", "", IFERROR(VLOOKUP(C226, 作品一覧!A:B, 2, FALSE), "該当なし"))</f>
        <v>18TRIP</v>
      </c>
      <c r="E226" s="1" t="s">
        <v>1044</v>
      </c>
    </row>
    <row r="227" spans="1:5" ht="13.2">
      <c r="A227" s="1" t="str">
        <f t="array" ref="A227">IF(B227="", "", IFERROR(INDEX(声優一覧!A:A, MATCH(B227, 声優一覧!B:B, 0)), "該当なし"))</f>
        <v>va_068</v>
      </c>
      <c r="B227" s="1" t="s">
        <v>358</v>
      </c>
      <c r="C227" s="1" t="s">
        <v>60</v>
      </c>
      <c r="D227" s="1" t="str">
        <f>IF(C227="", "", IFERROR(VLOOKUP(C227, 作品一覧!A:B, 2, FALSE), "該当なし"))</f>
        <v>18TRIP</v>
      </c>
      <c r="E227" s="1" t="s">
        <v>1045</v>
      </c>
    </row>
    <row r="228" spans="1:5" ht="13.2">
      <c r="A228" s="1" t="str">
        <f t="array" ref="A228">IF(B228="", "", IFERROR(INDEX(声優一覧!A:A, MATCH(B228, 声優一覧!B:B, 0)), "該当なし"))</f>
        <v>va_128</v>
      </c>
      <c r="B228" s="1" t="s">
        <v>487</v>
      </c>
      <c r="C228" s="1" t="s">
        <v>60</v>
      </c>
      <c r="D228" s="1" t="str">
        <f>IF(C228="", "", IFERROR(VLOOKUP(C228, 作品一覧!A:B, 2, FALSE), "該当なし"))</f>
        <v>18TRIP</v>
      </c>
      <c r="E228" s="1" t="s">
        <v>1046</v>
      </c>
    </row>
    <row r="229" spans="1:5" ht="13.2">
      <c r="A229" s="1" t="str">
        <f t="array" ref="A229">IF(B229="", "", IFERROR(INDEX(声優一覧!A:A, MATCH(B229, 声優一覧!B:B, 0)), "該当なし"))</f>
        <v>va_014</v>
      </c>
      <c r="B229" s="1" t="s">
        <v>150</v>
      </c>
      <c r="C229" s="1" t="s">
        <v>60</v>
      </c>
      <c r="D229" s="1" t="str">
        <f>IF(C229="", "", IFERROR(VLOOKUP(C229, 作品一覧!A:B, 2, FALSE), "該当なし"))</f>
        <v>18TRIP</v>
      </c>
      <c r="E229" s="1" t="s">
        <v>1047</v>
      </c>
    </row>
    <row r="230" spans="1:5" ht="13.2">
      <c r="A230" s="1" t="str">
        <f t="array" ref="A230">IF(B230="", "", IFERROR(INDEX(声優一覧!A:A, MATCH(B230, 声優一覧!B:B, 0)), "該当なし"))</f>
        <v>va_165</v>
      </c>
      <c r="B230" s="1" t="s">
        <v>565</v>
      </c>
      <c r="C230" s="1" t="s">
        <v>60</v>
      </c>
      <c r="D230" s="1" t="str">
        <f>IF(C230="", "", IFERROR(VLOOKUP(C230, 作品一覧!A:B, 2, FALSE), "該当なし"))</f>
        <v>18TRIP</v>
      </c>
      <c r="E230" s="1" t="s">
        <v>1048</v>
      </c>
    </row>
    <row r="231" spans="1:5" ht="13.2">
      <c r="A231" s="1" t="str">
        <f t="array" ref="A231">IF(B231="", "", IFERROR(INDEX(声優一覧!A:A, MATCH(B231, 声優一覧!B:B, 0)), "該当なし"))</f>
        <v>va_032</v>
      </c>
      <c r="B231" s="1" t="s">
        <v>289</v>
      </c>
      <c r="C231" s="1" t="s">
        <v>60</v>
      </c>
      <c r="D231" s="1" t="str">
        <f>IF(C231="", "", IFERROR(VLOOKUP(C231, 作品一覧!A:B, 2, FALSE), "該当なし"))</f>
        <v>18TRIP</v>
      </c>
      <c r="E231" s="1" t="s">
        <v>1049</v>
      </c>
    </row>
    <row r="232" spans="1:5" ht="13.2">
      <c r="A232" s="1" t="str">
        <f t="array" ref="A232">IF(B232="", "", IFERROR(INDEX(声優一覧!A:A, MATCH(B232, 声優一覧!B:B, 0)), "該当なし"))</f>
        <v>va_124</v>
      </c>
      <c r="B232" s="1" t="s">
        <v>478</v>
      </c>
      <c r="C232" s="1" t="s">
        <v>60</v>
      </c>
      <c r="D232" s="1" t="str">
        <f>IF(C232="", "", IFERROR(VLOOKUP(C232, 作品一覧!A:B, 2, FALSE), "該当なし"))</f>
        <v>18TRIP</v>
      </c>
      <c r="E232" s="1" t="s">
        <v>1050</v>
      </c>
    </row>
    <row r="233" spans="1:5" ht="13.2">
      <c r="A233" s="1" t="str">
        <f t="array" ref="A233">IF(B233="", "", IFERROR(INDEX(声優一覧!A:A, MATCH(B233, 声優一覧!B:B, 0)), "該当なし"))</f>
        <v>va_187</v>
      </c>
      <c r="B233" s="1" t="s">
        <v>608</v>
      </c>
      <c r="C233" s="1" t="s">
        <v>60</v>
      </c>
      <c r="D233" s="1" t="str">
        <f>IF(C233="", "", IFERROR(VLOOKUP(C233, 作品一覧!A:B, 2, FALSE), "該当なし"))</f>
        <v>18TRIP</v>
      </c>
      <c r="E233" s="1" t="s">
        <v>1051</v>
      </c>
    </row>
    <row r="234" spans="1:5" ht="13.2">
      <c r="A234" s="1" t="str">
        <f t="array" ref="A234">IF(B234="", "", IFERROR(INDEX(声優一覧!A:A, MATCH(B234, 声優一覧!B:B, 0)), "該当なし"))</f>
        <v>va_086</v>
      </c>
      <c r="B234" s="1" t="s">
        <v>395</v>
      </c>
      <c r="C234" s="1" t="s">
        <v>60</v>
      </c>
      <c r="D234" s="1" t="str">
        <f>IF(C234="", "", IFERROR(VLOOKUP(C234, 作品一覧!A:B, 2, FALSE), "該当なし"))</f>
        <v>18TRIP</v>
      </c>
      <c r="E234" s="1" t="s">
        <v>1052</v>
      </c>
    </row>
    <row r="235" spans="1:5" ht="13.2">
      <c r="A235" s="1" t="str">
        <f t="array" ref="A235">IF(B235="", "", IFERROR(INDEX(声優一覧!A:A, MATCH(B235, 声優一覧!B:B, 0)), "該当なし"))</f>
        <v>va_087</v>
      </c>
      <c r="B235" s="1" t="s">
        <v>398</v>
      </c>
      <c r="C235" s="1" t="s">
        <v>60</v>
      </c>
      <c r="D235" s="1" t="str">
        <f>IF(C235="", "", IFERROR(VLOOKUP(C235, 作品一覧!A:B, 2, FALSE), "該当なし"))</f>
        <v>18TRIP</v>
      </c>
      <c r="E235" s="1" t="s">
        <v>1053</v>
      </c>
    </row>
    <row r="236" spans="1:5" ht="13.2">
      <c r="A236" s="1" t="str">
        <f t="array" ref="A236">IF(B236="", "", IFERROR(INDEX(声優一覧!A:A, MATCH(B236, 声優一覧!B:B, 0)), "該当なし"))</f>
        <v>va_076</v>
      </c>
      <c r="B236" s="1" t="s">
        <v>375</v>
      </c>
      <c r="C236" s="1" t="s">
        <v>60</v>
      </c>
      <c r="D236" s="1" t="str">
        <f>IF(C236="", "", IFERROR(VLOOKUP(C236, 作品一覧!A:B, 2, FALSE), "該当なし"))</f>
        <v>18TRIP</v>
      </c>
      <c r="E236" s="1" t="s">
        <v>1054</v>
      </c>
    </row>
    <row r="237" spans="1:5" ht="13.2">
      <c r="A237" s="1" t="str">
        <f t="array" ref="A237">IF(B237="", "", IFERROR(INDEX(声優一覧!A:A, MATCH(B237, 声優一覧!B:B, 0)), "該当なし"))</f>
        <v>va_177</v>
      </c>
      <c r="B237" s="1" t="s">
        <v>590</v>
      </c>
      <c r="C237" s="1" t="s">
        <v>60</v>
      </c>
      <c r="D237" s="1" t="str">
        <f>IF(C237="", "", IFERROR(VLOOKUP(C237, 作品一覧!A:B, 2, FALSE), "該当なし"))</f>
        <v>18TRIP</v>
      </c>
      <c r="E237" s="1" t="s">
        <v>1055</v>
      </c>
    </row>
    <row r="238" spans="1:5" ht="13.2">
      <c r="A238" s="1" t="str">
        <f t="array" ref="A238">IF(B238="", "", IFERROR(INDEX(声優一覧!A:A, MATCH(B238, 声優一覧!B:B, 0)), "該当なし"))</f>
        <v>va_166</v>
      </c>
      <c r="B238" s="1" t="s">
        <v>567</v>
      </c>
      <c r="C238" s="1" t="s">
        <v>60</v>
      </c>
      <c r="D238" s="1" t="str">
        <f>IF(C238="", "", IFERROR(VLOOKUP(C238, 作品一覧!A:B, 2, FALSE), "該当なし"))</f>
        <v>18TRIP</v>
      </c>
      <c r="E238" s="1" t="s">
        <v>1056</v>
      </c>
    </row>
    <row r="239" spans="1:5" ht="13.2">
      <c r="A239" s="1" t="str">
        <f t="array" ref="A239">IF(B239="", "", IFERROR(INDEX(声優一覧!A:A, MATCH(B239, 声優一覧!B:B, 0)), "該当なし"))</f>
        <v>va_161</v>
      </c>
      <c r="B239" s="1" t="s">
        <v>557</v>
      </c>
      <c r="C239" s="1" t="s">
        <v>237</v>
      </c>
      <c r="D239" s="1" t="str">
        <f>IF(C239="", "", IFERROR(VLOOKUP(C239, 作品一覧!A:B, 2, FALSE), "該当なし"))</f>
        <v>ブレイクマイケース</v>
      </c>
      <c r="E239" s="1" t="s">
        <v>1057</v>
      </c>
    </row>
    <row r="240" spans="1:5" ht="13.2">
      <c r="A240" s="1" t="str">
        <f t="array" ref="A240">IF(B240="", "", IFERROR(INDEX(声優一覧!A:A, MATCH(B240, 声優一覧!B:B, 0)), "該当なし"))</f>
        <v>va_166</v>
      </c>
      <c r="B240" s="1" t="s">
        <v>567</v>
      </c>
      <c r="C240" s="1" t="s">
        <v>237</v>
      </c>
      <c r="D240" s="1" t="str">
        <f>IF(C240="", "", IFERROR(VLOOKUP(C240, 作品一覧!A:B, 2, FALSE), "該当なし"))</f>
        <v>ブレイクマイケース</v>
      </c>
      <c r="E240" s="1" t="s">
        <v>1058</v>
      </c>
    </row>
    <row r="241" spans="1:5" ht="13.2">
      <c r="A241" s="1" t="str">
        <f t="array" ref="A241">IF(B241="", "", IFERROR(INDEX(声優一覧!A:A, MATCH(B241, 声優一覧!B:B, 0)), "該当なし"))</f>
        <v>va_044</v>
      </c>
      <c r="B241" s="1" t="s">
        <v>313</v>
      </c>
      <c r="C241" s="1" t="s">
        <v>237</v>
      </c>
      <c r="D241" s="1" t="str">
        <f>IF(C241="", "", IFERROR(VLOOKUP(C241, 作品一覧!A:B, 2, FALSE), "該当なし"))</f>
        <v>ブレイクマイケース</v>
      </c>
      <c r="E241" s="1" t="s">
        <v>1059</v>
      </c>
    </row>
    <row r="242" spans="1:5" ht="13.2">
      <c r="A242" s="1" t="str">
        <f t="array" ref="A242">IF(B242="", "", IFERROR(INDEX(声優一覧!A:A, MATCH(B242, 声優一覧!B:B, 0)), "該当なし"))</f>
        <v>va_115</v>
      </c>
      <c r="B242" s="1" t="s">
        <v>457</v>
      </c>
      <c r="C242" s="1" t="s">
        <v>237</v>
      </c>
      <c r="D242" s="1" t="str">
        <f>IF(C242="", "", IFERROR(VLOOKUP(C242, 作品一覧!A:B, 2, FALSE), "該当なし"))</f>
        <v>ブレイクマイケース</v>
      </c>
      <c r="E242" s="1" t="s">
        <v>1060</v>
      </c>
    </row>
    <row r="243" spans="1:5" ht="13.2">
      <c r="A243" s="1" t="str">
        <f t="array" ref="A243">IF(B243="", "", IFERROR(INDEX(声優一覧!A:A, MATCH(B243, 声優一覧!B:B, 0)), "該当なし"))</f>
        <v>va_072</v>
      </c>
      <c r="B243" s="1" t="s">
        <v>366</v>
      </c>
      <c r="C243" s="1" t="s">
        <v>237</v>
      </c>
      <c r="D243" s="1" t="str">
        <f>IF(C243="", "", IFERROR(VLOOKUP(C243, 作品一覧!A:B, 2, FALSE), "該当なし"))</f>
        <v>ブレイクマイケース</v>
      </c>
      <c r="E243" s="1" t="s">
        <v>1061</v>
      </c>
    </row>
    <row r="244" spans="1:5" ht="13.2">
      <c r="A244" s="1" t="str">
        <f t="array" ref="A244">IF(B244="", "", IFERROR(INDEX(声優一覧!A:A, MATCH(B244, 声優一覧!B:B, 0)), "該当なし"))</f>
        <v>va_058</v>
      </c>
      <c r="B244" s="1" t="s">
        <v>340</v>
      </c>
      <c r="C244" s="1" t="s">
        <v>237</v>
      </c>
      <c r="D244" s="1" t="str">
        <f>IF(C244="", "", IFERROR(VLOOKUP(C244, 作品一覧!A:B, 2, FALSE), "該当なし"))</f>
        <v>ブレイクマイケース</v>
      </c>
      <c r="E244" s="1" t="s">
        <v>1062</v>
      </c>
    </row>
    <row r="245" spans="1:5" ht="13.2">
      <c r="A245" s="1" t="str">
        <f t="array" ref="A245">IF(B245="", "", IFERROR(INDEX(声優一覧!A:A, MATCH(B245, 声優一覧!B:B, 0)), "該当なし"))</f>
        <v>va_124</v>
      </c>
      <c r="B245" s="1" t="s">
        <v>478</v>
      </c>
      <c r="C245" s="1" t="s">
        <v>237</v>
      </c>
      <c r="D245" s="1" t="str">
        <f>IF(C245="", "", IFERROR(VLOOKUP(C245, 作品一覧!A:B, 2, FALSE), "該当なし"))</f>
        <v>ブレイクマイケース</v>
      </c>
      <c r="E245" s="1" t="s">
        <v>1063</v>
      </c>
    </row>
    <row r="246" spans="1:5" ht="13.2">
      <c r="A246" s="1" t="str">
        <f t="array" ref="A246">IF(B246="", "", IFERROR(INDEX(声優一覧!A:A, MATCH(B246, 声優一覧!B:B, 0)), "該当なし"))</f>
        <v>va_069</v>
      </c>
      <c r="B246" s="1" t="s">
        <v>360</v>
      </c>
      <c r="C246" s="1" t="s">
        <v>237</v>
      </c>
      <c r="D246" s="1" t="str">
        <f>IF(C246="", "", IFERROR(VLOOKUP(C246, 作品一覧!A:B, 2, FALSE), "該当なし"))</f>
        <v>ブレイクマイケース</v>
      </c>
      <c r="E246" s="1" t="s">
        <v>1064</v>
      </c>
    </row>
    <row r="247" spans="1:5" ht="13.2">
      <c r="A247" s="1" t="str">
        <f t="array" ref="A247">IF(B247="", "", IFERROR(INDEX(声優一覧!A:A, MATCH(B247, 声優一覧!B:B, 0)), "該当なし"))</f>
        <v>va_076</v>
      </c>
      <c r="B247" s="1" t="s">
        <v>375</v>
      </c>
      <c r="C247" s="1" t="s">
        <v>237</v>
      </c>
      <c r="D247" s="1" t="str">
        <f>IF(C247="", "", IFERROR(VLOOKUP(C247, 作品一覧!A:B, 2, FALSE), "該当なし"))</f>
        <v>ブレイクマイケース</v>
      </c>
      <c r="E247" s="1" t="s">
        <v>1065</v>
      </c>
    </row>
    <row r="248" spans="1:5" ht="13.2">
      <c r="A248" s="1" t="str">
        <f t="array" ref="A248">IF(B248="", "", IFERROR(INDEX(声優一覧!A:A, MATCH(B248, 声優一覧!B:B, 0)), "該当なし"))</f>
        <v>va_133</v>
      </c>
      <c r="B248" s="1" t="s">
        <v>497</v>
      </c>
      <c r="C248" s="1" t="s">
        <v>237</v>
      </c>
      <c r="D248" s="1" t="str">
        <f>IF(C248="", "", IFERROR(VLOOKUP(C248, 作品一覧!A:B, 2, FALSE), "該当なし"))</f>
        <v>ブレイクマイケース</v>
      </c>
      <c r="E248" s="1" t="s">
        <v>1066</v>
      </c>
    </row>
    <row r="249" spans="1:5" ht="13.2">
      <c r="A249" s="1" t="str">
        <f t="array" ref="A249">IF(B249="", "", IFERROR(INDEX(声優一覧!A:A, MATCH(B249, 声優一覧!B:B, 0)), "該当なし"))</f>
        <v>va_173</v>
      </c>
      <c r="B249" s="1" t="s">
        <v>581</v>
      </c>
      <c r="C249" s="1" t="s">
        <v>237</v>
      </c>
      <c r="D249" s="1" t="str">
        <f>IF(C249="", "", IFERROR(VLOOKUP(C249, 作品一覧!A:B, 2, FALSE), "該当なし"))</f>
        <v>ブレイクマイケース</v>
      </c>
      <c r="E249" s="1" t="s">
        <v>1067</v>
      </c>
    </row>
    <row r="250" spans="1:5" ht="13.2">
      <c r="A250" s="1" t="str">
        <f t="array" ref="A250">IF(B250="", "", IFERROR(INDEX(声優一覧!A:A, MATCH(B250, 声優一覧!B:B, 0)), "該当なし"))</f>
        <v>va_046</v>
      </c>
      <c r="B250" s="1" t="s">
        <v>317</v>
      </c>
      <c r="C250" s="1" t="s">
        <v>237</v>
      </c>
      <c r="D250" s="1" t="str">
        <f>IF(C250="", "", IFERROR(VLOOKUP(C250, 作品一覧!A:B, 2, FALSE), "該当なし"))</f>
        <v>ブレイクマイケース</v>
      </c>
      <c r="E250" s="1" t="s">
        <v>1068</v>
      </c>
    </row>
    <row r="251" spans="1:5" ht="13.2">
      <c r="A251" s="1" t="str">
        <f t="array" ref="A251">IF(B251="", "", IFERROR(INDEX(声優一覧!A:A, MATCH(B251, 声優一覧!B:B, 0)), "該当なし"))</f>
        <v>va_073</v>
      </c>
      <c r="B251" s="1" t="s">
        <v>368</v>
      </c>
      <c r="C251" s="1" t="s">
        <v>237</v>
      </c>
      <c r="D251" s="1" t="str">
        <f>IF(C251="", "", IFERROR(VLOOKUP(C251, 作品一覧!A:B, 2, FALSE), "該当なし"))</f>
        <v>ブレイクマイケース</v>
      </c>
      <c r="E251" s="1" t="s">
        <v>1069</v>
      </c>
    </row>
    <row r="252" spans="1:5" ht="13.2">
      <c r="A252" s="1" t="str">
        <f t="array" ref="A252">IF(B252="", "", IFERROR(INDEX(声優一覧!A:A, MATCH(B252, 声優一覧!B:B, 0)), "該当なし"))</f>
        <v>va_155</v>
      </c>
      <c r="B252" s="1" t="s">
        <v>543</v>
      </c>
      <c r="C252" s="1" t="s">
        <v>237</v>
      </c>
      <c r="D252" s="1" t="str">
        <f>IF(C252="", "", IFERROR(VLOOKUP(C252, 作品一覧!A:B, 2, FALSE), "該当なし"))</f>
        <v>ブレイクマイケース</v>
      </c>
      <c r="E252" s="1" t="s">
        <v>1070</v>
      </c>
    </row>
    <row r="253" spans="1:5" ht="13.2">
      <c r="A253" s="1" t="str">
        <f t="array" ref="A253">IF(B253="", "", IFERROR(INDEX(声優一覧!A:A, MATCH(B253, 声優一覧!B:B, 0)), "該当なし"))</f>
        <v>va_090</v>
      </c>
      <c r="B253" s="1" t="s">
        <v>404</v>
      </c>
      <c r="C253" s="1" t="s">
        <v>237</v>
      </c>
      <c r="D253" s="1" t="str">
        <f>IF(C253="", "", IFERROR(VLOOKUP(C253, 作品一覧!A:B, 2, FALSE), "該当なし"))</f>
        <v>ブレイクマイケース</v>
      </c>
      <c r="E253" s="1" t="s">
        <v>1071</v>
      </c>
    </row>
    <row r="254" spans="1:5" ht="13.2">
      <c r="A254" s="1" t="str">
        <f t="array" ref="A254">IF(B254="", "", IFERROR(INDEX(声優一覧!A:A, MATCH(B254, 声優一覧!B:B, 0)), "該当なし"))</f>
        <v>va_160</v>
      </c>
      <c r="B254" s="1" t="s">
        <v>555</v>
      </c>
      <c r="C254" s="1" t="s">
        <v>237</v>
      </c>
      <c r="D254" s="1" t="str">
        <f>IF(C254="", "", IFERROR(VLOOKUP(C254, 作品一覧!A:B, 2, FALSE), "該当なし"))</f>
        <v>ブレイクマイケース</v>
      </c>
      <c r="E254" s="1" t="s">
        <v>1072</v>
      </c>
    </row>
    <row r="255" spans="1:5" ht="13.2">
      <c r="A255" s="1" t="str">
        <f t="array" ref="A255">IF(B255="", "", IFERROR(INDEX(声優一覧!A:A, MATCH(B255, 声優一覧!B:B, 0)), "該当なし"))</f>
        <v>va_078</v>
      </c>
      <c r="B255" s="1" t="s">
        <v>379</v>
      </c>
      <c r="C255" s="1" t="s">
        <v>237</v>
      </c>
      <c r="D255" s="1" t="str">
        <f>IF(C255="", "", IFERROR(VLOOKUP(C255, 作品一覧!A:B, 2, FALSE), "該当なし"))</f>
        <v>ブレイクマイケース</v>
      </c>
      <c r="E255" s="1" t="s">
        <v>1073</v>
      </c>
    </row>
    <row r="256" spans="1:5" ht="13.2">
      <c r="A256" s="1" t="str">
        <f t="array" ref="A256">IF(B256="", "", IFERROR(INDEX(声優一覧!A:A, MATCH(B256, 声優一覧!B:B, 0)), "該当なし"))</f>
        <v>va_075</v>
      </c>
      <c r="B256" s="1" t="s">
        <v>372</v>
      </c>
      <c r="C256" s="1" t="s">
        <v>237</v>
      </c>
      <c r="D256" s="1" t="str">
        <f>IF(C256="", "", IFERROR(VLOOKUP(C256, 作品一覧!A:B, 2, FALSE), "該当なし"))</f>
        <v>ブレイクマイケース</v>
      </c>
      <c r="E256" s="1" t="s">
        <v>1074</v>
      </c>
    </row>
    <row r="257" spans="1:5" ht="13.2">
      <c r="A257" s="1" t="str">
        <f t="array" ref="A257">IF(B257="", "", IFERROR(INDEX(声優一覧!A:A, MATCH(B257, 声優一覧!B:B, 0)), "該当なし"))</f>
        <v>va_086</v>
      </c>
      <c r="B257" s="1" t="s">
        <v>395</v>
      </c>
      <c r="C257" s="1" t="s">
        <v>237</v>
      </c>
      <c r="D257" s="1" t="str">
        <f>IF(C257="", "", IFERROR(VLOOKUP(C257, 作品一覧!A:B, 2, FALSE), "該当なし"))</f>
        <v>ブレイクマイケース</v>
      </c>
      <c r="E257" s="1" t="s">
        <v>1075</v>
      </c>
    </row>
    <row r="258" spans="1:5" ht="13.2">
      <c r="A258" s="1" t="str">
        <f t="array" ref="A258">IF(B258="", "", IFERROR(INDEX(声優一覧!A:A, MATCH(B258, 声優一覧!B:B, 0)), "該当なし"))</f>
        <v>va_135</v>
      </c>
      <c r="B258" s="1" t="s">
        <v>502</v>
      </c>
      <c r="C258" s="1" t="s">
        <v>237</v>
      </c>
      <c r="D258" s="1" t="str">
        <f>IF(C258="", "", IFERROR(VLOOKUP(C258, 作品一覧!A:B, 2, FALSE), "該当なし"))</f>
        <v>ブレイクマイケース</v>
      </c>
      <c r="E258" s="1" t="s">
        <v>1076</v>
      </c>
    </row>
    <row r="259" spans="1:5" ht="13.2">
      <c r="A259" s="1" t="str">
        <f t="array" ref="A259">IF(B259="", "", IFERROR(INDEX(声優一覧!A:A, MATCH(B259, 声優一覧!B:B, 0)), "該当なし"))</f>
        <v>va_197</v>
      </c>
      <c r="B259" s="1" t="s">
        <v>627</v>
      </c>
      <c r="C259" s="1" t="s">
        <v>237</v>
      </c>
      <c r="D259" s="1" t="str">
        <f>IF(C259="", "", IFERROR(VLOOKUP(C259, 作品一覧!A:B, 2, FALSE), "該当なし"))</f>
        <v>ブレイクマイケース</v>
      </c>
      <c r="E259" s="1" t="s">
        <v>1077</v>
      </c>
    </row>
    <row r="260" spans="1:5" ht="13.2">
      <c r="A260" s="1" t="str">
        <f t="array" ref="A260">IF(B260="", "", IFERROR(INDEX(声優一覧!A:A, MATCH(B260, 声優一覧!B:B, 0)), "該当なし"))</f>
        <v>va_028</v>
      </c>
      <c r="B260" s="1" t="s">
        <v>260</v>
      </c>
      <c r="C260" s="1" t="s">
        <v>275</v>
      </c>
      <c r="D260" s="1" t="str">
        <f>IF(C260="", "", IFERROR(VLOOKUP(C260, 作品一覧!A:B, 2, FALSE), "該当なし"))</f>
        <v>夢職人と忘れじの黒い妖精</v>
      </c>
      <c r="E260" s="1" t="s">
        <v>1078</v>
      </c>
    </row>
    <row r="261" spans="1:5" ht="13.2">
      <c r="A261" s="1" t="str">
        <f t="array" ref="A261">IF(B261="", "", IFERROR(INDEX(声優一覧!A:A, MATCH(B261, 声優一覧!B:B, 0)), "該当なし"))</f>
        <v>va_173</v>
      </c>
      <c r="B261" s="1" t="s">
        <v>581</v>
      </c>
      <c r="C261" s="1" t="s">
        <v>275</v>
      </c>
      <c r="D261" s="1" t="str">
        <f>IF(C261="", "", IFERROR(VLOOKUP(C261, 作品一覧!A:B, 2, FALSE), "該当なし"))</f>
        <v>夢職人と忘れじの黒い妖精</v>
      </c>
      <c r="E261" s="1" t="s">
        <v>1079</v>
      </c>
    </row>
    <row r="262" spans="1:5" ht="13.2">
      <c r="A262" s="1" t="str">
        <f t="array" ref="A262">IF(B262="", "", IFERROR(INDEX(声優一覧!A:A, MATCH(B262, 声優一覧!B:B, 0)), "該当なし"))</f>
        <v>va_049</v>
      </c>
      <c r="B262" s="1" t="s">
        <v>323</v>
      </c>
      <c r="C262" s="1" t="s">
        <v>275</v>
      </c>
      <c r="D262" s="1" t="str">
        <f>IF(C262="", "", IFERROR(VLOOKUP(C262, 作品一覧!A:B, 2, FALSE), "該当なし"))</f>
        <v>夢職人と忘れじの黒い妖精</v>
      </c>
      <c r="E262" s="1" t="s">
        <v>1080</v>
      </c>
    </row>
    <row r="263" spans="1:5" ht="13.2">
      <c r="A263" s="1" t="str">
        <f t="array" ref="A263">IF(B263="", "", IFERROR(INDEX(声優一覧!A:A, MATCH(B263, 声優一覧!B:B, 0)), "該当なし"))</f>
        <v>va_009</v>
      </c>
      <c r="B263" s="1" t="s">
        <v>137</v>
      </c>
      <c r="C263" s="1" t="s">
        <v>275</v>
      </c>
      <c r="D263" s="1" t="str">
        <f>IF(C263="", "", IFERROR(VLOOKUP(C263, 作品一覧!A:B, 2, FALSE), "該当なし"))</f>
        <v>夢職人と忘れじの黒い妖精</v>
      </c>
      <c r="E263" s="1" t="s">
        <v>1081</v>
      </c>
    </row>
    <row r="264" spans="1:5" ht="13.2">
      <c r="A264" s="1" t="str">
        <f t="array" ref="A264">IF(B264="", "", IFERROR(INDEX(声優一覧!A:A, MATCH(B264, 声優一覧!B:B, 0)), "該当なし"))</f>
        <v>va_183</v>
      </c>
      <c r="B264" s="1" t="s">
        <v>600</v>
      </c>
      <c r="C264" s="1" t="s">
        <v>275</v>
      </c>
      <c r="D264" s="1" t="str">
        <f>IF(C264="", "", IFERROR(VLOOKUP(C264, 作品一覧!A:B, 2, FALSE), "該当なし"))</f>
        <v>夢職人と忘れじの黒い妖精</v>
      </c>
      <c r="E264" s="1" t="s">
        <v>1082</v>
      </c>
    </row>
    <row r="265" spans="1:5" ht="13.2">
      <c r="A265" s="1" t="str">
        <f t="array" ref="A265">IF(B265="", "", IFERROR(INDEX(声優一覧!A:A, MATCH(B265, 声優一覧!B:B, 0)), "該当なし"))</f>
        <v>va_160</v>
      </c>
      <c r="B265" s="1" t="s">
        <v>555</v>
      </c>
      <c r="C265" s="1" t="s">
        <v>275</v>
      </c>
      <c r="D265" s="1" t="str">
        <f>IF(C265="", "", IFERROR(VLOOKUP(C265, 作品一覧!A:B, 2, FALSE), "該当なし"))</f>
        <v>夢職人と忘れじの黒い妖精</v>
      </c>
      <c r="E265" s="1" t="s">
        <v>1083</v>
      </c>
    </row>
    <row r="266" spans="1:5" ht="13.2">
      <c r="A266" s="1" t="str">
        <f t="array" ref="A266">IF(B266="", "", IFERROR(INDEX(声優一覧!A:A, MATCH(B266, 声優一覧!B:B, 0)), "該当なし"))</f>
        <v>va_113</v>
      </c>
      <c r="B266" s="1" t="s">
        <v>453</v>
      </c>
      <c r="C266" s="1" t="s">
        <v>275</v>
      </c>
      <c r="D266" s="1" t="str">
        <f>IF(C266="", "", IFERROR(VLOOKUP(C266, 作品一覧!A:B, 2, FALSE), "該当なし"))</f>
        <v>夢職人と忘れじの黒い妖精</v>
      </c>
      <c r="E266" s="1" t="s">
        <v>1084</v>
      </c>
    </row>
    <row r="267" spans="1:5" ht="13.2">
      <c r="A267" s="1" t="str">
        <f t="array" ref="A267">IF(B267="", "", IFERROR(INDEX(声優一覧!A:A, MATCH(B267, 声優一覧!B:B, 0)), "該当なし"))</f>
        <v>va_043</v>
      </c>
      <c r="B267" s="1" t="s">
        <v>311</v>
      </c>
      <c r="C267" s="1" t="s">
        <v>275</v>
      </c>
      <c r="D267" s="1" t="str">
        <f>IF(C267="", "", IFERROR(VLOOKUP(C267, 作品一覧!A:B, 2, FALSE), "該当なし"))</f>
        <v>夢職人と忘れじの黒い妖精</v>
      </c>
      <c r="E267" s="1" t="s">
        <v>1085</v>
      </c>
    </row>
    <row r="268" spans="1:5" ht="13.2">
      <c r="A268" s="1" t="str">
        <f t="array" ref="A268">IF(B268="", "", IFERROR(INDEX(声優一覧!A:A, MATCH(B268, 声優一覧!B:B, 0)), "該当なし"))</f>
        <v>va_197</v>
      </c>
      <c r="B268" s="1" t="s">
        <v>627</v>
      </c>
      <c r="C268" s="1" t="s">
        <v>275</v>
      </c>
      <c r="D268" s="1" t="str">
        <f>IF(C268="", "", IFERROR(VLOOKUP(C268, 作品一覧!A:B, 2, FALSE), "該当なし"))</f>
        <v>夢職人と忘れじの黒い妖精</v>
      </c>
      <c r="E268" s="1" t="s">
        <v>1086</v>
      </c>
    </row>
    <row r="269" spans="1:5" ht="13.2">
      <c r="A269" s="1" t="str">
        <f t="array" ref="A269">IF(B269="", "", IFERROR(INDEX(声優一覧!A:A, MATCH(B269, 声優一覧!B:B, 0)), "該当なし"))</f>
        <v>va_083</v>
      </c>
      <c r="B269" s="1" t="s">
        <v>388</v>
      </c>
      <c r="C269" s="1" t="s">
        <v>275</v>
      </c>
      <c r="D269" s="1" t="str">
        <f>IF(C269="", "", IFERROR(VLOOKUP(C269, 作品一覧!A:B, 2, FALSE), "該当なし"))</f>
        <v>夢職人と忘れじの黒い妖精</v>
      </c>
      <c r="E269" s="1" t="s">
        <v>1087</v>
      </c>
    </row>
    <row r="270" spans="1:5" ht="13.2">
      <c r="A270" s="1" t="str">
        <f t="array" ref="A270">IF(B270="", "", IFERROR(INDEX(声優一覧!A:A, MATCH(B270, 声優一覧!B:B, 0)), "該当なし"))</f>
        <v>va_188</v>
      </c>
      <c r="B270" s="1" t="s">
        <v>609</v>
      </c>
      <c r="C270" s="1" t="s">
        <v>275</v>
      </c>
      <c r="D270" s="1" t="str">
        <f>IF(C270="", "", IFERROR(VLOOKUP(C270, 作品一覧!A:B, 2, FALSE), "該当なし"))</f>
        <v>夢職人と忘れじの黒い妖精</v>
      </c>
      <c r="E270" s="1" t="s">
        <v>1088</v>
      </c>
    </row>
    <row r="271" spans="1:5" ht="13.2">
      <c r="A271" s="1" t="str">
        <f t="array" ref="A271">IF(B271="", "", IFERROR(INDEX(声優一覧!A:A, MATCH(B271, 声優一覧!B:B, 0)), "該当なし"))</f>
        <v>va_014</v>
      </c>
      <c r="B271" s="1" t="s">
        <v>150</v>
      </c>
      <c r="C271" s="1" t="s">
        <v>275</v>
      </c>
      <c r="D271" s="1" t="str">
        <f>IF(C271="", "", IFERROR(VLOOKUP(C271, 作品一覧!A:B, 2, FALSE), "該当なし"))</f>
        <v>夢職人と忘れじの黒い妖精</v>
      </c>
      <c r="E271" s="1" t="s">
        <v>1089</v>
      </c>
    </row>
    <row r="272" spans="1:5" ht="13.2">
      <c r="A272" s="1" t="str">
        <f t="array" ref="A272">IF(B272="", "", IFERROR(INDEX(声優一覧!A:A, MATCH(B272, 声優一覧!B:B, 0)), "該当なし"))</f>
        <v>va_141</v>
      </c>
      <c r="B272" s="1" t="s">
        <v>511</v>
      </c>
      <c r="C272" s="1" t="s">
        <v>275</v>
      </c>
      <c r="D272" s="1" t="str">
        <f>IF(C272="", "", IFERROR(VLOOKUP(C272, 作品一覧!A:B, 2, FALSE), "該当なし"))</f>
        <v>夢職人と忘れじの黒い妖精</v>
      </c>
      <c r="E272" s="1" t="s">
        <v>1090</v>
      </c>
    </row>
    <row r="273" spans="1:5" ht="13.2">
      <c r="A273" s="1" t="str">
        <f t="array" ref="A273">IF(B273="", "", IFERROR(INDEX(声優一覧!A:A, MATCH(B273, 声優一覧!B:B, 0)), "該当なし"))</f>
        <v>va_080</v>
      </c>
      <c r="B273" s="1" t="s">
        <v>382</v>
      </c>
      <c r="C273" s="1" t="s">
        <v>275</v>
      </c>
      <c r="D273" s="1" t="str">
        <f>IF(C273="", "", IFERROR(VLOOKUP(C273, 作品一覧!A:B, 2, FALSE), "該当なし"))</f>
        <v>夢職人と忘れじの黒い妖精</v>
      </c>
      <c r="E273" s="1" t="s">
        <v>1091</v>
      </c>
    </row>
    <row r="274" spans="1:5" ht="13.2">
      <c r="A274" s="1" t="str">
        <f t="array" ref="A274">IF(B274="", "", IFERROR(INDEX(声優一覧!A:A, MATCH(B274, 声優一覧!B:B, 0)), "該当なし"))</f>
        <v>va_033</v>
      </c>
      <c r="B274" s="1" t="s">
        <v>291</v>
      </c>
      <c r="C274" s="1" t="s">
        <v>275</v>
      </c>
      <c r="D274" s="1" t="str">
        <f>IF(C274="", "", IFERROR(VLOOKUP(C274, 作品一覧!A:B, 2, FALSE), "該当なし"))</f>
        <v>夢職人と忘れじの黒い妖精</v>
      </c>
      <c r="E274" s="1" t="s">
        <v>1092</v>
      </c>
    </row>
    <row r="275" spans="1:5" ht="13.2">
      <c r="A275" s="1" t="str">
        <f t="array" ref="A275">IF(B275="", "", IFERROR(INDEX(声優一覧!A:A, MATCH(B275, 声優一覧!B:B, 0)), "該当なし"))</f>
        <v>va_107</v>
      </c>
      <c r="B275" s="1" t="s">
        <v>440</v>
      </c>
      <c r="C275" s="1" t="s">
        <v>275</v>
      </c>
      <c r="D275" s="1" t="str">
        <f>IF(C275="", "", IFERROR(VLOOKUP(C275, 作品一覧!A:B, 2, FALSE), "該当なし"))</f>
        <v>夢職人と忘れじの黒い妖精</v>
      </c>
      <c r="E275" s="1" t="s">
        <v>1093</v>
      </c>
    </row>
    <row r="276" spans="1:5" ht="13.2">
      <c r="A276" s="1" t="str">
        <f t="array" ref="A276">IF(B276="", "", IFERROR(INDEX(声優一覧!A:A, MATCH(B276, 声優一覧!B:B, 0)), "該当なし"))</f>
        <v>va_175</v>
      </c>
      <c r="B276" s="1" t="s">
        <v>585</v>
      </c>
      <c r="C276" s="1" t="s">
        <v>275</v>
      </c>
      <c r="D276" s="1" t="str">
        <f>IF(C276="", "", IFERROR(VLOOKUP(C276, 作品一覧!A:B, 2, FALSE), "該当なし"))</f>
        <v>夢職人と忘れじの黒い妖精</v>
      </c>
      <c r="E276" s="1" t="s">
        <v>1094</v>
      </c>
    </row>
    <row r="277" spans="1:5" ht="13.2">
      <c r="A277" s="1" t="str">
        <f t="array" ref="A277">IF(B277="", "", IFERROR(INDEX(声優一覧!A:A, MATCH(B277, 声優一覧!B:B, 0)), "該当なし"))</f>
        <v>va_112</v>
      </c>
      <c r="B277" s="1" t="s">
        <v>451</v>
      </c>
      <c r="C277" s="1" t="s">
        <v>275</v>
      </c>
      <c r="D277" s="1" t="str">
        <f>IF(C277="", "", IFERROR(VLOOKUP(C277, 作品一覧!A:B, 2, FALSE), "該当なし"))</f>
        <v>夢職人と忘れじの黒い妖精</v>
      </c>
      <c r="E277" s="1" t="s">
        <v>1095</v>
      </c>
    </row>
    <row r="278" spans="1:5" ht="13.2">
      <c r="A278" s="1" t="str">
        <f t="array" ref="A278">IF(B278="", "", IFERROR(INDEX(声優一覧!A:A, MATCH(B278, 声優一覧!B:B, 0)), "該当なし"))</f>
        <v>va_016</v>
      </c>
      <c r="B278" s="1" t="s">
        <v>166</v>
      </c>
      <c r="C278" s="1" t="s">
        <v>275</v>
      </c>
      <c r="D278" s="1" t="str">
        <f>IF(C278="", "", IFERROR(VLOOKUP(C278, 作品一覧!A:B, 2, FALSE), "該当なし"))</f>
        <v>夢職人と忘れじの黒い妖精</v>
      </c>
      <c r="E278" s="1" t="s">
        <v>1096</v>
      </c>
    </row>
    <row r="279" spans="1:5" ht="13.2">
      <c r="A279" s="1" t="str">
        <f t="array" ref="A279">IF(B279="", "", IFERROR(INDEX(声優一覧!A:A, MATCH(B279, 声優一覧!B:B, 0)), "該当なし"))</f>
        <v>va_050</v>
      </c>
      <c r="B279" s="1" t="s">
        <v>324</v>
      </c>
      <c r="C279" s="1" t="s">
        <v>275</v>
      </c>
      <c r="D279" s="1" t="str">
        <f>IF(C279="", "", IFERROR(VLOOKUP(C279, 作品一覧!A:B, 2, FALSE), "該当なし"))</f>
        <v>夢職人と忘れじの黒い妖精</v>
      </c>
      <c r="E279" s="1" t="s">
        <v>1097</v>
      </c>
    </row>
    <row r="280" spans="1:5" ht="13.2">
      <c r="A280" s="1" t="str">
        <f t="array" ref="A280">IF(B280="", "", IFERROR(INDEX(声優一覧!A:A, MATCH(B280, 声優一覧!B:B, 0)), "該当なし"))</f>
        <v>va_036</v>
      </c>
      <c r="B280" s="1" t="s">
        <v>297</v>
      </c>
      <c r="C280" s="1" t="s">
        <v>275</v>
      </c>
      <c r="D280" s="1" t="str">
        <f>IF(C280="", "", IFERROR(VLOOKUP(C280, 作品一覧!A:B, 2, FALSE), "該当なし"))</f>
        <v>夢職人と忘れじの黒い妖精</v>
      </c>
      <c r="E280" s="1" t="s">
        <v>1098</v>
      </c>
    </row>
    <row r="281" spans="1:5" ht="13.2">
      <c r="A281" s="1" t="str">
        <f t="array" ref="A281">IF(B281="", "", IFERROR(INDEX(声優一覧!A:A, MATCH(B281, 声優一覧!B:B, 0)), "該当なし"))</f>
        <v>va_145</v>
      </c>
      <c r="B281" s="1" t="s">
        <v>520</v>
      </c>
      <c r="C281" s="1" t="s">
        <v>275</v>
      </c>
      <c r="D281" s="1" t="str">
        <f>IF(C281="", "", IFERROR(VLOOKUP(C281, 作品一覧!A:B, 2, FALSE), "該当なし"))</f>
        <v>夢職人と忘れじの黒い妖精</v>
      </c>
      <c r="E281" s="1" t="s">
        <v>1099</v>
      </c>
    </row>
    <row r="282" spans="1:5" ht="13.2">
      <c r="A282" s="1" t="str">
        <f t="array" ref="A282">IF(B282="", "", IFERROR(INDEX(声優一覧!A:A, MATCH(B282, 声優一覧!B:B, 0)), "該当なし"))</f>
        <v>va_142</v>
      </c>
      <c r="B282" s="1" t="s">
        <v>514</v>
      </c>
      <c r="C282" s="1" t="s">
        <v>275</v>
      </c>
      <c r="D282" s="1" t="str">
        <f>IF(C282="", "", IFERROR(VLOOKUP(C282, 作品一覧!A:B, 2, FALSE), "該当なし"))</f>
        <v>夢職人と忘れじの黒い妖精</v>
      </c>
      <c r="E282" s="1" t="s">
        <v>1100</v>
      </c>
    </row>
    <row r="283" spans="1:5" ht="13.2">
      <c r="A283" s="1" t="str">
        <f t="array" ref="A283">IF(B283="", "", IFERROR(INDEX(声優一覧!A:A, MATCH(B283, 声優一覧!B:B, 0)), "該当なし"))</f>
        <v>va_201</v>
      </c>
      <c r="B283" s="1" t="s">
        <v>635</v>
      </c>
      <c r="C283" s="1" t="s">
        <v>275</v>
      </c>
      <c r="D283" s="1" t="str">
        <f>IF(C283="", "", IFERROR(VLOOKUP(C283, 作品一覧!A:B, 2, FALSE), "該当なし"))</f>
        <v>夢職人と忘れじの黒い妖精</v>
      </c>
      <c r="E283" s="1" t="s">
        <v>1101</v>
      </c>
    </row>
    <row r="284" spans="1:5" ht="13.2">
      <c r="A284" s="1" t="str">
        <f t="array" ref="A284">IF(B284="", "", IFERROR(INDEX(声優一覧!A:A, MATCH(B284, 声優一覧!B:B, 0)), "該当なし"))</f>
        <v>va_172</v>
      </c>
      <c r="B284" s="1" t="s">
        <v>579</v>
      </c>
      <c r="C284" s="1" t="s">
        <v>275</v>
      </c>
      <c r="D284" s="1" t="str">
        <f>IF(C284="", "", IFERROR(VLOOKUP(C284, 作品一覧!A:B, 2, FALSE), "該当なし"))</f>
        <v>夢職人と忘れじの黒い妖精</v>
      </c>
      <c r="E284" s="1" t="s">
        <v>1102</v>
      </c>
    </row>
    <row r="285" spans="1:5" ht="13.2">
      <c r="A285" s="1" t="str">
        <f t="array" ref="A285">IF(B285="", "", IFERROR(INDEX(声優一覧!A:A, MATCH(B285, 声優一覧!B:B, 0)), "該当なし"))</f>
        <v>va_150</v>
      </c>
      <c r="B285" s="1" t="s">
        <v>532</v>
      </c>
      <c r="C285" s="1" t="s">
        <v>275</v>
      </c>
      <c r="D285" s="1" t="str">
        <f>IF(C285="", "", IFERROR(VLOOKUP(C285, 作品一覧!A:B, 2, FALSE), "該当なし"))</f>
        <v>夢職人と忘れじの黒い妖精</v>
      </c>
      <c r="E285" s="1" t="s">
        <v>1103</v>
      </c>
    </row>
    <row r="286" spans="1:5" ht="13.2">
      <c r="A286" s="1" t="str">
        <f t="array" ref="A286">IF(B286="", "", IFERROR(INDEX(声優一覧!A:A, MATCH(B286, 声優一覧!B:B, 0)), "該当なし"))</f>
        <v>va_042</v>
      </c>
      <c r="B286" s="1" t="s">
        <v>309</v>
      </c>
      <c r="C286" s="1" t="s">
        <v>275</v>
      </c>
      <c r="D286" s="1" t="str">
        <f>IF(C286="", "", IFERROR(VLOOKUP(C286, 作品一覧!A:B, 2, FALSE), "該当なし"))</f>
        <v>夢職人と忘れじの黒い妖精</v>
      </c>
      <c r="E286" s="1" t="s">
        <v>1104</v>
      </c>
    </row>
    <row r="287" spans="1:5" ht="13.2">
      <c r="A287" s="1" t="str">
        <f t="array" ref="A287">IF(B287="", "", IFERROR(INDEX(声優一覧!A:A, MATCH(B287, 声優一覧!B:B, 0)), "該当なし"))</f>
        <v>va_170</v>
      </c>
      <c r="B287" s="1" t="s">
        <v>576</v>
      </c>
      <c r="C287" s="1" t="s">
        <v>275</v>
      </c>
      <c r="D287" s="1" t="str">
        <f>IF(C287="", "", IFERROR(VLOOKUP(C287, 作品一覧!A:B, 2, FALSE), "該当なし"))</f>
        <v>夢職人と忘れじの黒い妖精</v>
      </c>
      <c r="E287" s="1" t="s">
        <v>1105</v>
      </c>
    </row>
    <row r="288" spans="1:5" ht="13.2">
      <c r="A288" s="1" t="str">
        <f t="array" ref="A288">IF(B288="", "", IFERROR(INDEX(声優一覧!A:A, MATCH(B288, 声優一覧!B:B, 0)), "該当なし"))</f>
        <v>va_132</v>
      </c>
      <c r="B288" s="1" t="s">
        <v>407</v>
      </c>
      <c r="C288" s="1" t="s">
        <v>275</v>
      </c>
      <c r="D288" s="1" t="str">
        <f>IF(C288="", "", IFERROR(VLOOKUP(C288, 作品一覧!A:B, 2, FALSE), "該当なし"))</f>
        <v>夢職人と忘れじの黒い妖精</v>
      </c>
      <c r="E288" s="1" t="s">
        <v>1106</v>
      </c>
    </row>
    <row r="289" spans="1:5" ht="13.2">
      <c r="A289" s="1" t="str">
        <f t="array" ref="A289">IF(B289="", "", IFERROR(INDEX(声優一覧!A:A, MATCH(B289, 声優一覧!B:B, 0)), "該当なし"))</f>
        <v>va_053</v>
      </c>
      <c r="B289" s="1" t="s">
        <v>330</v>
      </c>
      <c r="C289" s="1" t="s">
        <v>275</v>
      </c>
      <c r="D289" s="1" t="str">
        <f>IF(C289="", "", IFERROR(VLOOKUP(C289, 作品一覧!A:B, 2, FALSE), "該当なし"))</f>
        <v>夢職人と忘れじの黒い妖精</v>
      </c>
      <c r="E289" s="1" t="s">
        <v>1107</v>
      </c>
    </row>
    <row r="290" spans="1:5" ht="13.2">
      <c r="A290" s="1" t="str">
        <f t="array" ref="A290">IF(B290="", "", IFERROR(INDEX(声優一覧!A:A, MATCH(B290, 声優一覧!B:B, 0)), "該当なし"))</f>
        <v>va_058</v>
      </c>
      <c r="B290" s="1" t="s">
        <v>340</v>
      </c>
      <c r="C290" s="1" t="s">
        <v>275</v>
      </c>
      <c r="D290" s="1" t="str">
        <f>IF(C290="", "", IFERROR(VLOOKUP(C290, 作品一覧!A:B, 2, FALSE), "該当なし"))</f>
        <v>夢職人と忘れじの黒い妖精</v>
      </c>
      <c r="E290" s="1" t="s">
        <v>1108</v>
      </c>
    </row>
    <row r="291" spans="1:5" ht="13.2">
      <c r="A291" s="1" t="str">
        <f t="array" ref="A291">IF(B291="", "", IFERROR(INDEX(声優一覧!A:A, MATCH(B291, 声優一覧!B:B, 0)), "該当なし"))</f>
        <v>va_133</v>
      </c>
      <c r="B291" s="1" t="s">
        <v>497</v>
      </c>
      <c r="C291" s="1" t="s">
        <v>275</v>
      </c>
      <c r="D291" s="1" t="str">
        <f>IF(C291="", "", IFERROR(VLOOKUP(C291, 作品一覧!A:B, 2, FALSE), "該当なし"))</f>
        <v>夢職人と忘れじの黒い妖精</v>
      </c>
      <c r="E291" s="1" t="s">
        <v>1109</v>
      </c>
    </row>
    <row r="292" spans="1:5" ht="13.2">
      <c r="A292" s="1" t="str">
        <f t="array" ref="A292">IF(B292="", "", IFERROR(INDEX(声優一覧!A:A, MATCH(B292, 声優一覧!B:B, 0)), "該当なし"))</f>
        <v>va_189</v>
      </c>
      <c r="B292" s="1" t="s">
        <v>611</v>
      </c>
      <c r="C292" s="1" t="s">
        <v>275</v>
      </c>
      <c r="D292" s="1" t="str">
        <f>IF(C292="", "", IFERROR(VLOOKUP(C292, 作品一覧!A:B, 2, FALSE), "該当なし"))</f>
        <v>夢職人と忘れじの黒い妖精</v>
      </c>
      <c r="E292" s="1" t="s">
        <v>1110</v>
      </c>
    </row>
    <row r="293" spans="1:5" ht="13.2">
      <c r="A293" s="1" t="str">
        <f t="array" ref="A293">IF(B293="", "", IFERROR(INDEX(声優一覧!A:A, MATCH(B293, 声優一覧!B:B, 0)), "該当なし"))</f>
        <v>va_102</v>
      </c>
      <c r="B293" s="1" t="s">
        <v>430</v>
      </c>
      <c r="C293" s="1" t="s">
        <v>275</v>
      </c>
      <c r="D293" s="1" t="str">
        <f>IF(C293="", "", IFERROR(VLOOKUP(C293, 作品一覧!A:B, 2, FALSE), "該当なし"))</f>
        <v>夢職人と忘れじの黒い妖精</v>
      </c>
      <c r="E293" s="1" t="s">
        <v>1111</v>
      </c>
    </row>
    <row r="294" spans="1:5" ht="13.2">
      <c r="A294" s="1" t="str">
        <f t="array" ref="A294">IF(B294="", "", IFERROR(INDEX(声優一覧!A:A, MATCH(B294, 声優一覧!B:B, 0)), "該当なし"))</f>
        <v>va_090</v>
      </c>
      <c r="B294" s="1" t="s">
        <v>404</v>
      </c>
      <c r="C294" s="1" t="s">
        <v>275</v>
      </c>
      <c r="D294" s="1" t="str">
        <f>IF(C294="", "", IFERROR(VLOOKUP(C294, 作品一覧!A:B, 2, FALSE), "該当なし"))</f>
        <v>夢職人と忘れじの黒い妖精</v>
      </c>
      <c r="E294" s="1" t="s">
        <v>1112</v>
      </c>
    </row>
    <row r="295" spans="1:5" ht="13.2">
      <c r="A295" s="1" t="str">
        <f t="array" ref="A295">IF(B295="", "", IFERROR(INDEX(声優一覧!A:A, MATCH(B295, 声優一覧!B:B, 0)), "該当なし"))</f>
        <v>va_120</v>
      </c>
      <c r="B295" s="1" t="s">
        <v>469</v>
      </c>
      <c r="C295" s="1" t="s">
        <v>275</v>
      </c>
      <c r="D295" s="1" t="str">
        <f>IF(C295="", "", IFERROR(VLOOKUP(C295, 作品一覧!A:B, 2, FALSE), "該当なし"))</f>
        <v>夢職人と忘れじの黒い妖精</v>
      </c>
      <c r="E295" s="1" t="s">
        <v>1113</v>
      </c>
    </row>
    <row r="296" spans="1:5" ht="13.2">
      <c r="A296" s="1" t="str">
        <f t="array" ref="A296">IF(B296="", "", IFERROR(INDEX(声優一覧!A:A, MATCH(B296, 声優一覧!B:B, 0)), "該当なし"))</f>
        <v>va_095</v>
      </c>
      <c r="B296" s="1" t="s">
        <v>415</v>
      </c>
      <c r="C296" s="1" t="s">
        <v>275</v>
      </c>
      <c r="D296" s="1" t="str">
        <f>IF(C296="", "", IFERROR(VLOOKUP(C296, 作品一覧!A:B, 2, FALSE), "該当なし"))</f>
        <v>夢職人と忘れじの黒い妖精</v>
      </c>
      <c r="E296" s="1" t="s">
        <v>1114</v>
      </c>
    </row>
    <row r="297" spans="1:5" ht="13.2">
      <c r="A297" s="1" t="str">
        <f t="array" ref="A297">IF(B297="", "", IFERROR(INDEX(声優一覧!A:A, MATCH(B297, 声優一覧!B:B, 0)), "該当なし"))</f>
        <v>va_106</v>
      </c>
      <c r="B297" s="1" t="s">
        <v>439</v>
      </c>
      <c r="C297" s="1" t="s">
        <v>275</v>
      </c>
      <c r="D297" s="1" t="str">
        <f>IF(C297="", "", IFERROR(VLOOKUP(C297, 作品一覧!A:B, 2, FALSE), "該当なし"))</f>
        <v>夢職人と忘れじの黒い妖精</v>
      </c>
      <c r="E297" s="1" t="s">
        <v>1115</v>
      </c>
    </row>
    <row r="298" spans="1:5" ht="13.2">
      <c r="A298" s="1" t="str">
        <f t="array" ref="A298">IF(B298="", "", IFERROR(INDEX(声優一覧!A:A, MATCH(B298, 声優一覧!B:B, 0)), "該当なし"))</f>
        <v>va_008</v>
      </c>
      <c r="B298" s="1" t="s">
        <v>136</v>
      </c>
      <c r="C298" s="1" t="s">
        <v>275</v>
      </c>
      <c r="D298" s="1" t="str">
        <f>IF(C298="", "", IFERROR(VLOOKUP(C298, 作品一覧!A:B, 2, FALSE), "該当なし"))</f>
        <v>夢職人と忘れじの黒い妖精</v>
      </c>
      <c r="E298" s="1" t="s">
        <v>1116</v>
      </c>
    </row>
    <row r="299" spans="1:5" ht="13.2">
      <c r="A299" s="1" t="str">
        <f t="array" ref="A299">IF(B299="", "", IFERROR(INDEX(声優一覧!A:A, MATCH(B299, 声優一覧!B:B, 0)), "該当なし"))</f>
        <v>va_131</v>
      </c>
      <c r="B299" s="1" t="s">
        <v>494</v>
      </c>
      <c r="C299" s="1" t="s">
        <v>275</v>
      </c>
      <c r="D299" s="1" t="str">
        <f>IF(C299="", "", IFERROR(VLOOKUP(C299, 作品一覧!A:B, 2, FALSE), "該当なし"))</f>
        <v>夢職人と忘れじの黒い妖精</v>
      </c>
      <c r="E299" s="1" t="s">
        <v>1117</v>
      </c>
    </row>
    <row r="300" spans="1:5" ht="13.2">
      <c r="A300" s="1" t="str">
        <f t="array" ref="A300">IF(B300="", "", IFERROR(INDEX(声優一覧!A:A, MATCH(B300, 声優一覧!B:B, 0)), "該当なし"))</f>
        <v>va_075</v>
      </c>
      <c r="B300" s="1" t="s">
        <v>372</v>
      </c>
      <c r="C300" s="1" t="s">
        <v>275</v>
      </c>
      <c r="D300" s="1" t="str">
        <f>IF(C300="", "", IFERROR(VLOOKUP(C300, 作品一覧!A:B, 2, FALSE), "該当なし"))</f>
        <v>夢職人と忘れじの黒い妖精</v>
      </c>
      <c r="E300" s="1" t="s">
        <v>1118</v>
      </c>
    </row>
    <row r="301" spans="1:5" ht="13.2">
      <c r="A301" s="1" t="str">
        <f t="array" ref="A301">IF(B301="", "", IFERROR(INDEX(声優一覧!A:A, MATCH(B301, 声優一覧!B:B, 0)), "該当なし"))</f>
        <v>va_117</v>
      </c>
      <c r="B301" s="1" t="s">
        <v>462</v>
      </c>
      <c r="C301" s="1" t="s">
        <v>275</v>
      </c>
      <c r="D301" s="1" t="str">
        <f>IF(C301="", "", IFERROR(VLOOKUP(C301, 作品一覧!A:B, 2, FALSE), "該当なし"))</f>
        <v>夢職人と忘れじの黒い妖精</v>
      </c>
      <c r="E301" s="1" t="s">
        <v>1119</v>
      </c>
    </row>
    <row r="302" spans="1:5" ht="13.2">
      <c r="A302" s="1" t="str">
        <f t="array" ref="A302">IF(B302="", "", IFERROR(INDEX(声優一覧!A:A, MATCH(B302, 声優一覧!B:B, 0)), "該当なし"))</f>
        <v>va_161</v>
      </c>
      <c r="B302" s="1" t="s">
        <v>557</v>
      </c>
      <c r="C302" s="1" t="s">
        <v>275</v>
      </c>
      <c r="D302" s="1" t="str">
        <f>IF(C302="", "", IFERROR(VLOOKUP(C302, 作品一覧!A:B, 2, FALSE), "該当なし"))</f>
        <v>夢職人と忘れじの黒い妖精</v>
      </c>
      <c r="E302" s="1" t="s">
        <v>1120</v>
      </c>
    </row>
    <row r="303" spans="1:5" ht="13.2">
      <c r="A303" s="1" t="str">
        <f t="array" ref="A303">IF(B303="", "", IFERROR(INDEX(声優一覧!A:A, MATCH(B303, 声優一覧!B:B, 0)), "該当なし"))</f>
        <v>va_124</v>
      </c>
      <c r="B303" s="1" t="s">
        <v>478</v>
      </c>
      <c r="C303" s="1" t="s">
        <v>275</v>
      </c>
      <c r="D303" s="1" t="str">
        <f>IF(C303="", "", IFERROR(VLOOKUP(C303, 作品一覧!A:B, 2, FALSE), "該当なし"))</f>
        <v>夢職人と忘れじの黒い妖精</v>
      </c>
      <c r="E303" s="1" t="s">
        <v>1121</v>
      </c>
    </row>
    <row r="304" spans="1:5" ht="13.2">
      <c r="A304" s="1" t="str">
        <f t="array" ref="A304">IF(B304="", "", IFERROR(INDEX(声優一覧!A:A, MATCH(B304, 声優一覧!B:B, 0)), "該当なし"))</f>
        <v>va_025</v>
      </c>
      <c r="B304" s="1" t="s">
        <v>235</v>
      </c>
      <c r="C304" s="1" t="s">
        <v>275</v>
      </c>
      <c r="D304" s="1" t="str">
        <f>IF(C304="", "", IFERROR(VLOOKUP(C304, 作品一覧!A:B, 2, FALSE), "該当なし"))</f>
        <v>夢職人と忘れじの黒い妖精</v>
      </c>
      <c r="E304" s="1" t="s">
        <v>1122</v>
      </c>
    </row>
    <row r="305" spans="1:5" ht="13.2">
      <c r="A305" s="1" t="str">
        <f t="array" ref="A305">IF(B305="", "", IFERROR(INDEX(声優一覧!A:A, MATCH(B305, 声優一覧!B:B, 0)), "該当なし"))</f>
        <v>va_111</v>
      </c>
      <c r="B305" s="1" t="s">
        <v>448</v>
      </c>
      <c r="C305" s="1" t="s">
        <v>275</v>
      </c>
      <c r="D305" s="1" t="str">
        <f>IF(C305="", "", IFERROR(VLOOKUP(C305, 作品一覧!A:B, 2, FALSE), "該当なし"))</f>
        <v>夢職人と忘れじの黒い妖精</v>
      </c>
      <c r="E305" s="1" t="s">
        <v>1123</v>
      </c>
    </row>
    <row r="306" spans="1:5" ht="13.2">
      <c r="A306" s="1" t="str">
        <f t="array" ref="A306">IF(B306="", "", IFERROR(INDEX(声優一覧!A:A, MATCH(B306, 声優一覧!B:B, 0)), "該当なし"))</f>
        <v>va_067</v>
      </c>
      <c r="B306" s="1" t="s">
        <v>356</v>
      </c>
      <c r="C306" s="1" t="s">
        <v>275</v>
      </c>
      <c r="D306" s="1" t="str">
        <f>IF(C306="", "", IFERROR(VLOOKUP(C306, 作品一覧!A:B, 2, FALSE), "該当なし"))</f>
        <v>夢職人と忘れじの黒い妖精</v>
      </c>
      <c r="E306" s="1" t="s">
        <v>1124</v>
      </c>
    </row>
    <row r="307" spans="1:5" ht="13.2">
      <c r="A307" s="1" t="str">
        <f t="array" ref="A307">IF(B307="", "", IFERROR(INDEX(声優一覧!A:A, MATCH(B307, 声優一覧!B:B, 0)), "該当なし"))</f>
        <v>va_169</v>
      </c>
      <c r="B307" s="1" t="s">
        <v>574</v>
      </c>
      <c r="C307" s="1" t="s">
        <v>275</v>
      </c>
      <c r="D307" s="1" t="str">
        <f>IF(C307="", "", IFERROR(VLOOKUP(C307, 作品一覧!A:B, 2, FALSE), "該当なし"))</f>
        <v>夢職人と忘れじの黒い妖精</v>
      </c>
      <c r="E307" s="1" t="s">
        <v>1125</v>
      </c>
    </row>
    <row r="308" spans="1:5" ht="13.2">
      <c r="A308" s="1" t="str">
        <f t="array" ref="A308">IF(B308="", "", IFERROR(INDEX(声優一覧!A:A, MATCH(B308, 声優一覧!B:B, 0)), "該当なし"))</f>
        <v>va_180</v>
      </c>
      <c r="B308" s="1" t="s">
        <v>525</v>
      </c>
      <c r="C308" s="1" t="s">
        <v>14</v>
      </c>
      <c r="D308" s="1" t="str">
        <f>IF(C308="", "", IFERROR(VLOOKUP(C308, 作品一覧!A:B, 2, FALSE), "該当なし"))</f>
        <v>あんさんぶるスターズ！！</v>
      </c>
      <c r="E308" s="1" t="s">
        <v>1126</v>
      </c>
    </row>
    <row r="309" spans="1:5" ht="13.2">
      <c r="A309" s="1" t="str">
        <f t="array" ref="A309">IF(B309="", "", IFERROR(INDEX(声優一覧!A:A, MATCH(B309, 声優一覧!B:B, 0)), "該当なし"))</f>
        <v>va_035</v>
      </c>
      <c r="B309" s="1" t="s">
        <v>295</v>
      </c>
      <c r="C309" s="1" t="s">
        <v>14</v>
      </c>
      <c r="D309" s="1" t="str">
        <f>IF(C309="", "", IFERROR(VLOOKUP(C309, 作品一覧!A:B, 2, FALSE), "該当なし"))</f>
        <v>あんさんぶるスターズ！！</v>
      </c>
      <c r="E309" s="1" t="s">
        <v>1127</v>
      </c>
    </row>
    <row r="310" spans="1:5" ht="13.2">
      <c r="A310" s="1" t="str">
        <f t="array" ref="A310">IF(B310="", "", IFERROR(INDEX(声優一覧!A:A, MATCH(B310, 声優一覧!B:B, 0)), "該当なし"))</f>
        <v>va_183</v>
      </c>
      <c r="B310" s="1" t="s">
        <v>600</v>
      </c>
      <c r="C310" s="1" t="s">
        <v>14</v>
      </c>
      <c r="D310" s="1" t="str">
        <f>IF(C310="", "", IFERROR(VLOOKUP(C310, 作品一覧!A:B, 2, FALSE), "該当なし"))</f>
        <v>あんさんぶるスターズ！！</v>
      </c>
      <c r="E310" s="1" t="s">
        <v>1128</v>
      </c>
    </row>
    <row r="311" spans="1:5" ht="13.2">
      <c r="A311" s="1" t="str">
        <f t="array" ref="A311">IF(B311="", "", IFERROR(INDEX(声優一覧!A:A, MATCH(B311, 声優一覧!B:B, 0)), "該当なし"))</f>
        <v>va_146</v>
      </c>
      <c r="B311" s="1" t="s">
        <v>522</v>
      </c>
      <c r="C311" s="1" t="s">
        <v>14</v>
      </c>
      <c r="D311" s="1" t="str">
        <f>IF(C311="", "", IFERROR(VLOOKUP(C311, 作品一覧!A:B, 2, FALSE), "該当なし"))</f>
        <v>あんさんぶるスターズ！！</v>
      </c>
      <c r="E311" s="1" t="s">
        <v>1129</v>
      </c>
    </row>
    <row r="312" spans="1:5" ht="13.2">
      <c r="A312" s="1" t="str">
        <f t="array" ref="A312">IF(B312="", "", IFERROR(INDEX(声優一覧!A:A, MATCH(B312, 声優一覧!B:B, 0)), "該当なし"))</f>
        <v>va_169</v>
      </c>
      <c r="B312" s="1" t="s">
        <v>574</v>
      </c>
      <c r="C312" s="1" t="s">
        <v>14</v>
      </c>
      <c r="D312" s="1" t="str">
        <f>IF(C312="", "", IFERROR(VLOOKUP(C312, 作品一覧!A:B, 2, FALSE), "該当なし"))</f>
        <v>あんさんぶるスターズ！！</v>
      </c>
      <c r="E312" s="1" t="s">
        <v>1130</v>
      </c>
    </row>
    <row r="313" spans="1:5" ht="13.2">
      <c r="A313" s="1" t="str">
        <f t="array" ref="A313">IF(B313="", "", IFERROR(INDEX(声優一覧!A:A, MATCH(B313, 声優一覧!B:B, 0)), "該当なし"))</f>
        <v>va_048</v>
      </c>
      <c r="B313" s="1" t="s">
        <v>321</v>
      </c>
      <c r="C313" s="1" t="s">
        <v>14</v>
      </c>
      <c r="D313" s="1" t="str">
        <f>IF(C313="", "", IFERROR(VLOOKUP(C313, 作品一覧!A:B, 2, FALSE), "該当なし"))</f>
        <v>あんさんぶるスターズ！！</v>
      </c>
      <c r="E313" s="1" t="s">
        <v>1131</v>
      </c>
    </row>
    <row r="314" spans="1:5" ht="13.2">
      <c r="A314" s="1" t="str">
        <f t="array" ref="A314">IF(B314="", "", IFERROR(INDEX(声優一覧!A:A, MATCH(B314, 声優一覧!B:B, 0)), "該当なし"))</f>
        <v>va_185</v>
      </c>
      <c r="B314" s="1" t="s">
        <v>605</v>
      </c>
      <c r="C314" s="1" t="s">
        <v>14</v>
      </c>
      <c r="D314" s="1" t="str">
        <f>IF(C314="", "", IFERROR(VLOOKUP(C314, 作品一覧!A:B, 2, FALSE), "該当なし"))</f>
        <v>あんさんぶるスターズ！！</v>
      </c>
      <c r="E314" s="1" t="s">
        <v>1132</v>
      </c>
    </row>
    <row r="315" spans="1:5" ht="13.2">
      <c r="A315" s="1" t="str">
        <f t="array" ref="A315">IF(B315="", "", IFERROR(INDEX(声優一覧!A:A, MATCH(B315, 声優一覧!B:B, 0)), "該当なし"))</f>
        <v>va_051</v>
      </c>
      <c r="B315" s="1" t="s">
        <v>326</v>
      </c>
      <c r="C315" s="1" t="s">
        <v>14</v>
      </c>
      <c r="D315" s="1" t="str">
        <f>IF(C315="", "", IFERROR(VLOOKUP(C315, 作品一覧!A:B, 2, FALSE), "該当なし"))</f>
        <v>あんさんぶるスターズ！！</v>
      </c>
      <c r="E315" s="1" t="s">
        <v>1133</v>
      </c>
    </row>
    <row r="316" spans="1:5" ht="13.2">
      <c r="A316" s="1" t="str">
        <f t="array" ref="A316">IF(B316="", "", IFERROR(INDEX(声優一覧!A:A, MATCH(B316, 声優一覧!B:B, 0)), "該当なし"))</f>
        <v>va_167</v>
      </c>
      <c r="B316" s="1" t="s">
        <v>569</v>
      </c>
      <c r="C316" s="1" t="s">
        <v>14</v>
      </c>
      <c r="D316" s="1" t="str">
        <f>IF(C316="", "", IFERROR(VLOOKUP(C316, 作品一覧!A:B, 2, FALSE), "該当なし"))</f>
        <v>あんさんぶるスターズ！！</v>
      </c>
      <c r="E316" s="1" t="s">
        <v>1134</v>
      </c>
    </row>
    <row r="317" spans="1:5" ht="13.2">
      <c r="A317" s="1" t="str">
        <f t="array" ref="A317">IF(B317="", "", IFERROR(INDEX(声優一覧!A:A, MATCH(B317, 声優一覧!B:B, 0)), "該当なし"))</f>
        <v>va_141</v>
      </c>
      <c r="B317" s="1" t="s">
        <v>511</v>
      </c>
      <c r="C317" s="1" t="s">
        <v>14</v>
      </c>
      <c r="D317" s="1" t="str">
        <f>IF(C317="", "", IFERROR(VLOOKUP(C317, 作品一覧!A:B, 2, FALSE), "該当なし"))</f>
        <v>あんさんぶるスターズ！！</v>
      </c>
      <c r="E317" s="1" t="s">
        <v>1135</v>
      </c>
    </row>
    <row r="318" spans="1:5" ht="13.2">
      <c r="A318" s="1" t="str">
        <f t="array" ref="A318">IF(B318="", "", IFERROR(INDEX(声優一覧!A:A, MATCH(B318, 声優一覧!B:B, 0)), "該当なし"))</f>
        <v>va_134</v>
      </c>
      <c r="B318" s="1" t="s">
        <v>500</v>
      </c>
      <c r="C318" s="1" t="s">
        <v>14</v>
      </c>
      <c r="D318" s="1" t="str">
        <f>IF(C318="", "", IFERROR(VLOOKUP(C318, 作品一覧!A:B, 2, FALSE), "該当なし"))</f>
        <v>あんさんぶるスターズ！！</v>
      </c>
      <c r="E318" s="1" t="s">
        <v>1136</v>
      </c>
    </row>
    <row r="319" spans="1:5" ht="13.2">
      <c r="A319" s="1" t="str">
        <f t="array" ref="A319">IF(B319="", "", IFERROR(INDEX(声優一覧!A:A, MATCH(B319, 声優一覧!B:B, 0)), "該当なし"))</f>
        <v>va_204</v>
      </c>
      <c r="B319" s="1" t="s">
        <v>641</v>
      </c>
      <c r="C319" s="1" t="s">
        <v>14</v>
      </c>
      <c r="D319" s="1" t="str">
        <f>IF(C319="", "", IFERROR(VLOOKUP(C319, 作品一覧!A:B, 2, FALSE), "該当なし"))</f>
        <v>あんさんぶるスターズ！！</v>
      </c>
      <c r="E319" s="1" t="s">
        <v>1137</v>
      </c>
    </row>
    <row r="320" spans="1:5" ht="13.2">
      <c r="A320" s="1" t="str">
        <f t="array" ref="A320">IF(B320="", "", IFERROR(INDEX(声優一覧!A:A, MATCH(B320, 声優一覧!B:B, 0)), "該当なし"))</f>
        <v>va_139</v>
      </c>
      <c r="B320" s="1" t="s">
        <v>508</v>
      </c>
      <c r="C320" s="1" t="s">
        <v>14</v>
      </c>
      <c r="D320" s="1" t="str">
        <f>IF(C320="", "", IFERROR(VLOOKUP(C320, 作品一覧!A:B, 2, FALSE), "該当なし"))</f>
        <v>あんさんぶるスターズ！！</v>
      </c>
      <c r="E320" s="1" t="s">
        <v>1138</v>
      </c>
    </row>
    <row r="321" spans="1:5" ht="13.2">
      <c r="A321" s="1" t="str">
        <f t="array" ref="A321">IF(B321="", "", IFERROR(INDEX(声優一覧!A:A, MATCH(B321, 声優一覧!B:B, 0)), "該当なし"))</f>
        <v>va_033</v>
      </c>
      <c r="B321" s="1" t="s">
        <v>291</v>
      </c>
      <c r="C321" s="1" t="s">
        <v>14</v>
      </c>
      <c r="D321" s="1" t="str">
        <f>IF(C321="", "", IFERROR(VLOOKUP(C321, 作品一覧!A:B, 2, FALSE), "該当なし"))</f>
        <v>あんさんぶるスターズ！！</v>
      </c>
      <c r="E321" s="1" t="s">
        <v>1139</v>
      </c>
    </row>
    <row r="322" spans="1:5" ht="13.2">
      <c r="A322" s="1" t="str">
        <f t="array" ref="A322">IF(B322="", "", IFERROR(INDEX(声優一覧!A:A, MATCH(B322, 声優一覧!B:B, 0)), "該当なし"))</f>
        <v>va_060</v>
      </c>
      <c r="B322" s="1" t="s">
        <v>344</v>
      </c>
      <c r="C322" s="1" t="s">
        <v>14</v>
      </c>
      <c r="D322" s="1" t="str">
        <f>IF(C322="", "", IFERROR(VLOOKUP(C322, 作品一覧!A:B, 2, FALSE), "該当なし"))</f>
        <v>あんさんぶるスターズ！！</v>
      </c>
      <c r="E322" s="1" t="s">
        <v>1140</v>
      </c>
    </row>
    <row r="323" spans="1:5" ht="13.2">
      <c r="A323" s="1" t="str">
        <f t="array" ref="A323">IF(B323="", "", IFERROR(INDEX(声優一覧!A:A, MATCH(B323, 声優一覧!B:B, 0)), "該当なし"))</f>
        <v>va_061</v>
      </c>
      <c r="B323" s="1" t="s">
        <v>346</v>
      </c>
      <c r="C323" s="1" t="s">
        <v>14</v>
      </c>
      <c r="D323" s="1" t="str">
        <f>IF(C323="", "", IFERROR(VLOOKUP(C323, 作品一覧!A:B, 2, FALSE), "該当なし"))</f>
        <v>あんさんぶるスターズ！！</v>
      </c>
      <c r="E323" s="1" t="s">
        <v>1141</v>
      </c>
    </row>
    <row r="324" spans="1:5" ht="13.2">
      <c r="A324" s="1" t="str">
        <f t="array" ref="A324">IF(B324="", "", IFERROR(INDEX(声優一覧!A:A, MATCH(B324, 声優一覧!B:B, 0)), "該当なし"))</f>
        <v>va_072</v>
      </c>
      <c r="B324" s="1" t="s">
        <v>366</v>
      </c>
      <c r="C324" s="1" t="s">
        <v>14</v>
      </c>
      <c r="D324" s="1" t="str">
        <f>IF(C324="", "", IFERROR(VLOOKUP(C324, 作品一覧!A:B, 2, FALSE), "該当なし"))</f>
        <v>あんさんぶるスターズ！！</v>
      </c>
      <c r="E324" s="1" t="s">
        <v>1142</v>
      </c>
    </row>
    <row r="325" spans="1:5" ht="13.2">
      <c r="A325" s="1" t="str">
        <f t="array" ref="A325">IF(B325="", "", IFERROR(INDEX(声優一覧!A:A, MATCH(B325, 声優一覧!B:B, 0)), "該当なし"))</f>
        <v>va_172</v>
      </c>
      <c r="B325" s="1" t="s">
        <v>579</v>
      </c>
      <c r="C325" s="1" t="s">
        <v>14</v>
      </c>
      <c r="D325" s="1" t="str">
        <f>IF(C325="", "", IFERROR(VLOOKUP(C325, 作品一覧!A:B, 2, FALSE), "該当なし"))</f>
        <v>あんさんぶるスターズ！！</v>
      </c>
      <c r="E325" s="1" t="s">
        <v>1143</v>
      </c>
    </row>
    <row r="326" spans="1:5" ht="13.2">
      <c r="A326" s="1" t="str">
        <f t="array" ref="A326">IF(B326="", "", IFERROR(INDEX(声優一覧!A:A, MATCH(B326, 声優一覧!B:B, 0)), "該当なし"))</f>
        <v>va_163</v>
      </c>
      <c r="B326" s="1" t="s">
        <v>562</v>
      </c>
      <c r="C326" s="1" t="s">
        <v>14</v>
      </c>
      <c r="D326" s="1" t="str">
        <f>IF(C326="", "", IFERROR(VLOOKUP(C326, 作品一覧!A:B, 2, FALSE), "該当なし"))</f>
        <v>あんさんぶるスターズ！！</v>
      </c>
      <c r="E326" s="1" t="s">
        <v>1144</v>
      </c>
    </row>
    <row r="327" spans="1:5" ht="13.2">
      <c r="A327" s="1" t="str">
        <f t="array" ref="A327">IF(B327="", "", IFERROR(INDEX(声優一覧!A:A, MATCH(B327, 声優一覧!B:B, 0)), "該当なし"))</f>
        <v>va_046</v>
      </c>
      <c r="B327" s="1" t="s">
        <v>317</v>
      </c>
      <c r="C327" s="1" t="s">
        <v>14</v>
      </c>
      <c r="D327" s="1" t="str">
        <f>IF(C327="", "", IFERROR(VLOOKUP(C327, 作品一覧!A:B, 2, FALSE), "該当なし"))</f>
        <v>あんさんぶるスターズ！！</v>
      </c>
      <c r="E327" s="1" t="s">
        <v>1145</v>
      </c>
    </row>
    <row r="328" spans="1:5" ht="13.2">
      <c r="A328" s="1" t="str">
        <f t="array" ref="A328">IF(B328="", "", IFERROR(INDEX(声優一覧!A:A, MATCH(B328, 声優一覧!B:B, 0)), "該当なし"))</f>
        <v>va_148</v>
      </c>
      <c r="B328" s="1" t="s">
        <v>527</v>
      </c>
      <c r="C328" s="1" t="s">
        <v>14</v>
      </c>
      <c r="D328" s="1" t="str">
        <f>IF(C328="", "", IFERROR(VLOOKUP(C328, 作品一覧!A:B, 2, FALSE), "該当なし"))</f>
        <v>あんさんぶるスターズ！！</v>
      </c>
      <c r="E328" s="1" t="s">
        <v>1146</v>
      </c>
    </row>
    <row r="329" spans="1:5" ht="13.2">
      <c r="A329" s="1" t="str">
        <f t="array" ref="A329">IF(B329="", "", IFERROR(INDEX(声優一覧!A:A, MATCH(B329, 声優一覧!B:B, 0)), "該当なし"))</f>
        <v>va_004</v>
      </c>
      <c r="B329" s="1" t="s">
        <v>97</v>
      </c>
      <c r="C329" s="1" t="s">
        <v>14</v>
      </c>
      <c r="D329" s="1" t="str">
        <f>IF(C329="", "", IFERROR(VLOOKUP(C329, 作品一覧!A:B, 2, FALSE), "該当なし"))</f>
        <v>あんさんぶるスターズ！！</v>
      </c>
      <c r="E329" s="1" t="s">
        <v>1147</v>
      </c>
    </row>
    <row r="330" spans="1:5" ht="13.2">
      <c r="A330" s="1" t="str">
        <f t="array" ref="A330">IF(B330="", "", IFERROR(INDEX(声優一覧!A:A, MATCH(B330, 声優一覧!B:B, 0)), "該当なし"))</f>
        <v>va_018</v>
      </c>
      <c r="B330" s="1" t="s">
        <v>180</v>
      </c>
      <c r="C330" s="1" t="s">
        <v>14</v>
      </c>
      <c r="D330" s="1" t="str">
        <f>IF(C330="", "", IFERROR(VLOOKUP(C330, 作品一覧!A:B, 2, FALSE), "該当なし"))</f>
        <v>あんさんぶるスターズ！！</v>
      </c>
      <c r="E330" s="1" t="s">
        <v>1148</v>
      </c>
    </row>
    <row r="331" spans="1:5" ht="13.2">
      <c r="A331" s="1" t="str">
        <f t="array" ref="A331">IF(B331="", "", IFERROR(INDEX(声優一覧!A:A, MATCH(B331, 声優一覧!B:B, 0)), "該当なし"))</f>
        <v>va_193</v>
      </c>
      <c r="B331" s="1" t="s">
        <v>476</v>
      </c>
      <c r="C331" s="1" t="s">
        <v>14</v>
      </c>
      <c r="D331" s="1" t="str">
        <f>IF(C331="", "", IFERROR(VLOOKUP(C331, 作品一覧!A:B, 2, FALSE), "該当なし"))</f>
        <v>あんさんぶるスターズ！！</v>
      </c>
      <c r="E331" s="1" t="s">
        <v>1149</v>
      </c>
    </row>
    <row r="332" spans="1:5" ht="13.2">
      <c r="A332" s="1" t="str">
        <f t="array" ref="A332">IF(B332="", "", IFERROR(INDEX(声優一覧!A:A, MATCH(B332, 声優一覧!B:B, 0)), "該当なし"))</f>
        <v>va_062</v>
      </c>
      <c r="B332" s="1" t="s">
        <v>347</v>
      </c>
      <c r="C332" s="1" t="s">
        <v>14</v>
      </c>
      <c r="D332" s="1" t="str">
        <f>IF(C332="", "", IFERROR(VLOOKUP(C332, 作品一覧!A:B, 2, FALSE), "該当なし"))</f>
        <v>あんさんぶるスターズ！！</v>
      </c>
      <c r="E332" s="1" t="s">
        <v>1150</v>
      </c>
    </row>
    <row r="333" spans="1:5" ht="13.2">
      <c r="A333" s="1" t="str">
        <f t="array" ref="A333">IF(B333="", "", IFERROR(INDEX(声優一覧!A:A, MATCH(B333, 声優一覧!B:B, 0)), "該当なし"))</f>
        <v>va_122</v>
      </c>
      <c r="B333" s="1" t="s">
        <v>473</v>
      </c>
      <c r="C333" s="1" t="s">
        <v>14</v>
      </c>
      <c r="D333" s="1" t="str">
        <f>IF(C333="", "", IFERROR(VLOOKUP(C333, 作品一覧!A:B, 2, FALSE), "該当なし"))</f>
        <v>あんさんぶるスターズ！！</v>
      </c>
      <c r="E333" s="1" t="s">
        <v>1151</v>
      </c>
    </row>
    <row r="334" spans="1:5" ht="13.2">
      <c r="A334" s="1" t="str">
        <f t="array" ref="A334">IF(B334="", "", IFERROR(INDEX(声優一覧!A:A, MATCH(B334, 声優一覧!B:B, 0)), "該当なし"))</f>
        <v>va_199</v>
      </c>
      <c r="B334" s="1" t="s">
        <v>631</v>
      </c>
      <c r="C334" s="1" t="s">
        <v>14</v>
      </c>
      <c r="D334" s="1" t="str">
        <f>IF(C334="", "", IFERROR(VLOOKUP(C334, 作品一覧!A:B, 2, FALSE), "該当なし"))</f>
        <v>あんさんぶるスターズ！！</v>
      </c>
      <c r="E334" s="1" t="s">
        <v>1152</v>
      </c>
    </row>
    <row r="335" spans="1:5" ht="13.2">
      <c r="A335" s="1" t="str">
        <f t="array" ref="A335">IF(B335="", "", IFERROR(INDEX(声優一覧!A:A, MATCH(B335, 声優一覧!B:B, 0)), "該当なし"))</f>
        <v>va_071</v>
      </c>
      <c r="B335" s="1" t="s">
        <v>364</v>
      </c>
      <c r="C335" s="1" t="s">
        <v>14</v>
      </c>
      <c r="D335" s="1" t="str">
        <f>IF(C335="", "", IFERROR(VLOOKUP(C335, 作品一覧!A:B, 2, FALSE), "該当なし"))</f>
        <v>あんさんぶるスターズ！！</v>
      </c>
      <c r="E335" s="1" t="s">
        <v>1153</v>
      </c>
    </row>
    <row r="336" spans="1:5" ht="13.2">
      <c r="A336" s="1" t="str">
        <f t="array" ref="A336">IF(B336="", "", IFERROR(INDEX(声優一覧!A:A, MATCH(B336, 声優一覧!B:B, 0)), "該当なし"))</f>
        <v>va_153</v>
      </c>
      <c r="B336" s="1" t="s">
        <v>539</v>
      </c>
      <c r="C336" s="1" t="s">
        <v>14</v>
      </c>
      <c r="D336" s="1" t="str">
        <f>IF(C336="", "", IFERROR(VLOOKUP(C336, 作品一覧!A:B, 2, FALSE), "該当なし"))</f>
        <v>あんさんぶるスターズ！！</v>
      </c>
      <c r="E336" s="1" t="s">
        <v>1154</v>
      </c>
    </row>
    <row r="337" spans="1:5" ht="13.2">
      <c r="A337" s="1" t="str">
        <f t="array" ref="A337">IF(B337="", "", IFERROR(INDEX(声優一覧!A:A, MATCH(B337, 声優一覧!B:B, 0)), "該当なし"))</f>
        <v>va_104</v>
      </c>
      <c r="B337" s="1" t="s">
        <v>434</v>
      </c>
      <c r="C337" s="1" t="s">
        <v>14</v>
      </c>
      <c r="D337" s="1" t="str">
        <f>IF(C337="", "", IFERROR(VLOOKUP(C337, 作品一覧!A:B, 2, FALSE), "該当なし"))</f>
        <v>あんさんぶるスターズ！！</v>
      </c>
      <c r="E337" s="1" t="s">
        <v>1155</v>
      </c>
    </row>
    <row r="338" spans="1:5" ht="13.2">
      <c r="A338" s="1" t="str">
        <f t="array" ref="A338">IF(B338="", "", IFERROR(INDEX(声優一覧!A:A, MATCH(B338, 声優一覧!B:B, 0)), "該当なし"))</f>
        <v>va_083</v>
      </c>
      <c r="B338" s="1" t="s">
        <v>388</v>
      </c>
      <c r="C338" s="1" t="s">
        <v>14</v>
      </c>
      <c r="D338" s="1" t="str">
        <f>IF(C338="", "", IFERROR(VLOOKUP(C338, 作品一覧!A:B, 2, FALSE), "該当なし"))</f>
        <v>あんさんぶるスターズ！！</v>
      </c>
      <c r="E338" s="1" t="s">
        <v>1156</v>
      </c>
    </row>
    <row r="339" spans="1:5" ht="13.2">
      <c r="A339" s="1" t="str">
        <f t="array" ref="A339">IF(B339="", "", IFERROR(INDEX(声優一覧!A:A, MATCH(B339, 声優一覧!B:B, 0)), "該当なし"))</f>
        <v>va_083</v>
      </c>
      <c r="B339" s="1" t="s">
        <v>388</v>
      </c>
      <c r="C339" s="1" t="s">
        <v>14</v>
      </c>
      <c r="D339" s="1" t="str">
        <f>IF(C339="", "", IFERROR(VLOOKUP(C339, 作品一覧!A:B, 2, FALSE), "該当なし"))</f>
        <v>あんさんぶるスターズ！！</v>
      </c>
      <c r="E339" s="1" t="s">
        <v>1157</v>
      </c>
    </row>
    <row r="340" spans="1:5" ht="13.2">
      <c r="A340" s="1" t="str">
        <f t="array" ref="A340">IF(B340="", "", IFERROR(INDEX(声優一覧!A:A, MATCH(B340, 声優一覧!B:B, 0)), "該当なし"))</f>
        <v>va_111</v>
      </c>
      <c r="B340" s="1" t="s">
        <v>448</v>
      </c>
      <c r="C340" s="1" t="s">
        <v>14</v>
      </c>
      <c r="D340" s="1" t="str">
        <f>IF(C340="", "", IFERROR(VLOOKUP(C340, 作品一覧!A:B, 2, FALSE), "該当なし"))</f>
        <v>あんさんぶるスターズ！！</v>
      </c>
      <c r="E340" s="1" t="s">
        <v>1158</v>
      </c>
    </row>
    <row r="341" spans="1:5" ht="13.2">
      <c r="A341" s="1" t="str">
        <f t="array" ref="A341">IF(B341="", "", IFERROR(INDEX(声優一覧!A:A, MATCH(B341, 声優一覧!B:B, 0)), "該当なし"))</f>
        <v>va_039</v>
      </c>
      <c r="B341" s="1" t="s">
        <v>303</v>
      </c>
      <c r="C341" s="1" t="s">
        <v>14</v>
      </c>
      <c r="D341" s="1" t="str">
        <f>IF(C341="", "", IFERROR(VLOOKUP(C341, 作品一覧!A:B, 2, FALSE), "該当なし"))</f>
        <v>あんさんぶるスターズ！！</v>
      </c>
      <c r="E341" s="1" t="s">
        <v>1159</v>
      </c>
    </row>
    <row r="342" spans="1:5" ht="13.2">
      <c r="A342" s="1" t="str">
        <f t="array" ref="A342">IF(B342="", "", IFERROR(INDEX(声優一覧!A:A, MATCH(B342, 声優一覧!B:B, 0)), "該当なし"))</f>
        <v>va_143</v>
      </c>
      <c r="B342" s="1" t="s">
        <v>516</v>
      </c>
      <c r="C342" s="1" t="s">
        <v>14</v>
      </c>
      <c r="D342" s="1" t="str">
        <f>IF(C342="", "", IFERROR(VLOOKUP(C342, 作品一覧!A:B, 2, FALSE), "該当なし"))</f>
        <v>あんさんぶるスターズ！！</v>
      </c>
      <c r="E342" s="1" t="s">
        <v>1160</v>
      </c>
    </row>
    <row r="343" spans="1:5" ht="13.2">
      <c r="A343" s="1" t="str">
        <f t="array" ref="A343">IF(B343="", "", IFERROR(INDEX(声優一覧!A:A, MATCH(B343, 声優一覧!B:B, 0)), "該当なし"))</f>
        <v>va_013</v>
      </c>
      <c r="B343" s="1" t="s">
        <v>144</v>
      </c>
      <c r="C343" s="1" t="s">
        <v>14</v>
      </c>
      <c r="D343" s="1" t="str">
        <f>IF(C343="", "", IFERROR(VLOOKUP(C343, 作品一覧!A:B, 2, FALSE), "該当なし"))</f>
        <v>あんさんぶるスターズ！！</v>
      </c>
      <c r="E343" s="1" t="s">
        <v>1161</v>
      </c>
    </row>
    <row r="344" spans="1:5" ht="13.2">
      <c r="A344" s="1" t="str">
        <f t="array" ref="A344">IF(B344="", "", IFERROR(INDEX(声優一覧!A:A, MATCH(B344, 声優一覧!B:B, 0)), "該当なし"))</f>
        <v>va_195</v>
      </c>
      <c r="B344" s="1" t="s">
        <v>623</v>
      </c>
      <c r="C344" s="1" t="s">
        <v>14</v>
      </c>
      <c r="D344" s="1" t="str">
        <f>IF(C344="", "", IFERROR(VLOOKUP(C344, 作品一覧!A:B, 2, FALSE), "該当なし"))</f>
        <v>あんさんぶるスターズ！！</v>
      </c>
      <c r="E344" s="1" t="s">
        <v>1162</v>
      </c>
    </row>
    <row r="345" spans="1:5" ht="13.2">
      <c r="A345" s="1" t="str">
        <f t="array" ref="A345">IF(B345="", "", IFERROR(INDEX(声優一覧!A:A, MATCH(B345, 声優一覧!B:B, 0)), "該当なし"))</f>
        <v>va_132</v>
      </c>
      <c r="B345" s="1" t="s">
        <v>407</v>
      </c>
      <c r="C345" s="1" t="s">
        <v>14</v>
      </c>
      <c r="D345" s="1" t="str">
        <f>IF(C345="", "", IFERROR(VLOOKUP(C345, 作品一覧!A:B, 2, FALSE), "該当なし"))</f>
        <v>あんさんぶるスターズ！！</v>
      </c>
      <c r="E345" s="1" t="s">
        <v>1163</v>
      </c>
    </row>
    <row r="346" spans="1:5" ht="13.2">
      <c r="A346" s="1" t="str">
        <f t="array" ref="A346">IF(B346="", "", IFERROR(INDEX(声優一覧!A:A, MATCH(B346, 声優一覧!B:B, 0)), "該当なし"))</f>
        <v>va_102</v>
      </c>
      <c r="B346" s="1" t="s">
        <v>430</v>
      </c>
      <c r="C346" s="1" t="s">
        <v>14</v>
      </c>
      <c r="D346" s="1" t="str">
        <f>IF(C346="", "", IFERROR(VLOOKUP(C346, 作品一覧!A:B, 2, FALSE), "該当なし"))</f>
        <v>あんさんぶるスターズ！！</v>
      </c>
      <c r="E346" s="1" t="s">
        <v>1164</v>
      </c>
    </row>
    <row r="347" spans="1:5" ht="13.2">
      <c r="A347" s="1" t="str">
        <f t="array" ref="A347">IF(B347="", "", IFERROR(INDEX(声優一覧!A:A, MATCH(B347, 声優一覧!B:B, 0)), "該当なし"))</f>
        <v>va_150</v>
      </c>
      <c r="B347" s="1" t="s">
        <v>532</v>
      </c>
      <c r="C347" s="1" t="s">
        <v>14</v>
      </c>
      <c r="D347" s="1" t="str">
        <f>IF(C347="", "", IFERROR(VLOOKUP(C347, 作品一覧!A:B, 2, FALSE), "該当なし"))</f>
        <v>あんさんぶるスターズ！！</v>
      </c>
      <c r="E347" s="1" t="s">
        <v>1165</v>
      </c>
    </row>
    <row r="348" spans="1:5" ht="13.2">
      <c r="A348" s="1" t="str">
        <f t="array" ref="A348">IF(B348="", "", IFERROR(INDEX(声優一覧!A:A, MATCH(B348, 声優一覧!B:B, 0)), "該当なし"))</f>
        <v>va_037</v>
      </c>
      <c r="B348" s="1" t="s">
        <v>299</v>
      </c>
      <c r="C348" s="1" t="s">
        <v>14</v>
      </c>
      <c r="D348" s="1" t="str">
        <f>IF(C348="", "", IFERROR(VLOOKUP(C348, 作品一覧!A:B, 2, FALSE), "該当なし"))</f>
        <v>あんさんぶるスターズ！！</v>
      </c>
      <c r="E348" s="1" t="s">
        <v>1166</v>
      </c>
    </row>
    <row r="349" spans="1:5" ht="13.2">
      <c r="A349" s="1" t="str">
        <f t="array" ref="A349">IF(B349="", "", IFERROR(INDEX(声優一覧!A:A, MATCH(B349, 声優一覧!B:B, 0)), "該当なし"))</f>
        <v>va_030</v>
      </c>
      <c r="B349" s="1" t="s">
        <v>277</v>
      </c>
      <c r="C349" s="1" t="s">
        <v>14</v>
      </c>
      <c r="D349" s="1" t="str">
        <f>IF(C349="", "", IFERROR(VLOOKUP(C349, 作品一覧!A:B, 2, FALSE), "該当なし"))</f>
        <v>あんさんぶるスターズ！！</v>
      </c>
      <c r="E349" s="1" t="s">
        <v>1167</v>
      </c>
    </row>
    <row r="350" spans="1:5" ht="13.2">
      <c r="A350" s="1" t="str">
        <f t="array" ref="A350">IF(B350="", "", IFERROR(INDEX(声優一覧!A:A, MATCH(B350, 声優一覧!B:B, 0)), "該当なし"))</f>
        <v>va_053</v>
      </c>
      <c r="B350" s="1" t="s">
        <v>330</v>
      </c>
      <c r="C350" s="1" t="s">
        <v>14</v>
      </c>
      <c r="D350" s="1" t="str">
        <f>IF(C350="", "", IFERROR(VLOOKUP(C350, 作品一覧!A:B, 2, FALSE), "該当なし"))</f>
        <v>あんさんぶるスターズ！！</v>
      </c>
      <c r="E350" s="1" t="s">
        <v>1168</v>
      </c>
    </row>
    <row r="351" spans="1:5" ht="13.2">
      <c r="A351" s="1" t="str">
        <f t="array" ref="A351">IF(B351="", "", IFERROR(INDEX(声優一覧!A:A, MATCH(B351, 声優一覧!B:B, 0)), "該当なし"))</f>
        <v>va_007</v>
      </c>
      <c r="B351" s="1" t="s">
        <v>126</v>
      </c>
      <c r="C351" s="1" t="s">
        <v>14</v>
      </c>
      <c r="D351" s="1" t="str">
        <f>IF(C351="", "", IFERROR(VLOOKUP(C351, 作品一覧!A:B, 2, FALSE), "該当なし"))</f>
        <v>あんさんぶるスターズ！！</v>
      </c>
      <c r="E351" s="1" t="s">
        <v>1169</v>
      </c>
    </row>
    <row r="352" spans="1:5" ht="13.2">
      <c r="A352" s="1" t="str">
        <f t="array" ref="A352">IF(B352="", "", IFERROR(INDEX(声優一覧!A:A, MATCH(B352, 声優一覧!B:B, 0)), "該当なし"))</f>
        <v>va_093</v>
      </c>
      <c r="B352" s="1" t="s">
        <v>411</v>
      </c>
      <c r="C352" s="1" t="s">
        <v>14</v>
      </c>
      <c r="D352" s="1" t="str">
        <f>IF(C352="", "", IFERROR(VLOOKUP(C352, 作品一覧!A:B, 2, FALSE), "該当なし"))</f>
        <v>あんさんぶるスターズ！！</v>
      </c>
      <c r="E352" s="1" t="s">
        <v>1170</v>
      </c>
    </row>
    <row r="353" spans="1:5" ht="13.2">
      <c r="A353" s="1" t="str">
        <f t="array" ref="A353">IF(B353="", "", IFERROR(INDEX(声優一覧!A:A, MATCH(B353, 声優一覧!B:B, 0)), "該当なし"))</f>
        <v>va_133</v>
      </c>
      <c r="B353" s="1" t="s">
        <v>497</v>
      </c>
      <c r="C353" s="1" t="s">
        <v>14</v>
      </c>
      <c r="D353" s="1" t="str">
        <f>IF(C353="", "", IFERROR(VLOOKUP(C353, 作品一覧!A:B, 2, FALSE), "該当なし"))</f>
        <v>あんさんぶるスターズ！！</v>
      </c>
      <c r="E353" s="1" t="s">
        <v>1171</v>
      </c>
    </row>
    <row r="354" spans="1:5" ht="13.2">
      <c r="A354" s="1" t="str">
        <f t="array" ref="A354">IF(B354="", "", IFERROR(INDEX(声優一覧!A:A, MATCH(B354, 声優一覧!B:B, 0)), "該当なし"))</f>
        <v>va_003</v>
      </c>
      <c r="B354" s="1" t="s">
        <v>88</v>
      </c>
      <c r="C354" s="1" t="s">
        <v>14</v>
      </c>
      <c r="D354" s="1" t="str">
        <f>IF(C354="", "", IFERROR(VLOOKUP(C354, 作品一覧!A:B, 2, FALSE), "該当なし"))</f>
        <v>あんさんぶるスターズ！！</v>
      </c>
      <c r="E354" s="1" t="s">
        <v>1172</v>
      </c>
    </row>
    <row r="355" spans="1:5" ht="13.2">
      <c r="A355" s="1" t="str">
        <f t="array" ref="A355">IF(B355="", "", IFERROR(INDEX(声優一覧!A:A, MATCH(B355, 声優一覧!B:B, 0)), "該当なし"))</f>
        <v>va_050</v>
      </c>
      <c r="B355" s="1" t="s">
        <v>324</v>
      </c>
      <c r="C355" s="1" t="s">
        <v>14</v>
      </c>
      <c r="D355" s="1" t="str">
        <f>IF(C355="", "", IFERROR(VLOOKUP(C355, 作品一覧!A:B, 2, FALSE), "該当なし"))</f>
        <v>あんさんぶるスターズ！！</v>
      </c>
      <c r="E355" s="1" t="s">
        <v>1173</v>
      </c>
    </row>
    <row r="356" spans="1:5" ht="13.2">
      <c r="A356" s="1" t="str">
        <f t="array" ref="A356">IF(B356="", "", IFERROR(INDEX(声優一覧!A:A, MATCH(B356, 声優一覧!B:B, 0)), "該当なし"))</f>
        <v>va_047</v>
      </c>
      <c r="B356" s="1" t="s">
        <v>319</v>
      </c>
      <c r="C356" s="1" t="s">
        <v>14</v>
      </c>
      <c r="D356" s="1" t="str">
        <f>IF(C356="", "", IFERROR(VLOOKUP(C356, 作品一覧!A:B, 2, FALSE), "該当なし"))</f>
        <v>あんさんぶるスターズ！！</v>
      </c>
      <c r="E356" s="1" t="s">
        <v>1174</v>
      </c>
    </row>
    <row r="357" spans="1:5" ht="13.2">
      <c r="A357" s="1" t="str">
        <f t="array" ref="A357">IF(B357="", "", IFERROR(INDEX(声優一覧!A:A, MATCH(B357, 声優一覧!B:B, 0)), "該当なし"))</f>
        <v>va_190</v>
      </c>
      <c r="B357" s="1" t="s">
        <v>613</v>
      </c>
      <c r="C357" s="1" t="s">
        <v>14</v>
      </c>
      <c r="D357" s="1" t="str">
        <f>IF(C357="", "", IFERROR(VLOOKUP(C357, 作品一覧!A:B, 2, FALSE), "該当なし"))</f>
        <v>あんさんぶるスターズ！！</v>
      </c>
      <c r="E357" s="1" t="s">
        <v>1175</v>
      </c>
    </row>
    <row r="358" spans="1:5" ht="13.2">
      <c r="A358" s="1" t="str">
        <f t="array" ref="A358">IF(B358="", "", IFERROR(INDEX(声優一覧!A:A, MATCH(B358, 声優一覧!B:B, 0)), "該当なし"))</f>
        <v>va_026</v>
      </c>
      <c r="B358" s="1" t="s">
        <v>243</v>
      </c>
      <c r="C358" s="1" t="s">
        <v>14</v>
      </c>
      <c r="D358" s="1" t="str">
        <f>IF(C358="", "", IFERROR(VLOOKUP(C358, 作品一覧!A:B, 2, FALSE), "該当なし"))</f>
        <v>あんさんぶるスターズ！！</v>
      </c>
      <c r="E358" s="1" t="s">
        <v>1176</v>
      </c>
    </row>
    <row r="359" spans="1:5" ht="13.2">
      <c r="A359" s="1" t="str">
        <f t="array" ref="A359">IF(B359="", "", IFERROR(INDEX(声優一覧!A:A, MATCH(B359, 声優一覧!B:B, 0)), "該当なし"))</f>
        <v>va_023</v>
      </c>
      <c r="B359" s="1" t="s">
        <v>217</v>
      </c>
      <c r="C359" s="1" t="s">
        <v>14</v>
      </c>
      <c r="D359" s="1" t="str">
        <f>IF(C359="", "", IFERROR(VLOOKUP(C359, 作品一覧!A:B, 2, FALSE), "該当なし"))</f>
        <v>あんさんぶるスターズ！！</v>
      </c>
      <c r="E359" s="1" t="s">
        <v>1177</v>
      </c>
    </row>
    <row r="360" spans="1:5" ht="13.2">
      <c r="A360" s="1" t="str">
        <f t="array" ref="A360">IF(B360="", "", IFERROR(INDEX(声優一覧!A:A, MATCH(B360, 声優一覧!B:B, 0)), "該当なし"))</f>
        <v>va_121</v>
      </c>
      <c r="B360" s="1" t="s">
        <v>471</v>
      </c>
      <c r="C360" s="1" t="s">
        <v>14</v>
      </c>
      <c r="D360" s="1" t="str">
        <f>IF(C360="", "", IFERROR(VLOOKUP(C360, 作品一覧!A:B, 2, FALSE), "該当なし"))</f>
        <v>あんさんぶるスターズ！！</v>
      </c>
      <c r="E360" s="1" t="s">
        <v>1178</v>
      </c>
    </row>
    <row r="361" spans="1:5" ht="13.2">
      <c r="A361" s="1" t="str">
        <f t="array" ref="A361">IF(B361="", "", IFERROR(INDEX(声優一覧!A:A, MATCH(B361, 声優一覧!B:B, 0)), "該当なし"))</f>
        <v>va_149</v>
      </c>
      <c r="B361" s="1" t="s">
        <v>529</v>
      </c>
      <c r="C361" s="1" t="s">
        <v>14</v>
      </c>
      <c r="D361" s="1" t="str">
        <f>IF(C361="", "", IFERROR(VLOOKUP(C361, 作品一覧!A:B, 2, FALSE), "該当なし"))</f>
        <v>あんさんぶるスターズ！！</v>
      </c>
      <c r="E361" s="1" t="s">
        <v>1179</v>
      </c>
    </row>
    <row r="362" spans="1:5" ht="13.2">
      <c r="A362" s="1" t="str">
        <f t="array" ref="A362">IF(B362="", "", IFERROR(INDEX(声優一覧!A:A, MATCH(B362, 声優一覧!B:B, 0)), "該当なし"))</f>
        <v>va_130</v>
      </c>
      <c r="B362" s="1" t="s">
        <v>492</v>
      </c>
      <c r="C362" s="1" t="s">
        <v>14</v>
      </c>
      <c r="D362" s="1" t="str">
        <f>IF(C362="", "", IFERROR(VLOOKUP(C362, 作品一覧!A:B, 2, FALSE), "該当なし"))</f>
        <v>あんさんぶるスターズ！！</v>
      </c>
      <c r="E362" s="1" t="s">
        <v>1180</v>
      </c>
    </row>
    <row r="363" spans="1:5" ht="13.2">
      <c r="A363" s="1" t="str">
        <f t="array" ref="A363">IF(B363="", "", IFERROR(INDEX(声優一覧!A:A, MATCH(B363, 声優一覧!B:B, 0)), "該当なし"))</f>
        <v>va_087</v>
      </c>
      <c r="B363" s="1" t="s">
        <v>398</v>
      </c>
      <c r="C363" s="1" t="s">
        <v>14</v>
      </c>
      <c r="D363" s="1" t="str">
        <f>IF(C363="", "", IFERROR(VLOOKUP(C363, 作品一覧!A:B, 2, FALSE), "該当なし"))</f>
        <v>あんさんぶるスターズ！！</v>
      </c>
      <c r="E363" s="1" t="s">
        <v>1181</v>
      </c>
    </row>
    <row r="364" spans="1:5" ht="13.2">
      <c r="A364" s="1" t="str">
        <f t="array" ref="A364">IF(B364="", "", IFERROR(INDEX(声優一覧!A:A, MATCH(B364, 声優一覧!B:B, 0)), "該当なし"))</f>
        <v>va_070</v>
      </c>
      <c r="B364" s="1" t="s">
        <v>362</v>
      </c>
      <c r="C364" s="1" t="s">
        <v>14</v>
      </c>
      <c r="D364" s="1" t="str">
        <f>IF(C364="", "", IFERROR(VLOOKUP(C364, 作品一覧!A:B, 2, FALSE), "該当なし"))</f>
        <v>あんさんぶるスターズ！！</v>
      </c>
      <c r="E364" s="1" t="s">
        <v>1182</v>
      </c>
    </row>
    <row r="365" spans="1:5" ht="13.2">
      <c r="A365" s="1" t="str">
        <f t="array" ref="A365">IF(B365="", "", IFERROR(INDEX(声優一覧!A:A, MATCH(B365, 声優一覧!B:B, 0)), "該当なし"))</f>
        <v>va_127</v>
      </c>
      <c r="B365" s="1" t="s">
        <v>485</v>
      </c>
      <c r="C365" s="1" t="s">
        <v>14</v>
      </c>
      <c r="D365" s="1" t="str">
        <f>IF(C365="", "", IFERROR(VLOOKUP(C365, 作品一覧!A:B, 2, FALSE), "該当なし"))</f>
        <v>あんさんぶるスターズ！！</v>
      </c>
      <c r="E365" s="1" t="s">
        <v>1183</v>
      </c>
    </row>
    <row r="366" spans="1:5" ht="13.2">
      <c r="A366" s="1" t="str">
        <f t="array" ref="A366">IF(B366="", "", IFERROR(INDEX(声優一覧!A:A, MATCH(B366, 声優一覧!B:B, 0)), "該当なし"))</f>
        <v>va_045</v>
      </c>
      <c r="B366" s="1" t="s">
        <v>315</v>
      </c>
      <c r="C366" s="1" t="s">
        <v>12</v>
      </c>
      <c r="D366" s="1" t="str">
        <f>IF(C366="", "", IFERROR(VLOOKUP(C366, 作品一覧!A:B, 2, FALSE), "該当なし"))</f>
        <v>アイドリッシュセブン</v>
      </c>
      <c r="E366" s="1" t="s">
        <v>1184</v>
      </c>
    </row>
    <row r="367" spans="1:5" ht="13.2">
      <c r="A367" s="1" t="str">
        <f t="array" ref="A367">IF(B367="", "", IFERROR(INDEX(声優一覧!A:A, MATCH(B367, 声優一覧!B:B, 0)), "該当なし"))</f>
        <v>va_172</v>
      </c>
      <c r="B367" s="1" t="s">
        <v>579</v>
      </c>
      <c r="C367" s="1" t="s">
        <v>12</v>
      </c>
      <c r="D367" s="1" t="str">
        <f>IF(C367="", "", IFERROR(VLOOKUP(C367, 作品一覧!A:B, 2, FALSE), "該当なし"))</f>
        <v>アイドリッシュセブン</v>
      </c>
      <c r="E367" s="1" t="s">
        <v>1185</v>
      </c>
    </row>
    <row r="368" spans="1:5" ht="13.2">
      <c r="A368" s="1" t="str">
        <f t="array" ref="A368">IF(B368="", "", IFERROR(INDEX(声優一覧!A:A, MATCH(B368, 声優一覧!B:B, 0)), "該当なし"))</f>
        <v>va_096</v>
      </c>
      <c r="B368" s="1" t="s">
        <v>418</v>
      </c>
      <c r="C368" s="1" t="s">
        <v>12</v>
      </c>
      <c r="D368" s="1" t="str">
        <f>IF(C368="", "", IFERROR(VLOOKUP(C368, 作品一覧!A:B, 2, FALSE), "該当なし"))</f>
        <v>アイドリッシュセブン</v>
      </c>
      <c r="E368" s="1" t="s">
        <v>1186</v>
      </c>
    </row>
    <row r="369" spans="1:5" ht="13.2">
      <c r="A369" s="1" t="str">
        <f t="array" ref="A369">IF(B369="", "", IFERROR(INDEX(声優一覧!A:A, MATCH(B369, 声優一覧!B:B, 0)), "該当なし"))</f>
        <v>va_198</v>
      </c>
      <c r="B369" s="1" t="s">
        <v>629</v>
      </c>
      <c r="C369" s="1" t="s">
        <v>12</v>
      </c>
      <c r="D369" s="1" t="str">
        <f>IF(C369="", "", IFERROR(VLOOKUP(C369, 作品一覧!A:B, 2, FALSE), "該当なし"))</f>
        <v>アイドリッシュセブン</v>
      </c>
      <c r="E369" s="1" t="s">
        <v>1187</v>
      </c>
    </row>
    <row r="370" spans="1:5" ht="13.2">
      <c r="A370" s="1" t="str">
        <f t="array" ref="A370">IF(B370="", "", IFERROR(INDEX(声優一覧!A:A, MATCH(B370, 声優一覧!B:B, 0)), "該当なし"))</f>
        <v>va_200</v>
      </c>
      <c r="B370" s="1" t="s">
        <v>633</v>
      </c>
      <c r="C370" s="1" t="s">
        <v>12</v>
      </c>
      <c r="D370" s="1" t="str">
        <f>IF(C370="", "", IFERROR(VLOOKUP(C370, 作品一覧!A:B, 2, FALSE), "該当なし"))</f>
        <v>アイドリッシュセブン</v>
      </c>
      <c r="E370" s="1" t="s">
        <v>1188</v>
      </c>
    </row>
    <row r="371" spans="1:5" ht="13.2">
      <c r="A371" s="1" t="str">
        <f t="array" ref="A371">IF(B371="", "", IFERROR(INDEX(声優一覧!A:A, MATCH(B371, 声優一覧!B:B, 0)), "該当なし"))</f>
        <v>va_006</v>
      </c>
      <c r="B371" s="1" t="s">
        <v>117</v>
      </c>
      <c r="C371" s="1" t="s">
        <v>12</v>
      </c>
      <c r="D371" s="1" t="str">
        <f>IF(C371="", "", IFERROR(VLOOKUP(C371, 作品一覧!A:B, 2, FALSE), "該当なし"))</f>
        <v>アイドリッシュセブン</v>
      </c>
      <c r="E371" s="1" t="s">
        <v>1189</v>
      </c>
    </row>
    <row r="372" spans="1:5" ht="13.2">
      <c r="A372" s="1" t="str">
        <f t="array" ref="A372">IF(B372="", "", IFERROR(INDEX(声優一覧!A:A, MATCH(B372, 声優一覧!B:B, 0)), "該当なし"))</f>
        <v>va_035</v>
      </c>
      <c r="B372" s="1" t="s">
        <v>295</v>
      </c>
      <c r="C372" s="1" t="s">
        <v>12</v>
      </c>
      <c r="D372" s="1" t="str">
        <f>IF(C372="", "", IFERROR(VLOOKUP(C372, 作品一覧!A:B, 2, FALSE), "該当なし"))</f>
        <v>アイドリッシュセブン</v>
      </c>
      <c r="E372" s="1" t="s">
        <v>1190</v>
      </c>
    </row>
    <row r="373" spans="1:5" ht="13.2">
      <c r="A373" s="1" t="str">
        <f t="array" ref="A373">IF(B373="", "", IFERROR(INDEX(声優一覧!A:A, MATCH(B373, 声優一覧!B:B, 0)), "該当なし"))</f>
        <v>va_148</v>
      </c>
      <c r="B373" s="1" t="s">
        <v>527</v>
      </c>
      <c r="C373" s="1" t="s">
        <v>12</v>
      </c>
      <c r="D373" s="1" t="str">
        <f>IF(C373="", "", IFERROR(VLOOKUP(C373, 作品一覧!A:B, 2, FALSE), "該当なし"))</f>
        <v>アイドリッシュセブン</v>
      </c>
      <c r="E373" s="1" t="s">
        <v>1191</v>
      </c>
    </row>
    <row r="374" spans="1:5" ht="13.2">
      <c r="A374" s="1" t="str">
        <f t="array" ref="A374">IF(B374="", "", IFERROR(INDEX(声優一覧!A:A, MATCH(B374, 声優一覧!B:B, 0)), "該当なし"))</f>
        <v>va_083</v>
      </c>
      <c r="B374" s="1" t="s">
        <v>388</v>
      </c>
      <c r="C374" s="1" t="s">
        <v>12</v>
      </c>
      <c r="D374" s="1" t="str">
        <f>IF(C374="", "", IFERROR(VLOOKUP(C374, 作品一覧!A:B, 2, FALSE), "該当なし"))</f>
        <v>アイドリッシュセブン</v>
      </c>
      <c r="E374" s="1" t="s">
        <v>1192</v>
      </c>
    </row>
    <row r="375" spans="1:5" ht="13.2">
      <c r="A375" s="1" t="str">
        <f t="array" ref="A375">IF(B375="", "", IFERROR(INDEX(声優一覧!A:A, MATCH(B375, 声優一覧!B:B, 0)), "該当なし"))</f>
        <v>va_090</v>
      </c>
      <c r="B375" s="1" t="s">
        <v>404</v>
      </c>
      <c r="C375" s="1" t="s">
        <v>12</v>
      </c>
      <c r="D375" s="1" t="str">
        <f>IF(C375="", "", IFERROR(VLOOKUP(C375, 作品一覧!A:B, 2, FALSE), "該当なし"))</f>
        <v>アイドリッシュセブン</v>
      </c>
      <c r="E375" s="1" t="s">
        <v>1193</v>
      </c>
    </row>
    <row r="376" spans="1:5" ht="13.2">
      <c r="A376" s="1" t="str">
        <f t="array" ref="A376">IF(B376="", "", IFERROR(INDEX(声優一覧!A:A, MATCH(B376, 声優一覧!B:B, 0)), "該当なし"))</f>
        <v>va_168</v>
      </c>
      <c r="B376" s="1" t="s">
        <v>571</v>
      </c>
      <c r="C376" s="1" t="s">
        <v>12</v>
      </c>
      <c r="D376" s="1" t="str">
        <f>IF(C376="", "", IFERROR(VLOOKUP(C376, 作品一覧!A:B, 2, FALSE), "該当なし"))</f>
        <v>アイドリッシュセブン</v>
      </c>
      <c r="E376" s="1" t="s">
        <v>1194</v>
      </c>
    </row>
    <row r="377" spans="1:5" ht="13.2">
      <c r="A377" s="1" t="str">
        <f t="array" ref="A377">IF(B377="", "", IFERROR(INDEX(声優一覧!A:A, MATCH(B377, 声優一覧!B:B, 0)), "該当なし"))</f>
        <v>va_114</v>
      </c>
      <c r="B377" s="1" t="s">
        <v>455</v>
      </c>
      <c r="C377" s="1" t="s">
        <v>12</v>
      </c>
      <c r="D377" s="1" t="str">
        <f>IF(C377="", "", IFERROR(VLOOKUP(C377, 作品一覧!A:B, 2, FALSE), "該当なし"))</f>
        <v>アイドリッシュセブン</v>
      </c>
      <c r="E377" s="1" t="s">
        <v>1195</v>
      </c>
    </row>
    <row r="378" spans="1:5" ht="13.2">
      <c r="A378" s="1" t="str">
        <f t="array" ref="A378">IF(B378="", "", IFERROR(INDEX(声優一覧!A:A, MATCH(B378, 声優一覧!B:B, 0)), "該当なし"))</f>
        <v>va_155</v>
      </c>
      <c r="B378" s="1" t="s">
        <v>543</v>
      </c>
      <c r="C378" s="1" t="s">
        <v>12</v>
      </c>
      <c r="D378" s="1" t="str">
        <f>IF(C378="", "", IFERROR(VLOOKUP(C378, 作品一覧!A:B, 2, FALSE), "該当なし"))</f>
        <v>アイドリッシュセブン</v>
      </c>
      <c r="E378" s="1" t="s">
        <v>1196</v>
      </c>
    </row>
    <row r="379" spans="1:5" ht="13.2">
      <c r="A379" s="1" t="str">
        <f t="array" ref="A379">IF(B379="", "", IFERROR(INDEX(声優一覧!A:A, MATCH(B379, 声優一覧!B:B, 0)), "該当なし"))</f>
        <v>va_064</v>
      </c>
      <c r="B379" s="1" t="s">
        <v>350</v>
      </c>
      <c r="C379" s="1" t="s">
        <v>12</v>
      </c>
      <c r="D379" s="1" t="str">
        <f>IF(C379="", "", IFERROR(VLOOKUP(C379, 作品一覧!A:B, 2, FALSE), "該当なし"))</f>
        <v>アイドリッシュセブン</v>
      </c>
      <c r="E379" s="1" t="s">
        <v>1197</v>
      </c>
    </row>
    <row r="380" spans="1:5" ht="13.2">
      <c r="A380" s="1" t="str">
        <f t="array" ref="A380">IF(B380="", "", IFERROR(INDEX(声優一覧!A:A, MATCH(B380, 声優一覧!B:B, 0)), "該当なし"))</f>
        <v>va_141</v>
      </c>
      <c r="B380" s="1" t="s">
        <v>511</v>
      </c>
      <c r="C380" s="1" t="s">
        <v>12</v>
      </c>
      <c r="D380" s="1" t="str">
        <f>IF(C380="", "", IFERROR(VLOOKUP(C380, 作品一覧!A:B, 2, FALSE), "該当なし"))</f>
        <v>アイドリッシュセブン</v>
      </c>
      <c r="E380" s="1" t="s">
        <v>1198</v>
      </c>
    </row>
    <row r="381" spans="1:5" ht="13.2">
      <c r="A381" s="1" t="str">
        <f t="array" ref="A381">IF(B381="", "", IFERROR(INDEX(声優一覧!A:A, MATCH(B381, 声優一覧!B:B, 0)), "該当なし"))</f>
        <v>va_081</v>
      </c>
      <c r="B381" s="1" t="s">
        <v>384</v>
      </c>
      <c r="C381" s="1" t="s">
        <v>12</v>
      </c>
      <c r="D381" s="1" t="str">
        <f>IF(C381="", "", IFERROR(VLOOKUP(C381, 作品一覧!A:B, 2, FALSE), "該当なし"))</f>
        <v>アイドリッシュセブン</v>
      </c>
      <c r="E381" s="1" t="s">
        <v>1199</v>
      </c>
    </row>
    <row r="382" spans="1:5" ht="13.2">
      <c r="A382" s="1" t="str">
        <f t="array" ref="A382">IF(B382="", "", IFERROR(INDEX(声優一覧!A:A, MATCH(B382, 声優一覧!B:B, 0)), "該当なし"))</f>
        <v>va_064</v>
      </c>
      <c r="B382" s="1" t="s">
        <v>350</v>
      </c>
      <c r="C382" s="1" t="s">
        <v>219</v>
      </c>
      <c r="D382" s="1" t="str">
        <f>IF(C382="", "", IFERROR(VLOOKUP(C382, 作品一覧!A:B, 2, FALSE), "該当なし"))</f>
        <v>ヒプノシスマイク</v>
      </c>
      <c r="E382" s="1" t="s">
        <v>1200</v>
      </c>
    </row>
    <row r="383" spans="1:5" ht="13.2">
      <c r="A383" s="1" t="str">
        <f t="array" ref="A383">IF(B383="", "", IFERROR(INDEX(声優一覧!A:A, MATCH(B383, 声優一覧!B:B, 0)), "該当なし"))</f>
        <v>va_014</v>
      </c>
      <c r="B383" s="1" t="s">
        <v>150</v>
      </c>
      <c r="C383" s="1" t="s">
        <v>219</v>
      </c>
      <c r="D383" s="1" t="str">
        <f>IF(C383="", "", IFERROR(VLOOKUP(C383, 作品一覧!A:B, 2, FALSE), "該当なし"))</f>
        <v>ヒプノシスマイク</v>
      </c>
      <c r="E383" s="1" t="s">
        <v>1201</v>
      </c>
    </row>
    <row r="384" spans="1:5" ht="13.2">
      <c r="A384" s="1" t="str">
        <f t="array" ref="A384">IF(B384="", "", IFERROR(INDEX(声優一覧!A:A, MATCH(B384, 声優一覧!B:B, 0)), "該当なし"))</f>
        <v>va_007</v>
      </c>
      <c r="B384" s="1" t="s">
        <v>126</v>
      </c>
      <c r="C384" s="1" t="s">
        <v>219</v>
      </c>
      <c r="D384" s="1" t="str">
        <f>IF(C384="", "", IFERROR(VLOOKUP(C384, 作品一覧!A:B, 2, FALSE), "該当なし"))</f>
        <v>ヒプノシスマイク</v>
      </c>
      <c r="E384" s="1" t="s">
        <v>1202</v>
      </c>
    </row>
    <row r="385" spans="1:5" ht="13.2">
      <c r="A385" s="1" t="str">
        <f t="array" ref="A385">IF(B385="", "", IFERROR(INDEX(声優一覧!A:A, MATCH(B385, 声優一覧!B:B, 0)), "該当なし"))</f>
        <v>va_004</v>
      </c>
      <c r="B385" s="1" t="s">
        <v>97</v>
      </c>
      <c r="C385" s="1" t="s">
        <v>219</v>
      </c>
      <c r="D385" s="1" t="str">
        <f>IF(C385="", "", IFERROR(VLOOKUP(C385, 作品一覧!A:B, 2, FALSE), "該当なし"))</f>
        <v>ヒプノシスマイク</v>
      </c>
      <c r="E385" s="1" t="s">
        <v>1203</v>
      </c>
    </row>
    <row r="386" spans="1:5" ht="13.2">
      <c r="A386" s="1" t="str">
        <f t="array" ref="A386">IF(B386="", "", IFERROR(INDEX(声優一覧!A:A, MATCH(B386, 声優一覧!B:B, 0)), "該当なし"))</f>
        <v>va_077</v>
      </c>
      <c r="B386" s="1" t="s">
        <v>377</v>
      </c>
      <c r="C386" s="1" t="s">
        <v>219</v>
      </c>
      <c r="D386" s="1" t="str">
        <f>IF(C386="", "", IFERROR(VLOOKUP(C386, 作品一覧!A:B, 2, FALSE), "該当なし"))</f>
        <v>ヒプノシスマイク</v>
      </c>
      <c r="E386" s="1" t="s">
        <v>1204</v>
      </c>
    </row>
    <row r="387" spans="1:5" ht="13.2">
      <c r="A387" s="1" t="str">
        <f t="array" ref="A387">IF(B387="", "", IFERROR(INDEX(声優一覧!A:A, MATCH(B387, 声優一覧!B:B, 0)), "該当なし"))</f>
        <v>va_060</v>
      </c>
      <c r="B387" s="1" t="s">
        <v>344</v>
      </c>
      <c r="C387" s="1" t="s">
        <v>219</v>
      </c>
      <c r="D387" s="1" t="str">
        <f>IF(C387="", "", IFERROR(VLOOKUP(C387, 作品一覧!A:B, 2, FALSE), "該当なし"))</f>
        <v>ヒプノシスマイク</v>
      </c>
      <c r="E387" s="1" t="s">
        <v>1205</v>
      </c>
    </row>
    <row r="388" spans="1:5" ht="13.2">
      <c r="A388" s="1" t="str">
        <f t="array" ref="A388">IF(B388="", "", IFERROR(INDEX(声優一覧!A:A, MATCH(B388, 声優一覧!B:B, 0)), "該当なし"))</f>
        <v>va_205</v>
      </c>
      <c r="B388" s="1" t="s">
        <v>644</v>
      </c>
      <c r="C388" s="1" t="s">
        <v>219</v>
      </c>
      <c r="D388" s="1" t="str">
        <f>IF(C388="", "", IFERROR(VLOOKUP(C388, 作品一覧!A:B, 2, FALSE), "該当なし"))</f>
        <v>ヒプノシスマイク</v>
      </c>
      <c r="E388" s="1" t="s">
        <v>1206</v>
      </c>
    </row>
    <row r="389" spans="1:5" ht="13.2">
      <c r="A389" s="1" t="str">
        <f t="array" ref="A389">IF(B389="", "", IFERROR(INDEX(声優一覧!A:A, MATCH(B389, 声優一覧!B:B, 0)), "該当なし"))</f>
        <v>va_063</v>
      </c>
      <c r="B389" s="1" t="s">
        <v>348</v>
      </c>
      <c r="C389" s="1" t="s">
        <v>219</v>
      </c>
      <c r="D389" s="1" t="str">
        <f>IF(C389="", "", IFERROR(VLOOKUP(C389, 作品一覧!A:B, 2, FALSE), "該当なし"))</f>
        <v>ヒプノシスマイク</v>
      </c>
      <c r="E389" s="1" t="s">
        <v>1207</v>
      </c>
    </row>
    <row r="390" spans="1:5" ht="13.2">
      <c r="A390" s="1" t="str">
        <f t="array" ref="A390">IF(B390="", "", IFERROR(INDEX(声優一覧!A:A, MATCH(B390, 声優一覧!B:B, 0)), "該当なし"))</f>
        <v>va_019</v>
      </c>
      <c r="B390" s="1" t="s">
        <v>187</v>
      </c>
      <c r="C390" s="1" t="s">
        <v>219</v>
      </c>
      <c r="D390" s="1" t="str">
        <f>IF(C390="", "", IFERROR(VLOOKUP(C390, 作品一覧!A:B, 2, FALSE), "該当なし"))</f>
        <v>ヒプノシスマイク</v>
      </c>
      <c r="E390" s="1" t="s">
        <v>1208</v>
      </c>
    </row>
    <row r="391" spans="1:5" ht="13.2">
      <c r="A391" s="1" t="str">
        <f t="array" ref="A391">IF(B391="", "", IFERROR(INDEX(声優一覧!A:A, MATCH(B391, 声優一覧!B:B, 0)), "該当なし"))</f>
        <v>va_096</v>
      </c>
      <c r="B391" s="1" t="s">
        <v>418</v>
      </c>
      <c r="C391" s="1" t="s">
        <v>219</v>
      </c>
      <c r="D391" s="1" t="str">
        <f>IF(C391="", "", IFERROR(VLOOKUP(C391, 作品一覧!A:B, 2, FALSE), "該当なし"))</f>
        <v>ヒプノシスマイク</v>
      </c>
      <c r="E391" s="1" t="s">
        <v>1209</v>
      </c>
    </row>
    <row r="392" spans="1:5" ht="13.2">
      <c r="A392" s="1" t="str">
        <f t="array" ref="A392">IF(B392="", "", IFERROR(INDEX(声優一覧!A:A, MATCH(B392, 声優一覧!B:B, 0)), "該当なし"))</f>
        <v>va_083</v>
      </c>
      <c r="B392" s="1" t="s">
        <v>388</v>
      </c>
      <c r="C392" s="1" t="s">
        <v>219</v>
      </c>
      <c r="D392" s="1" t="str">
        <f>IF(C392="", "", IFERROR(VLOOKUP(C392, 作品一覧!A:B, 2, FALSE), "該当なし"))</f>
        <v>ヒプノシスマイク</v>
      </c>
      <c r="E392" s="1" t="s">
        <v>1210</v>
      </c>
    </row>
    <row r="393" spans="1:5" ht="13.2">
      <c r="A393" s="1" t="str">
        <f t="array" ref="A393">IF(B393="", "", IFERROR(INDEX(声優一覧!A:A, MATCH(B393, 声優一覧!B:B, 0)), "該当なし"))</f>
        <v>va_145</v>
      </c>
      <c r="B393" s="1" t="s">
        <v>520</v>
      </c>
      <c r="C393" s="1" t="s">
        <v>219</v>
      </c>
      <c r="D393" s="1" t="str">
        <f>IF(C393="", "", IFERROR(VLOOKUP(C393, 作品一覧!A:B, 2, FALSE), "該当なし"))</f>
        <v>ヒプノシスマイク</v>
      </c>
      <c r="E393" s="1" t="s">
        <v>1211</v>
      </c>
    </row>
    <row r="394" spans="1:5" ht="13.2">
      <c r="A394" s="1" t="str">
        <f t="array" ref="A394">IF(B394="", "", IFERROR(INDEX(声優一覧!A:A, MATCH(B394, 声優一覧!B:B, 0)), "該当なし"))</f>
        <v>va_026</v>
      </c>
      <c r="B394" s="1" t="s">
        <v>243</v>
      </c>
      <c r="C394" s="1" t="s">
        <v>219</v>
      </c>
      <c r="D394" s="1" t="str">
        <f>IF(C394="", "", IFERROR(VLOOKUP(C394, 作品一覧!A:B, 2, FALSE), "該当なし"))</f>
        <v>ヒプノシスマイク</v>
      </c>
      <c r="E394" s="1" t="s">
        <v>1212</v>
      </c>
    </row>
    <row r="395" spans="1:5" ht="13.2">
      <c r="A395" s="1" t="str">
        <f t="array" ref="A395">IF(B395="", "", IFERROR(INDEX(声優一覧!A:A, MATCH(B395, 声優一覧!B:B, 0)), "該当なし"))</f>
        <v>va_058</v>
      </c>
      <c r="B395" s="1" t="s">
        <v>340</v>
      </c>
      <c r="C395" s="1" t="s">
        <v>219</v>
      </c>
      <c r="D395" s="1" t="str">
        <f>IF(C395="", "", IFERROR(VLOOKUP(C395, 作品一覧!A:B, 2, FALSE), "該当なし"))</f>
        <v>ヒプノシスマイク</v>
      </c>
      <c r="E395" s="1" t="s">
        <v>1213</v>
      </c>
    </row>
    <row r="396" spans="1:5" ht="13.2">
      <c r="A396" s="1" t="str">
        <f t="array" ref="A396">IF(B396="", "", IFERROR(INDEX(声優一覧!A:A, MATCH(B396, 声優一覧!B:B, 0)), "該当なし"))</f>
        <v>va_206</v>
      </c>
      <c r="B396" s="1" t="s">
        <v>646</v>
      </c>
      <c r="C396" s="1" t="s">
        <v>219</v>
      </c>
      <c r="D396" s="1" t="str">
        <f>IF(C396="", "", IFERROR(VLOOKUP(C396, 作品一覧!A:B, 2, FALSE), "該当なし"))</f>
        <v>ヒプノシスマイク</v>
      </c>
      <c r="E396" s="1" t="s">
        <v>1214</v>
      </c>
    </row>
    <row r="397" spans="1:5" ht="13.2">
      <c r="A397" s="1" t="str">
        <f t="array" ref="A397">IF(B397="", "", IFERROR(INDEX(声優一覧!A:A, MATCH(B397, 声優一覧!B:B, 0)), "該当なし"))</f>
        <v>va_207</v>
      </c>
      <c r="B397" s="1" t="s">
        <v>648</v>
      </c>
      <c r="C397" s="1" t="s">
        <v>219</v>
      </c>
      <c r="D397" s="1" t="str">
        <f>IF(C397="", "", IFERROR(VLOOKUP(C397, 作品一覧!A:B, 2, FALSE), "該当なし"))</f>
        <v>ヒプノシスマイク</v>
      </c>
      <c r="E397" s="1" t="s">
        <v>1215</v>
      </c>
    </row>
    <row r="398" spans="1:5" ht="13.2">
      <c r="A398" s="1" t="str">
        <f t="array" ref="A398">IF(B398="", "", IFERROR(INDEX(声優一覧!A:A, MATCH(B398, 声優一覧!B:B, 0)), "該当なし"))</f>
        <v>va_087</v>
      </c>
      <c r="B398" s="1" t="s">
        <v>398</v>
      </c>
      <c r="C398" s="1" t="s">
        <v>219</v>
      </c>
      <c r="D398" s="1" t="str">
        <f>IF(C398="", "", IFERROR(VLOOKUP(C398, 作品一覧!A:B, 2, FALSE), "該当なし"))</f>
        <v>ヒプノシスマイク</v>
      </c>
      <c r="E398" s="1" t="s">
        <v>1216</v>
      </c>
    </row>
    <row r="399" spans="1:5" ht="13.2">
      <c r="A399" s="1" t="str">
        <f t="array" ref="A399">IF(B399="", "", IFERROR(INDEX(声優一覧!A:A, MATCH(B399, 声優一覧!B:B, 0)), "該当なし"))</f>
        <v>va_208</v>
      </c>
      <c r="B399" s="1" t="s">
        <v>650</v>
      </c>
      <c r="C399" s="1" t="s">
        <v>219</v>
      </c>
      <c r="D399" s="1" t="str">
        <f>IF(C399="", "", IFERROR(VLOOKUP(C399, 作品一覧!A:B, 2, FALSE), "該当なし"))</f>
        <v>ヒプノシスマイク</v>
      </c>
      <c r="E399" s="1" t="s">
        <v>1217</v>
      </c>
    </row>
    <row r="400" spans="1:5" ht="13.2">
      <c r="A400" s="1" t="str">
        <f t="array" ref="A400">IF(B400="", "", IFERROR(INDEX(声優一覧!A:A, MATCH(B400, 声優一覧!B:B, 0)), "該当なし"))</f>
        <v>va_066</v>
      </c>
      <c r="B400" s="4" t="s">
        <v>354</v>
      </c>
      <c r="C400" s="1" t="s">
        <v>16</v>
      </c>
      <c r="D400" s="1" t="str">
        <f>IF(C400="", "", IFERROR(VLOOKUP(C400, 作品一覧!A:B, 2, FALSE), "該当なし"))</f>
        <v>アオペラ -aoppella!?-</v>
      </c>
      <c r="E400" s="1" t="s">
        <v>1218</v>
      </c>
    </row>
    <row r="401" spans="1:5" ht="13.2">
      <c r="A401" s="1" t="str">
        <f t="array" ref="A401">IF(B401="", "", IFERROR(INDEX(声優一覧!A:A, MATCH(B401, 声優一覧!B:B, 0)), "該当なし"))</f>
        <v>va_037</v>
      </c>
      <c r="B401" s="4" t="s">
        <v>299</v>
      </c>
      <c r="C401" s="1" t="s">
        <v>16</v>
      </c>
      <c r="D401" s="1" t="str">
        <f>IF(C401="", "", IFERROR(VLOOKUP(C401, 作品一覧!A:B, 2, FALSE), "該当なし"))</f>
        <v>アオペラ -aoppella!?-</v>
      </c>
      <c r="E401" s="1" t="s">
        <v>1219</v>
      </c>
    </row>
    <row r="402" spans="1:5" ht="13.2">
      <c r="A402" s="1" t="str">
        <f t="array" ref="A402">IF(B402="", "", IFERROR(INDEX(声優一覧!A:A, MATCH(B402, 声優一覧!B:B, 0)), "該当なし"))</f>
        <v>va_200</v>
      </c>
      <c r="B402" s="4" t="s">
        <v>633</v>
      </c>
      <c r="C402" s="1" t="s">
        <v>16</v>
      </c>
      <c r="D402" s="1" t="str">
        <f>IF(C402="", "", IFERROR(VLOOKUP(C402, 作品一覧!A:B, 2, FALSE), "該当なし"))</f>
        <v>アオペラ -aoppella!?-</v>
      </c>
      <c r="E402" s="1" t="s">
        <v>1220</v>
      </c>
    </row>
    <row r="403" spans="1:5" ht="13.2">
      <c r="A403" s="1" t="str">
        <f t="array" ref="A403">IF(B403="", "", IFERROR(INDEX(声優一覧!A:A, MATCH(B403, 声優一覧!B:B, 0)), "該当なし"))</f>
        <v>va_048</v>
      </c>
      <c r="B403" s="4" t="s">
        <v>321</v>
      </c>
      <c r="C403" s="1" t="s">
        <v>16</v>
      </c>
      <c r="D403" s="1" t="str">
        <f>IF(C403="", "", IFERROR(VLOOKUP(C403, 作品一覧!A:B, 2, FALSE), "該当なし"))</f>
        <v>アオペラ -aoppella!?-</v>
      </c>
      <c r="E403" s="1" t="s">
        <v>1221</v>
      </c>
    </row>
    <row r="404" spans="1:5" ht="13.2">
      <c r="A404" s="1" t="str">
        <f t="array" ref="A404">IF(B404="", "", IFERROR(INDEX(声優一覧!A:A, MATCH(B404, 声優一覧!B:B, 0)), "該当なし"))</f>
        <v>va_169</v>
      </c>
      <c r="B404" s="4" t="s">
        <v>574</v>
      </c>
      <c r="C404" s="1" t="s">
        <v>16</v>
      </c>
      <c r="D404" s="1" t="str">
        <f>IF(C404="", "", IFERROR(VLOOKUP(C404, 作品一覧!A:B, 2, FALSE), "該当なし"))</f>
        <v>アオペラ -aoppella!?-</v>
      </c>
      <c r="E404" s="1" t="s">
        <v>1222</v>
      </c>
    </row>
    <row r="405" spans="1:5" ht="13.2">
      <c r="A405" s="1" t="str">
        <f t="array" ref="A405">IF(B405="", "", IFERROR(INDEX(声優一覧!A:A, MATCH(B405, 声優一覧!B:B, 0)), "該当なし"))</f>
        <v>va_046</v>
      </c>
      <c r="B405" s="4" t="s">
        <v>317</v>
      </c>
      <c r="C405" s="1" t="s">
        <v>16</v>
      </c>
      <c r="D405" s="1" t="str">
        <f>IF(C405="", "", IFERROR(VLOOKUP(C405, 作品一覧!A:B, 2, FALSE), "該当なし"))</f>
        <v>アオペラ -aoppella!?-</v>
      </c>
      <c r="E405" s="1" t="s">
        <v>1223</v>
      </c>
    </row>
    <row r="406" spans="1:5" ht="13.2">
      <c r="A406" s="1" t="str">
        <f t="array" ref="A406">IF(B406="", "", IFERROR(INDEX(声優一覧!A:A, MATCH(B406, 声優一覧!B:B, 0)), "該当なし"))</f>
        <v>va_131</v>
      </c>
      <c r="B406" s="4" t="s">
        <v>494</v>
      </c>
      <c r="C406" s="1" t="s">
        <v>16</v>
      </c>
      <c r="D406" s="1" t="str">
        <f>IF(C406="", "", IFERROR(VLOOKUP(C406, 作品一覧!A:B, 2, FALSE), "該当なし"))</f>
        <v>アオペラ -aoppella!?-</v>
      </c>
      <c r="E406" s="1" t="s">
        <v>1224</v>
      </c>
    </row>
    <row r="407" spans="1:5" ht="13.2">
      <c r="A407" s="1" t="str">
        <f t="array" ref="A407">IF(B407="", "", IFERROR(INDEX(声優一覧!A:A, MATCH(B407, 声優一覧!B:B, 0)), "該当なし"))</f>
        <v>va_209</v>
      </c>
      <c r="B407" s="4" t="s">
        <v>652</v>
      </c>
      <c r="C407" s="1" t="s">
        <v>16</v>
      </c>
      <c r="D407" s="1" t="str">
        <f>IF(C407="", "", IFERROR(VLOOKUP(C407, 作品一覧!A:B, 2, FALSE), "該当なし"))</f>
        <v>アオペラ -aoppella!?-</v>
      </c>
      <c r="E407" s="1" t="s">
        <v>1225</v>
      </c>
    </row>
    <row r="408" spans="1:5" ht="13.2">
      <c r="A408" s="1" t="str">
        <f t="array" ref="A408">IF(B408="", "", IFERROR(INDEX(声優一覧!A:A, MATCH(B408, 声優一覧!B:B, 0)), "該当なし"))</f>
        <v>va_090</v>
      </c>
      <c r="B408" s="4" t="s">
        <v>404</v>
      </c>
      <c r="C408" s="1" t="s">
        <v>16</v>
      </c>
      <c r="D408" s="1" t="str">
        <f>IF(C408="", "", IFERROR(VLOOKUP(C408, 作品一覧!A:B, 2, FALSE), "該当なし"))</f>
        <v>アオペラ -aoppella!?-</v>
      </c>
      <c r="E408" s="1" t="s">
        <v>1226</v>
      </c>
    </row>
    <row r="409" spans="1:5" ht="13.2">
      <c r="A409" s="1" t="str">
        <f t="array" ref="A409">IF(B409="", "", IFERROR(INDEX(声優一覧!A:A, MATCH(B409, 声優一覧!B:B, 0)), "該当なし"))</f>
        <v>va_210</v>
      </c>
      <c r="B409" s="4" t="s">
        <v>654</v>
      </c>
      <c r="C409" s="1" t="s">
        <v>16</v>
      </c>
      <c r="D409" s="1" t="str">
        <f>IF(C409="", "", IFERROR(VLOOKUP(C409, 作品一覧!A:B, 2, FALSE), "該当なし"))</f>
        <v>アオペラ -aoppella!?-</v>
      </c>
      <c r="E409" s="1" t="s">
        <v>1227</v>
      </c>
    </row>
    <row r="410" spans="1:5" ht="13.2">
      <c r="A410" s="1" t="str">
        <f t="array" ref="A410">IF(B410="", "", IFERROR(INDEX(声優一覧!A:A, MATCH(B410, 声優一覧!B:B, 0)), "該当なし"))</f>
        <v>va_135</v>
      </c>
      <c r="B410" s="4" t="s">
        <v>502</v>
      </c>
      <c r="C410" s="1" t="s">
        <v>16</v>
      </c>
      <c r="D410" s="1" t="str">
        <f>IF(C410="", "", IFERROR(VLOOKUP(C410, 作品一覧!A:B, 2, FALSE), "該当なし"))</f>
        <v>アオペラ -aoppella!?-</v>
      </c>
      <c r="E410" s="1" t="s">
        <v>1228</v>
      </c>
    </row>
    <row r="411" spans="1:5" ht="13.2">
      <c r="A411" s="1" t="str">
        <f t="array" ref="A411">IF(B411="", "", IFERROR(INDEX(声優一覧!A:A, MATCH(B411, 声優一覧!B:B, 0)), "該当なし"))</f>
        <v>va_030</v>
      </c>
      <c r="B411" s="4" t="s">
        <v>277</v>
      </c>
      <c r="C411" s="1" t="s">
        <v>16</v>
      </c>
      <c r="D411" s="1" t="str">
        <f>IF(C411="", "", IFERROR(VLOOKUP(C411, 作品一覧!A:B, 2, FALSE), "該当なし"))</f>
        <v>アオペラ -aoppella!?-</v>
      </c>
      <c r="E411" s="1" t="s">
        <v>1229</v>
      </c>
    </row>
    <row r="412" spans="1:5" ht="13.2">
      <c r="A412" s="1" t="str">
        <f t="array" ref="A412">IF(B412="", "", IFERROR(INDEX(声優一覧!A:A, MATCH(B412, 声優一覧!B:B, 0)), "該当なし"))</f>
        <v>va_045</v>
      </c>
      <c r="B412" s="4" t="s">
        <v>315</v>
      </c>
      <c r="C412" s="1" t="s">
        <v>16</v>
      </c>
      <c r="D412" s="1" t="str">
        <f>IF(C412="", "", IFERROR(VLOOKUP(C412, 作品一覧!A:B, 2, FALSE), "該当なし"))</f>
        <v>アオペラ -aoppella!?-</v>
      </c>
      <c r="E412" s="1" t="s">
        <v>1230</v>
      </c>
    </row>
    <row r="413" spans="1:5" ht="13.2">
      <c r="A413" s="1" t="str">
        <f t="array" ref="A413">IF(B413="", "", IFERROR(INDEX(声優一覧!A:A, MATCH(B413, 声優一覧!B:B, 0)), "該当なし"))</f>
        <v>va_150</v>
      </c>
      <c r="B413" s="4" t="s">
        <v>532</v>
      </c>
      <c r="C413" s="1" t="s">
        <v>16</v>
      </c>
      <c r="D413" s="1" t="str">
        <f>IF(C413="", "", IFERROR(VLOOKUP(C413, 作品一覧!A:B, 2, FALSE), "該当なし"))</f>
        <v>アオペラ -aoppella!?-</v>
      </c>
      <c r="E413" s="1" t="s">
        <v>1231</v>
      </c>
    </row>
    <row r="414" spans="1:5" ht="13.2">
      <c r="A414" s="1" t="str">
        <f t="array" ref="A414">IF(B414="", "", IFERROR(INDEX(声優一覧!A:A, MATCH(B414, 声優一覧!B:B, 0)), "該当なし"))</f>
        <v>va_188</v>
      </c>
      <c r="B414" s="4" t="s">
        <v>609</v>
      </c>
      <c r="C414" s="1" t="s">
        <v>16</v>
      </c>
      <c r="D414" s="1" t="str">
        <f>IF(C414="", "", IFERROR(VLOOKUP(C414, 作品一覧!A:B, 2, FALSE), "該当なし"))</f>
        <v>アオペラ -aoppella!?-</v>
      </c>
      <c r="E414" s="1" t="s">
        <v>1232</v>
      </c>
    </row>
    <row r="415" spans="1:5" ht="13.2">
      <c r="A415" s="1" t="str">
        <f t="array" ref="A415">IF(B415="", "", IFERROR(INDEX(声優一覧!A:A, MATCH(B415, 声優一覧!B:B, 0)), "該当なし"))</f>
        <v>va_211</v>
      </c>
      <c r="B415" s="4" t="s">
        <v>656</v>
      </c>
      <c r="C415" s="1" t="s">
        <v>16</v>
      </c>
      <c r="D415" s="1" t="str">
        <f>IF(C415="", "", IFERROR(VLOOKUP(C415, 作品一覧!A:B, 2, FALSE), "該当なし"))</f>
        <v>アオペラ -aoppella!?-</v>
      </c>
      <c r="E415" s="4" t="s">
        <v>1233</v>
      </c>
    </row>
    <row r="416" spans="1:5" ht="13.2">
      <c r="A416" s="1" t="str">
        <f t="array" ref="A416">IF(B416="", "", IFERROR(INDEX(声優一覧!A:A, MATCH(B416, 声優一覧!B:B, 0)), "該当なし"))</f>
        <v>va_112</v>
      </c>
      <c r="B416" s="4" t="s">
        <v>451</v>
      </c>
      <c r="C416" s="1" t="s">
        <v>16</v>
      </c>
      <c r="D416" s="1" t="str">
        <f>IF(C416="", "", IFERROR(VLOOKUP(C416, 作品一覧!A:B, 2, FALSE), "該当なし"))</f>
        <v>アオペラ -aoppella!?-</v>
      </c>
      <c r="E416" s="4" t="s">
        <v>1234</v>
      </c>
    </row>
    <row r="417" spans="1:6" ht="13.8">
      <c r="A417" s="1" t="str">
        <f t="array" aca="1" ref="A417" ca="1">IF(B417="", "", IFERROR(INDEX(声優一覧!A:A, MATCH(B417, 声優一覧!B:B, 0)), "該当なし"))</f>
        <v>va_046</v>
      </c>
      <c r="B417" s="1" t="str">
        <f ca="1">IFERROR(__xludf.DUMMYFUNCTION("IFERROR(INDEX(SPLIT(F417, "" ： ""), 2), """")
"),"小野友樹")</f>
        <v>小野友樹</v>
      </c>
      <c r="C417" s="1" t="s">
        <v>76</v>
      </c>
      <c r="D417" s="1" t="str">
        <f>IF(C417="", "", IFERROR(VLOOKUP(C417, 作品一覧!A:B, 2, FALSE), "該当なし"))</f>
        <v>カリスマ</v>
      </c>
      <c r="E417" s="6" t="str">
        <f ca="1">IFERROR(__xludf.DUMMYFUNCTION("IFERROR(INDEX(SPLIT(F417, "" ： ""), 1), """")
"),"伊藤ふみや")</f>
        <v>伊藤ふみや</v>
      </c>
      <c r="F417" s="6" t="s">
        <v>1235</v>
      </c>
    </row>
    <row r="418" spans="1:6" ht="13.8">
      <c r="A418" s="1" t="str">
        <f t="array" aca="1" ref="A418" ca="1">IF(B418="", "", IFERROR(INDEX(声優一覧!A:A, MATCH(B418, 声優一覧!B:B, 0)), "該当なし"))</f>
        <v>va_194</v>
      </c>
      <c r="B418" s="1" t="str">
        <f ca="1">IFERROR(__xludf.DUMMYFUNCTION("IFERROR(INDEX(SPLIT(F418, "" ： ""), 2), """")
"),"山中真尋")</f>
        <v>山中真尋</v>
      </c>
      <c r="C418" s="1" t="s">
        <v>76</v>
      </c>
      <c r="D418" s="1" t="str">
        <f>IF(C418="", "", IFERROR(VLOOKUP(C418, 作品一覧!A:B, 2, FALSE), "該当なし"))</f>
        <v>カリスマ</v>
      </c>
      <c r="E418" s="6" t="str">
        <f ca="1">IFERROR(__xludf.DUMMYFUNCTION("IFERROR(INDEX(SPLIT(F418, "" ： ""), 1), """")
"),"草薙理解")</f>
        <v>草薙理解</v>
      </c>
      <c r="F418" s="6" t="s">
        <v>1236</v>
      </c>
    </row>
    <row r="419" spans="1:6" ht="13.8">
      <c r="A419" s="1" t="str">
        <f t="array" aca="1" ref="A419" ca="1">IF(B419="", "", IFERROR(INDEX(声優一覧!A:A, MATCH(B419, 声優一覧!B:B, 0)), "該当なし"))</f>
        <v>va_212</v>
      </c>
      <c r="B419" s="1" t="str">
        <f ca="1">IFERROR(__xludf.DUMMYFUNCTION("IFERROR(INDEX(SPLIT(F419, "" ： ""), 2), """")
"),"福原かつみ")</f>
        <v>福原かつみ</v>
      </c>
      <c r="C419" s="1" t="s">
        <v>76</v>
      </c>
      <c r="D419" s="1" t="str">
        <f>IF(C419="", "", IFERROR(VLOOKUP(C419, 作品一覧!A:B, 2, FALSE), "該当なし"))</f>
        <v>カリスマ</v>
      </c>
      <c r="E419" s="6" t="str">
        <f ca="1">IFERROR(__xludf.DUMMYFUNCTION("IFERROR(INDEX(SPLIT(F419, "" ： ""), 1), """")
"),"本橋依央利")</f>
        <v>本橋依央利</v>
      </c>
      <c r="F419" s="6" t="s">
        <v>1237</v>
      </c>
    </row>
    <row r="420" spans="1:6" ht="13.8">
      <c r="A420" s="1" t="str">
        <f t="array" aca="1" ref="A420" ca="1">IF(B420="", "", IFERROR(INDEX(声優一覧!A:A, MATCH(B420, 声優一覧!B:B, 0)), "該当なし"))</f>
        <v>va_213</v>
      </c>
      <c r="B420" s="1" t="str">
        <f ca="1">IFERROR(__xludf.DUMMYFUNCTION("IFERROR(INDEX(SPLIT(F420, "" ： ""), 2), """")
"),"細田健太")</f>
        <v>細田健太</v>
      </c>
      <c r="C420" s="1" t="s">
        <v>76</v>
      </c>
      <c r="D420" s="1" t="str">
        <f>IF(C420="", "", IFERROR(VLOOKUP(C420, 作品一覧!A:B, 2, FALSE), "該当なし"))</f>
        <v>カリスマ</v>
      </c>
      <c r="E420" s="6" t="str">
        <f ca="1">IFERROR(__xludf.DUMMYFUNCTION("IFERROR(INDEX(SPLIT(F420, "" ： ""), 1), """")
"),"猿川慧")</f>
        <v>猿川慧</v>
      </c>
      <c r="F420" s="6" t="s">
        <v>1238</v>
      </c>
    </row>
    <row r="421" spans="1:6" ht="13.8">
      <c r="A421" s="1" t="str">
        <f t="array" aca="1" ref="A421" ca="1">IF(B421="", "", IFERROR(INDEX(声優一覧!A:A, MATCH(B421, 声優一覧!B:B, 0)), "該当なし"))</f>
        <v>va_214</v>
      </c>
      <c r="B421" s="1" t="str">
        <f ca="1">IFERROR(__xludf.DUMMYFUNCTION("IFERROR(INDEX(SPLIT(F421, "" ： ""), 2), """")
"),"日向朔公")</f>
        <v>日向朔公</v>
      </c>
      <c r="C421" s="1" t="s">
        <v>76</v>
      </c>
      <c r="D421" s="1" t="str">
        <f>IF(C421="", "", IFERROR(VLOOKUP(C421, 作品一覧!A:B, 2, FALSE), "該当なし"))</f>
        <v>カリスマ</v>
      </c>
      <c r="E421" s="6" t="str">
        <f ca="1">IFERROR(__xludf.DUMMYFUNCTION("IFERROR(INDEX(SPLIT(F421, "" ： ""), 1), """")
"),"湊大瀬")</f>
        <v>湊大瀬</v>
      </c>
      <c r="F421" s="6" t="s">
        <v>1239</v>
      </c>
    </row>
    <row r="422" spans="1:6" ht="13.8">
      <c r="A422" s="1" t="str">
        <f t="array" aca="1" ref="A422" ca="1">IF(B422="", "", IFERROR(INDEX(声優一覧!A:A, MATCH(B422, 声優一覧!B:B, 0)), "該当なし"))</f>
        <v>va_215</v>
      </c>
      <c r="B422" s="1" t="str">
        <f ca="1">IFERROR(__xludf.DUMMYFUNCTION("IFERROR(INDEX(SPLIT(F422, "" ： ""), 2), """")
"),"大河元気")</f>
        <v>大河元気</v>
      </c>
      <c r="C422" s="1" t="s">
        <v>76</v>
      </c>
      <c r="D422" s="1" t="str">
        <f>IF(C422="", "", IFERROR(VLOOKUP(C422, 作品一覧!A:B, 2, FALSE), "該当なし"))</f>
        <v>カリスマ</v>
      </c>
      <c r="E422" s="6" t="str">
        <f ca="1">IFERROR(__xludf.DUMMYFUNCTION("IFERROR(INDEX(SPLIT(F422, "" ： ""), 1), """")
"),"テラ")</f>
        <v>テラ</v>
      </c>
      <c r="F422" s="6" t="s">
        <v>1240</v>
      </c>
    </row>
    <row r="423" spans="1:6" ht="13.8">
      <c r="A423" s="1" t="str">
        <f t="array" aca="1" ref="A423" ca="1">IF(B423="", "", IFERROR(INDEX(声優一覧!A:A, MATCH(B423, 声優一覧!B:B, 0)), "該当なし"))</f>
        <v>va_216</v>
      </c>
      <c r="B423" s="1" t="str">
        <f ca="1">IFERROR(__xludf.DUMMYFUNCTION("IFERROR(INDEX(SPLIT(F423, "" ： ""), 2), """")
"),"橋詰知久")</f>
        <v>橋詰知久</v>
      </c>
      <c r="C423" s="1" t="s">
        <v>76</v>
      </c>
      <c r="D423" s="1" t="str">
        <f>IF(C423="", "", IFERROR(VLOOKUP(C423, 作品一覧!A:B, 2, FALSE), "該当なし"))</f>
        <v>カリスマ</v>
      </c>
      <c r="E423" s="6" t="str">
        <f ca="1">IFERROR(__xludf.DUMMYFUNCTION("IFERROR(INDEX(SPLIT(F423, "" ： ""), 1), """")
"),"天堂天彦")</f>
        <v>天堂天彦</v>
      </c>
      <c r="F423" s="6" t="s">
        <v>1241</v>
      </c>
    </row>
    <row r="424" spans="1:6" ht="13.8">
      <c r="A424" s="1" t="str">
        <f t="array" aca="1" ref="A424" ca="1">IF(B424="", "", IFERROR(INDEX(声優一覧!A:A, MATCH(B424, 声優一覧!B:B, 0)), "該当なし"))</f>
        <v>va_053</v>
      </c>
      <c r="B424" s="1" t="str">
        <f ca="1">IFERROR(__xludf.DUMMYFUNCTION("MAP(F424:F1992, LAMBDA(text, IFERROR(INDEX(SPLIT(text, "" ： ""), 2), """")))
"),"梶原岳人")</f>
        <v>梶原岳人</v>
      </c>
      <c r="C424" s="1" t="s">
        <v>215</v>
      </c>
      <c r="D424" s="1" t="str">
        <f>IF(C424="", "", IFERROR(VLOOKUP(C424, 作品一覧!A:B, 2, FALSE), "該当なし"))</f>
        <v>Paradox Live</v>
      </c>
      <c r="E424" s="1" t="str">
        <f ca="1">IFERROR(__xludf.DUMMYFUNCTION("MAP(F424:F1992, LAMBDA(text, IFERROR(INDEX(SPLIT(text, "" ： ""), 1), """")))
"),"朱雀野アレン")</f>
        <v>朱雀野アレン</v>
      </c>
      <c r="F424" s="6" t="s">
        <v>1242</v>
      </c>
    </row>
    <row r="425" spans="1:6" ht="13.8">
      <c r="A425" s="1" t="str">
        <f t="array" aca="1" ref="A425" ca="1">IF(B425="", "", IFERROR(INDEX(声優一覧!A:A, MATCH(B425, 声優一覧!B:B, 0)), "該当なし"))</f>
        <v>va_183</v>
      </c>
      <c r="B425" s="1" t="str">
        <f ca="1">IFERROR(__xludf.DUMMYFUNCTION("""COMPUTED_VALUE"""),"村瀬歩")</f>
        <v>村瀬歩</v>
      </c>
      <c r="C425" s="1" t="s">
        <v>215</v>
      </c>
      <c r="D425" s="1" t="str">
        <f>IF(C425="", "", IFERROR(VLOOKUP(C425, 作品一覧!A:B, 2, FALSE), "該当なし"))</f>
        <v>Paradox Live</v>
      </c>
      <c r="E425" s="1" t="str">
        <f ca="1">IFERROR(__xludf.DUMMYFUNCTION("""COMPUTED_VALUE"""),"燕夏準")</f>
        <v>燕夏準</v>
      </c>
      <c r="F425" s="6" t="s">
        <v>1243</v>
      </c>
    </row>
    <row r="426" spans="1:6" ht="13.8">
      <c r="A426" s="1" t="str">
        <f t="array" aca="1" ref="A426" ca="1">IF(B426="", "", IFERROR(INDEX(声優一覧!A:A, MATCH(B426, 声優一覧!B:B, 0)), "該当なし"))</f>
        <v>va_217</v>
      </c>
      <c r="B426" s="1" t="str">
        <f ca="1">IFERROR(__xludf.DUMMYFUNCTION("""COMPUTED_VALUE"""),"竹内良太")</f>
        <v>竹内良太</v>
      </c>
      <c r="C426" s="1" t="s">
        <v>215</v>
      </c>
      <c r="D426" s="1" t="str">
        <f>IF(C426="", "", IFERROR(VLOOKUP(C426, 作品一覧!A:B, 2, FALSE), "該当なし"))</f>
        <v>Paradox Live</v>
      </c>
      <c r="E426" s="1" t="str">
        <f ca="1">IFERROR(__xludf.DUMMYFUNCTION("""COMPUTED_VALUE"""),"西門直明")</f>
        <v>西門直明</v>
      </c>
      <c r="F426" s="6" t="s">
        <v>1244</v>
      </c>
    </row>
    <row r="427" spans="1:6" ht="13.8">
      <c r="A427" s="1" t="str">
        <f t="array" aca="1" ref="A427" ca="1">IF(B427="", "", IFERROR(INDEX(声優一覧!A:A, MATCH(B427, 声優一覧!B:B, 0)), "該当なし"))</f>
        <v>va_218</v>
      </c>
      <c r="B427" s="1" t="str">
        <f ca="1">IFERROR(__xludf.DUMMYFUNCTION("""COMPUTED_VALUE"""),"林勇")</f>
        <v>林勇</v>
      </c>
      <c r="C427" s="1" t="s">
        <v>215</v>
      </c>
      <c r="D427" s="1" t="str">
        <f>IF(C427="", "", IFERROR(VLOOKUP(C427, 作品一覧!A:B, 2, FALSE), "該当なし"))</f>
        <v>Paradox Live</v>
      </c>
      <c r="E427" s="1" t="str">
        <f ca="1">IFERROR(__xludf.DUMMYFUNCTION("""COMPUTED_VALUE"""),"神林匋平")</f>
        <v>神林匋平</v>
      </c>
      <c r="F427" s="6" t="s">
        <v>1245</v>
      </c>
    </row>
    <row r="428" spans="1:6" ht="13.8">
      <c r="A428" s="1" t="str">
        <f t="array" aca="1" ref="A428" ca="1">IF(B428="", "", IFERROR(INDEX(声優一覧!A:A, MATCH(B428, 声優一覧!B:B, 0)), "該当なし"))</f>
        <v>va_150</v>
      </c>
      <c r="B428" s="1" t="str">
        <f ca="1">IFERROR(__xludf.DUMMYFUNCTION("""COMPUTED_VALUE"""),"花江夏樹")</f>
        <v>花江夏樹</v>
      </c>
      <c r="C428" s="1" t="s">
        <v>215</v>
      </c>
      <c r="D428" s="1" t="str">
        <f>IF(C428="", "", IFERROR(VLOOKUP(C428, 作品一覧!A:B, 2, FALSE), "該当なし"))</f>
        <v>Paradox Live</v>
      </c>
      <c r="E428" s="1" t="str">
        <f ca="1">IFERROR(__xludf.DUMMYFUNCTION("""COMPUTED_VALUE"""),"棗リュウ")</f>
        <v>棗リュウ</v>
      </c>
      <c r="F428" s="6" t="s">
        <v>1246</v>
      </c>
    </row>
    <row r="429" spans="1:6" ht="13.8">
      <c r="A429" s="1" t="str">
        <f t="array" aca="1" ref="A429" ca="1">IF(B429="", "", IFERROR(INDEX(声優一覧!A:A, MATCH(B429, 声優一覧!B:B, 0)), "該当なし"))</f>
        <v>va_124</v>
      </c>
      <c r="B429" s="1" t="str">
        <f ca="1">IFERROR(__xludf.DUMMYFUNCTION("""COMPUTED_VALUE"""),"寺島惇太")</f>
        <v>寺島惇太</v>
      </c>
      <c r="C429" s="1" t="s">
        <v>215</v>
      </c>
      <c r="D429" s="1" t="str">
        <f>IF(C429="", "", IFERROR(VLOOKUP(C429, 作品一覧!A:B, 2, FALSE), "該当なし"))</f>
        <v>Paradox Live</v>
      </c>
      <c r="E429" s="1" t="str">
        <f ca="1">IFERROR(__xludf.DUMMYFUNCTION("""COMPUTED_VALUE"""),"闇堂四季")</f>
        <v>闇堂四季</v>
      </c>
      <c r="F429" s="6" t="s">
        <v>1247</v>
      </c>
    </row>
    <row r="430" spans="1:6" ht="13.8">
      <c r="A430" s="1" t="str">
        <f t="array" aca="1" ref="A430" ca="1">IF(B430="", "", IFERROR(INDEX(声優一覧!A:A, MATCH(B430, 声優一覧!B:B, 0)), "該当なし"))</f>
        <v>va_075</v>
      </c>
      <c r="B430" s="1" t="str">
        <f ca="1">IFERROR(__xludf.DUMMYFUNCTION("""COMPUTED_VALUE"""),"小林裕介")</f>
        <v>小林裕介</v>
      </c>
      <c r="C430" s="1" t="s">
        <v>215</v>
      </c>
      <c r="D430" s="1" t="str">
        <f>IF(C430="", "", IFERROR(VLOOKUP(C430, 作品一覧!A:B, 2, FALSE), "該当なし"))</f>
        <v>Paradox Live</v>
      </c>
      <c r="E430" s="1" t="str">
        <f ca="1">IFERROR(__xludf.DUMMYFUNCTION("""COMPUTED_VALUE"""),"矢戸乃上珂波汰")</f>
        <v>矢戸乃上珂波汰</v>
      </c>
      <c r="F430" s="6" t="s">
        <v>1248</v>
      </c>
    </row>
    <row r="431" spans="1:6" ht="13.8">
      <c r="A431" s="1" t="str">
        <f t="array" aca="1" ref="A431" ca="1">IF(B431="", "", IFERROR(INDEX(声優一覧!A:A, MATCH(B431, 声優一覧!B:B, 0)), "該当なし"))</f>
        <v>va_131</v>
      </c>
      <c r="B431" s="1" t="str">
        <f ca="1">IFERROR(__xludf.DUMMYFUNCTION("""COMPUTED_VALUE"""),"豊永利行")</f>
        <v>豊永利行</v>
      </c>
      <c r="C431" s="1" t="s">
        <v>215</v>
      </c>
      <c r="D431" s="1" t="str">
        <f>IF(C431="", "", IFERROR(VLOOKUP(C431, 作品一覧!A:B, 2, FALSE), "該当なし"))</f>
        <v>Paradox Live</v>
      </c>
      <c r="E431" s="1" t="str">
        <f ca="1">IFERROR(__xludf.DUMMYFUNCTION("""COMPUTED_VALUE"""),"矢戸乃上那由汰")</f>
        <v>矢戸乃上那由汰</v>
      </c>
      <c r="F431" s="6" t="s">
        <v>1249</v>
      </c>
    </row>
    <row r="432" spans="1:6" ht="13.8">
      <c r="A432" s="1" t="str">
        <f t="array" aca="1" ref="A432" ca="1">IF(B432="", "", IFERROR(INDEX(声優一覧!A:A, MATCH(B432, 声優一覧!B:B, 0)), "該当なし"))</f>
        <v>va_219</v>
      </c>
      <c r="B432" s="1" t="str">
        <f ca="1">IFERROR(__xludf.DUMMYFUNCTION("""COMPUTED_VALUE"""),"近藤孝行")</f>
        <v>近藤孝行</v>
      </c>
      <c r="C432" s="1" t="s">
        <v>215</v>
      </c>
      <c r="D432" s="1" t="str">
        <f>IF(C432="", "", IFERROR(VLOOKUP(C432, 作品一覧!A:B, 2, FALSE), "該当なし"))</f>
        <v>Paradox Live</v>
      </c>
      <c r="E432" s="1" t="str">
        <f ca="1">IFERROR(__xludf.DUMMYFUNCTION("""COMPUTED_VALUE"""),"翠石依織")</f>
        <v>翠石依織</v>
      </c>
      <c r="F432" s="6" t="s">
        <v>1250</v>
      </c>
    </row>
    <row r="433" spans="1:6" ht="13.8">
      <c r="A433" s="1" t="str">
        <f t="array" aca="1" ref="A433" ca="1">IF(B433="", "", IFERROR(INDEX(声優一覧!A:A, MATCH(B433, 声優一覧!B:B, 0)), "該当なし"))</f>
        <v>va_220</v>
      </c>
      <c r="B433" s="1" t="str">
        <f ca="1">IFERROR(__xludf.DUMMYFUNCTION("""COMPUTED_VALUE"""),"志麻")</f>
        <v>志麻</v>
      </c>
      <c r="C433" s="1" t="s">
        <v>215</v>
      </c>
      <c r="D433" s="1" t="str">
        <f>IF(C433="", "", IFERROR(VLOOKUP(C433, 作品一覧!A:B, 2, FALSE), "該当なし"))</f>
        <v>Paradox Live</v>
      </c>
      <c r="E433" s="1" t="str">
        <f ca="1">IFERROR(__xludf.DUMMYFUNCTION("""COMPUTED_VALUE"""),"雅邦善")</f>
        <v>雅邦善</v>
      </c>
      <c r="F433" s="6" t="s">
        <v>1251</v>
      </c>
    </row>
    <row r="434" spans="1:6" ht="13.8">
      <c r="A434" s="1" t="str">
        <f t="array" aca="1" ref="A434" ca="1">IF(B434="", "", IFERROR(INDEX(声優一覧!A:A, MATCH(B434, 声優一覧!B:B, 0)), "該当なし"))</f>
        <v>va_129</v>
      </c>
      <c r="B434" s="1" t="str">
        <f ca="1">IFERROR(__xludf.DUMMYFUNCTION("""COMPUTED_VALUE"""),"土岐隼一")</f>
        <v>土岐隼一</v>
      </c>
      <c r="C434" s="1" t="s">
        <v>215</v>
      </c>
      <c r="D434" s="1" t="str">
        <f>IF(C434="", "", IFERROR(VLOOKUP(C434, 作品一覧!A:B, 2, FALSE), "該当なし"))</f>
        <v>Paradox Live</v>
      </c>
      <c r="E434" s="1" t="str">
        <f ca="1">IFERROR(__xludf.DUMMYFUNCTION("""COMPUTED_VALUE"""),"征木北斎")</f>
        <v>征木北斎</v>
      </c>
      <c r="F434" s="6" t="s">
        <v>1252</v>
      </c>
    </row>
    <row r="435" spans="1:6" ht="13.8">
      <c r="A435" s="1" t="str">
        <f t="array" aca="1" ref="A435" ca="1">IF(B435="", "", IFERROR(INDEX(声優一覧!A:A, MATCH(B435, 声優一覧!B:B, 0)), "該当なし"))</f>
        <v>va_147</v>
      </c>
      <c r="B435" s="1" t="str">
        <f ca="1">IFERROR(__xludf.DUMMYFUNCTION("""COMPUTED_VALUE"""),"畠中祐")</f>
        <v>畠中祐</v>
      </c>
      <c r="C435" s="1" t="s">
        <v>215</v>
      </c>
      <c r="D435" s="1" t="str">
        <f>IF(C435="", "", IFERROR(VLOOKUP(C435, 作品一覧!A:B, 2, FALSE), "該当なし"))</f>
        <v>Paradox Live</v>
      </c>
      <c r="E435" s="1" t="str">
        <f ca="1">IFERROR(__xludf.DUMMYFUNCTION("""COMPUTED_VALUE"""),"伊藤紗月")</f>
        <v>伊藤紗月</v>
      </c>
      <c r="F435" s="6" t="s">
        <v>1253</v>
      </c>
    </row>
    <row r="436" spans="1:6" ht="13.8">
      <c r="A436" s="1" t="str">
        <f t="array" aca="1" ref="A436" ca="1">IF(B436="", "", IFERROR(INDEX(声優一覧!A:A, MATCH(B436, 声優一覧!B:B, 0)), "該当なし"))</f>
        <v>va_221</v>
      </c>
      <c r="B436" s="1" t="str">
        <f ca="1">IFERROR(__xludf.DUMMYFUNCTION("""COMPUTED_VALUE"""),"矢野奨吾")</f>
        <v>矢野奨吾</v>
      </c>
      <c r="C436" s="1" t="s">
        <v>215</v>
      </c>
      <c r="D436" s="1" t="str">
        <f>IF(C436="", "", IFERROR(VLOOKUP(C436, 作品一覧!A:B, 2, FALSE), "該当なし"))</f>
        <v>Paradox Live</v>
      </c>
      <c r="E436" s="1" t="str">
        <f ca="1">IFERROR(__xludf.DUMMYFUNCTION("""COMPUTED_VALUE"""),"円山玲央")</f>
        <v>円山玲央</v>
      </c>
      <c r="F436" s="6" t="s">
        <v>1254</v>
      </c>
    </row>
    <row r="437" spans="1:6" ht="13.8">
      <c r="A437" s="1" t="str">
        <f t="array" aca="1" ref="A437" ca="1">IF(B437="", "", IFERROR(INDEX(声優一覧!A:A, MATCH(B437, 声優一覧!B:B, 0)), "該当なし"))</f>
        <v>va_045</v>
      </c>
      <c r="B437" s="1" t="str">
        <f ca="1">IFERROR(__xludf.DUMMYFUNCTION("""COMPUTED_VALUE"""),"小野賢章")</f>
        <v>小野賢章</v>
      </c>
      <c r="C437" s="1" t="s">
        <v>215</v>
      </c>
      <c r="D437" s="1" t="str">
        <f>IF(C437="", "", IFERROR(VLOOKUP(C437, 作品一覧!A:B, 2, FALSE), "該当なし"))</f>
        <v>Paradox Live</v>
      </c>
      <c r="E437" s="1" t="str">
        <f ca="1">IFERROR(__xludf.DUMMYFUNCTION("""COMPUTED_VALUE"""),"九頭竜智生")</f>
        <v>九頭竜智生</v>
      </c>
      <c r="F437" s="6" t="s">
        <v>1255</v>
      </c>
    </row>
    <row r="438" spans="1:6" ht="13.8">
      <c r="A438" s="1" t="str">
        <f t="array" aca="1" ref="A438" ca="1">IF(B438="", "", IFERROR(INDEX(声優一覧!A:A, MATCH(B438, 声優一覧!B:B, 0)), "該当なし"))</f>
        <v>va_102</v>
      </c>
      <c r="B438" s="1" t="str">
        <f ca="1">IFERROR(__xludf.DUMMYFUNCTION("""COMPUTED_VALUE"""),"諏訪部順一")</f>
        <v>諏訪部順一</v>
      </c>
      <c r="C438" s="1" t="s">
        <v>215</v>
      </c>
      <c r="D438" s="1" t="str">
        <f>IF(C438="", "", IFERROR(VLOOKUP(C438, 作品一覧!A:B, 2, FALSE), "該当なし"))</f>
        <v>Paradox Live</v>
      </c>
      <c r="E438" s="1" t="str">
        <f ca="1">IFERROR(__xludf.DUMMYFUNCTION("""COMPUTED_VALUE"""),"辰宮晴臣")</f>
        <v>辰宮晴臣</v>
      </c>
      <c r="F438" s="6" t="s">
        <v>1256</v>
      </c>
    </row>
    <row r="439" spans="1:6" ht="13.8">
      <c r="A439" s="1" t="str">
        <f t="array" aca="1" ref="A439" ca="1">IF(B439="", "", IFERROR(INDEX(声優一覧!A:A, MATCH(B439, 声優一覧!B:B, 0)), "該当なし"))</f>
        <v>va_134</v>
      </c>
      <c r="B439" s="1" t="str">
        <f ca="1">IFERROR(__xludf.DUMMYFUNCTION("""COMPUTED_VALUE"""),"中島ヨシキ")</f>
        <v>中島ヨシキ</v>
      </c>
      <c r="C439" s="1" t="s">
        <v>215</v>
      </c>
      <c r="D439" s="1" t="str">
        <f>IF(C439="", "", IFERROR(VLOOKUP(C439, 作品一覧!A:B, 2, FALSE), "該当なし"))</f>
        <v>Paradox Live</v>
      </c>
      <c r="E439" s="1" t="str">
        <f ca="1">IFERROR(__xludf.DUMMYFUNCTION("""COMPUTED_VALUE"""),"大和憧吾")</f>
        <v>大和憧吾</v>
      </c>
      <c r="F439" s="6" t="s">
        <v>1257</v>
      </c>
    </row>
    <row r="440" spans="1:6" ht="13.8">
      <c r="A440" s="1" t="str">
        <f t="array" aca="1" ref="A440" ca="1">IF(B440="", "", IFERROR(INDEX(声優一覧!A:A, MATCH(B440, 声優一覧!B:B, 0)), "該当なし"))</f>
        <v>va_222</v>
      </c>
      <c r="B440" s="1" t="str">
        <f ca="1">IFERROR(__xludf.DUMMYFUNCTION("""COMPUTED_VALUE"""),"伊東歌詞太郎")</f>
        <v>伊東歌詞太郎</v>
      </c>
      <c r="C440" s="1" t="s">
        <v>215</v>
      </c>
      <c r="D440" s="1" t="str">
        <f>IF(C440="", "", IFERROR(VLOOKUP(C440, 作品一覧!A:B, 2, FALSE), "該当なし"))</f>
        <v>Paradox Live</v>
      </c>
      <c r="E440" s="1" t="str">
        <f ca="1">IFERROR(__xludf.DUMMYFUNCTION("""COMPUTED_VALUE"""),"緋景斗真")</f>
        <v>緋景斗真</v>
      </c>
      <c r="F440" s="6" t="s">
        <v>1258</v>
      </c>
    </row>
    <row r="441" spans="1:6" ht="13.8">
      <c r="A441" s="1" t="str">
        <f t="array" aca="1" ref="A441" ca="1">IF(B441="", "", IFERROR(INDEX(声優一覧!A:A, MATCH(B441, 声優一覧!B:B, 0)), "該当なし"))</f>
        <v>va_223</v>
      </c>
      <c r="B441" s="1" t="str">
        <f ca="1">IFERROR(__xludf.DUMMYFUNCTION("""COMPUTED_VALUE"""),"住谷哲栄")</f>
        <v>住谷哲栄</v>
      </c>
      <c r="C441" s="1" t="s">
        <v>215</v>
      </c>
      <c r="D441" s="1" t="str">
        <f>IF(C441="", "", IFERROR(VLOOKUP(C441, 作品一覧!A:B, 2, FALSE), "該当なし"))</f>
        <v>Paradox Live</v>
      </c>
      <c r="E441" s="1" t="str">
        <f ca="1">IFERROR(__xludf.DUMMYFUNCTION("""COMPUTED_VALUE"""),"三洲寺甘太郎")</f>
        <v>三洲寺甘太郎</v>
      </c>
      <c r="F441" s="6" t="s">
        <v>1259</v>
      </c>
    </row>
    <row r="442" spans="1:6" ht="13.8">
      <c r="A442" s="1" t="str">
        <f t="array" aca="1" ref="A442" ca="1">IF(B442="", "", IFERROR(INDEX(声優一覧!A:A, MATCH(B442, 声優一覧!B:B, 0)), "該当なし"))</f>
        <v>va_043</v>
      </c>
      <c r="B442" s="1" t="str">
        <f ca="1">IFERROR(__xludf.DUMMYFUNCTION("""COMPUTED_VALUE"""),"置鮎龍太郎")</f>
        <v>置鮎龍太郎</v>
      </c>
      <c r="C442" s="1" t="s">
        <v>215</v>
      </c>
      <c r="D442" s="1" t="str">
        <f>IF(C442="", "", IFERROR(VLOOKUP(C442, 作品一覧!A:B, 2, FALSE), "該当なし"))</f>
        <v>Paradox Live</v>
      </c>
      <c r="E442" s="1" t="str">
        <f ca="1">IFERROR(__xludf.DUMMYFUNCTION("""COMPUTED_VALUE"""),"白忠成")</f>
        <v>白忠成</v>
      </c>
      <c r="F442" s="6" t="s">
        <v>1260</v>
      </c>
    </row>
    <row r="443" spans="1:6" ht="13.8">
      <c r="A443" s="1" t="str">
        <f t="array" aca="1" ref="A443" ca="1">IF(B443="", "", IFERROR(INDEX(声優一覧!A:A, MATCH(B443, 声優一覧!B:B, 0)), "該当なし"))</f>
        <v>va_008</v>
      </c>
      <c r="B443" s="1" t="str">
        <f ca="1">IFERROR(__xludf.DUMMYFUNCTION("""COMPUTED_VALUE"""),"天月")</f>
        <v>天月</v>
      </c>
      <c r="C443" s="1" t="s">
        <v>215</v>
      </c>
      <c r="D443" s="1" t="str">
        <f>IF(C443="", "", IFERROR(VLOOKUP(C443, 作品一覧!A:B, 2, FALSE), "該当なし"))</f>
        <v>Paradox Live</v>
      </c>
      <c r="E443" s="1" t="str">
        <f ca="1">IFERROR(__xludf.DUMMYFUNCTION("""COMPUTED_VALUE"""),"御山京")</f>
        <v>御山京</v>
      </c>
      <c r="F443" s="6" t="s">
        <v>1261</v>
      </c>
    </row>
    <row r="444" spans="1:6" ht="13.8">
      <c r="A444" s="1" t="str">
        <f t="array" aca="1" ref="A444" ca="1">IF(B444="", "", IFERROR(INDEX(声優一覧!A:A, MATCH(B444, 声優一覧!B:B, 0)), "該当なし"))</f>
        <v>va_062</v>
      </c>
      <c r="B444" s="1" t="str">
        <f ca="1">IFERROR(__xludf.DUMMYFUNCTION("""COMPUTED_VALUE"""),"北村諒")</f>
        <v>北村諒</v>
      </c>
      <c r="C444" s="1" t="s">
        <v>215</v>
      </c>
      <c r="D444" s="1" t="str">
        <f>IF(C444="", "", IFERROR(VLOOKUP(C444, 作品一覧!A:B, 2, FALSE), "該当なし"))</f>
        <v>Paradox Live</v>
      </c>
      <c r="E444" s="1" t="str">
        <f ca="1">IFERROR(__xludf.DUMMYFUNCTION("""COMPUTED_VALUE"""),"イツキ")</f>
        <v>イツキ</v>
      </c>
      <c r="F444" s="6" t="s">
        <v>1262</v>
      </c>
    </row>
    <row r="445" spans="1:6" ht="13.8">
      <c r="A445" s="1" t="str">
        <f t="array" aca="1" ref="A445" ca="1">IF(B445="", "", IFERROR(INDEX(声優一覧!A:A, MATCH(B445, 声優一覧!B:B, 0)), "該当なし"))</f>
        <v>va_119</v>
      </c>
      <c r="B445" s="1" t="str">
        <f ca="1">IFERROR(__xludf.DUMMYFUNCTION("""COMPUTED_VALUE"""),"千葉翔也")</f>
        <v>千葉翔也</v>
      </c>
      <c r="C445" s="1" t="s">
        <v>215</v>
      </c>
      <c r="D445" s="1" t="str">
        <f>IF(C445="", "", IFERROR(VLOOKUP(C445, 作品一覧!A:B, 2, FALSE), "該当なし"))</f>
        <v>Paradox Live</v>
      </c>
      <c r="E445" s="1" t="str">
        <f ca="1">IFERROR(__xludf.DUMMYFUNCTION("""COMPUTED_VALUE"""),"ロクタ")</f>
        <v>ロクタ</v>
      </c>
      <c r="F445" s="6" t="s">
        <v>1263</v>
      </c>
    </row>
    <row r="446" spans="1:6" ht="13.8">
      <c r="A446" s="1" t="str">
        <f t="array" aca="1" ref="A446" ca="1">IF(B446="", "", IFERROR(INDEX(声優一覧!A:A, MATCH(B446, 声優一覧!B:B, 0)), "該当なし"))</f>
        <v>va_161</v>
      </c>
      <c r="B446" s="1" t="str">
        <f ca="1">IFERROR(__xludf.DUMMYFUNCTION("""COMPUTED_VALUE"""),"古川慎")</f>
        <v>古川慎</v>
      </c>
      <c r="C446" s="1" t="s">
        <v>215</v>
      </c>
      <c r="D446" s="1" t="str">
        <f>IF(C446="", "", IFERROR(VLOOKUP(C446, 作品一覧!A:B, 2, FALSE), "該当なし"))</f>
        <v>Paradox Live</v>
      </c>
      <c r="E446" s="1" t="str">
        <f ca="1">IFERROR(__xludf.DUMMYFUNCTION("""COMPUTED_VALUE"""),"犬飼憂人")</f>
        <v>犬飼憂人</v>
      </c>
      <c r="F446" s="6" t="s">
        <v>1264</v>
      </c>
    </row>
    <row r="447" spans="1:6" ht="13.8">
      <c r="A447" s="1" t="str">
        <f t="array" aca="1" ref="A447" ca="1">IF(B447="", "", IFERROR(INDEX(声優一覧!A:A, MATCH(B447, 声優一覧!B:B, 0)), "該当なし"))</f>
        <v>va_224</v>
      </c>
      <c r="B447" s="1" t="str">
        <f ca="1">IFERROR(__xludf.DUMMYFUNCTION("""COMPUTED_VALUE"""),"バトリ勝悟")</f>
        <v>バトリ勝悟</v>
      </c>
      <c r="C447" s="1" t="s">
        <v>215</v>
      </c>
      <c r="D447" s="1" t="str">
        <f>IF(C447="", "", IFERROR(VLOOKUP(C447, 作品一覧!A:B, 2, FALSE), "該当なし"))</f>
        <v>Paradox Live</v>
      </c>
      <c r="E447" s="1" t="str">
        <f ca="1">IFERROR(__xludf.DUMMYFUNCTION("""COMPUTED_VALUE"""),"土佐凌牙")</f>
        <v>土佐凌牙</v>
      </c>
      <c r="F447" s="6" t="s">
        <v>1265</v>
      </c>
    </row>
    <row r="448" spans="1:6" ht="13.8">
      <c r="A448" s="1" t="str">
        <f t="array" aca="1" ref="A448" ca="1">IF(B448="", "", IFERROR(INDEX(声優一覧!A:A, MATCH(B448, 声優一覧!B:B, 0)), "該当なし"))</f>
        <v>va_114</v>
      </c>
      <c r="B448" s="1" t="str">
        <f ca="1">IFERROR(__xludf.DUMMYFUNCTION("""COMPUTED_VALUE"""),"立花慎之介")</f>
        <v>立花慎之介</v>
      </c>
      <c r="C448" s="1" t="s">
        <v>215</v>
      </c>
      <c r="D448" s="1" t="str">
        <f>IF(C448="", "", IFERROR(VLOOKUP(C448, 作品一覧!A:B, 2, FALSE), "該当なし"))</f>
        <v>Paradox Live</v>
      </c>
      <c r="E448" s="1" t="str">
        <f ca="1">IFERROR(__xludf.DUMMYFUNCTION("""COMPUTED_VALUE"""),"甲斐田紫音")</f>
        <v>甲斐田紫音</v>
      </c>
      <c r="F448" s="6" t="s">
        <v>1266</v>
      </c>
    </row>
    <row r="449" spans="1:6" ht="13.8">
      <c r="A449" s="1" t="str">
        <f t="array" aca="1" ref="A449" ca="1">IF(B449="", "", IFERROR(INDEX(声優一覧!A:A, MATCH(B449, 声優一覧!B:B, 0)), "該当なし"))</f>
        <v>va_072</v>
      </c>
      <c r="B449" s="1" t="str">
        <f ca="1">IFERROR(__xludf.DUMMYFUNCTION("""COMPUTED_VALUE"""),"小林千晃")</f>
        <v>小林千晃</v>
      </c>
      <c r="C449" s="1" t="s">
        <v>215</v>
      </c>
      <c r="D449" s="1" t="str">
        <f>IF(C449="", "", IFERROR(VLOOKUP(C449, 作品一覧!A:B, 2, FALSE), "該当なし"))</f>
        <v>Paradox Live</v>
      </c>
      <c r="E449" s="1" t="str">
        <f ca="1">IFERROR(__xludf.DUMMYFUNCTION("""COMPUTED_VALUE"""),"御子柴賢太")</f>
        <v>御子柴賢太</v>
      </c>
      <c r="F449" s="6" t="s">
        <v>1267</v>
      </c>
    </row>
    <row r="450" spans="1:6" ht="13.8">
      <c r="A450" s="1" t="str">
        <f t="array" aca="1" ref="A450" ca="1">IF(B450="", "", IFERROR(INDEX(声優一覧!A:A, MATCH(B450, 声優一覧!B:B, 0)), "該当なし"))</f>
        <v>va_225</v>
      </c>
      <c r="B450" s="1" t="str">
        <f ca="1">IFERROR(__xludf.DUMMYFUNCTION("""COMPUTED_VALUE"""),"石橋陽彩")</f>
        <v>石橋陽彩</v>
      </c>
      <c r="C450" s="1" t="s">
        <v>215</v>
      </c>
      <c r="D450" s="1" t="str">
        <f>IF(C450="", "", IFERROR(VLOOKUP(C450, 作品一覧!A:B, 2, FALSE), "該当なし"))</f>
        <v>Paradox Live</v>
      </c>
      <c r="E450" s="1" t="str">
        <f ca="1">IFERROR(__xludf.DUMMYFUNCTION("""COMPUTED_VALUE"""),"ノア")</f>
        <v>ノア</v>
      </c>
      <c r="F450" s="6" t="s">
        <v>1268</v>
      </c>
    </row>
    <row r="451" spans="1:6" ht="13.8">
      <c r="A451" s="1" t="str">
        <f t="array" aca="1" ref="A451" ca="1">IF(B451="", "", IFERROR(INDEX(声優一覧!A:A, MATCH(B451, 声優一覧!B:B, 0)), "該当なし"))</f>
        <v>va_128</v>
      </c>
      <c r="B451" s="1" t="str">
        <f ca="1">IFERROR(__xludf.DUMMYFUNCTION("""COMPUTED_VALUE"""),"堂島颯人")</f>
        <v>堂島颯人</v>
      </c>
      <c r="C451" s="1" t="s">
        <v>215</v>
      </c>
      <c r="D451" s="1" t="str">
        <f>IF(C451="", "", IFERROR(VLOOKUP(C451, 作品一覧!A:B, 2, FALSE), "該当なし"))</f>
        <v>Paradox Live</v>
      </c>
      <c r="E451" s="1" t="str">
        <f ca="1">IFERROR(__xludf.DUMMYFUNCTION("""COMPUTED_VALUE"""),"夜舟章杜")</f>
        <v>夜舟章杜</v>
      </c>
      <c r="F451" s="6" t="s">
        <v>1269</v>
      </c>
    </row>
    <row r="452" spans="1:6" ht="13.8">
      <c r="A452" s="1" t="str">
        <f t="array" aca="1" ref="A452" ca="1">IF(B452="", "", IFERROR(INDEX(声優一覧!A:A, MATCH(B452, 声優一覧!B:B, 0)), "該当なし"))</f>
        <v>va_131</v>
      </c>
      <c r="B452" s="1" t="str">
        <f ca="1">IFERROR(__xludf.DUMMYFUNCTION("""COMPUTED_VALUE"""),"豊永利行")</f>
        <v>豊永利行</v>
      </c>
      <c r="C452" s="1" t="s">
        <v>62</v>
      </c>
      <c r="D452" s="1" t="str">
        <f>IF(C452="", "", IFERROR(VLOOKUP(C452, 作品一覧!A:B, 2, FALSE), "該当なし"))</f>
        <v>エリオスライジングヒーローズ</v>
      </c>
      <c r="E452" s="1" t="str">
        <f ca="1">IFERROR(__xludf.DUMMYFUNCTION("""COMPUTED_VALUE"""),"鳳アキラ")</f>
        <v>鳳アキラ</v>
      </c>
      <c r="F452" s="6" t="s">
        <v>1270</v>
      </c>
    </row>
    <row r="453" spans="1:6" ht="13.8">
      <c r="A453" s="1" t="str">
        <f t="array" aca="1" ref="A453" ca="1">IF(B453="", "", IFERROR(INDEX(声優一覧!A:A, MATCH(B453, 声優一覧!B:B, 0)), "該当なし"))</f>
        <v>va_081</v>
      </c>
      <c r="B453" s="1" t="str">
        <f ca="1">IFERROR(__xludf.DUMMYFUNCTION("""COMPUTED_VALUE"""),"近藤隆")</f>
        <v>近藤隆</v>
      </c>
      <c r="C453" s="1" t="s">
        <v>62</v>
      </c>
      <c r="D453" s="1" t="str">
        <f>IF(C453="", "", IFERROR(VLOOKUP(C453, 作品一覧!A:B, 2, FALSE), "該当なし"))</f>
        <v>エリオスライジングヒーローズ</v>
      </c>
      <c r="E453" s="1" t="str">
        <f ca="1">IFERROR(__xludf.DUMMYFUNCTION("""COMPUTED_VALUE"""),"ウィル・スプラウト")</f>
        <v>ウィル・スプラウト</v>
      </c>
      <c r="F453" s="6" t="s">
        <v>1271</v>
      </c>
    </row>
    <row r="454" spans="1:6" ht="13.8">
      <c r="A454" s="1" t="str">
        <f t="array" aca="1" ref="A454" ca="1">IF(B454="", "", IFERROR(INDEX(声優一覧!A:A, MATCH(B454, 声優一覧!B:B, 0)), "該当なし"))</f>
        <v>va_148</v>
      </c>
      <c r="B454" s="1" t="str">
        <f ca="1">IFERROR(__xludf.DUMMYFUNCTION("""COMPUTED_VALUE"""),"羽多野渉")</f>
        <v>羽多野渉</v>
      </c>
      <c r="C454" s="1" t="s">
        <v>62</v>
      </c>
      <c r="D454" s="1" t="str">
        <f>IF(C454="", "", IFERROR(VLOOKUP(C454, 作品一覧!A:B, 2, FALSE), "該当なし"))</f>
        <v>エリオスライジングヒーローズ</v>
      </c>
      <c r="E454" s="1" t="str">
        <f ca="1">IFERROR(__xludf.DUMMYFUNCTION("""COMPUTED_VALUE"""),"ブラッド・ビームス")</f>
        <v>ブラッド・ビームス</v>
      </c>
      <c r="F454" s="6" t="s">
        <v>1272</v>
      </c>
    </row>
    <row r="455" spans="1:6" ht="13.8">
      <c r="A455" s="1" t="str">
        <f t="array" aca="1" ref="A455" ca="1">IF(B455="", "", IFERROR(INDEX(声優一覧!A:A, MATCH(B455, 声優一覧!B:B, 0)), "該当なし"))</f>
        <v>va_090</v>
      </c>
      <c r="B455" s="1" t="str">
        <f ca="1">IFERROR(__xludf.DUMMYFUNCTION("""COMPUTED_VALUE"""),"佐藤拓也")</f>
        <v>佐藤拓也</v>
      </c>
      <c r="C455" s="1" t="s">
        <v>62</v>
      </c>
      <c r="D455" s="1" t="str">
        <f>IF(C455="", "", IFERROR(VLOOKUP(C455, 作品一覧!A:B, 2, FALSE), "該当なし"))</f>
        <v>エリオスライジングヒーローズ</v>
      </c>
      <c r="E455" s="1" t="str">
        <f ca="1">IFERROR(__xludf.DUMMYFUNCTION("""COMPUTED_VALUE"""),"オスカー・ベイル")</f>
        <v>オスカー・ベイル</v>
      </c>
      <c r="F455" s="6" t="s">
        <v>1273</v>
      </c>
    </row>
    <row r="456" spans="1:6" ht="13.8">
      <c r="A456" s="1" t="str">
        <f t="array" aca="1" ref="A456" ca="1">IF(B456="", "", IFERROR(INDEX(声優一覧!A:A, MATCH(B456, 声優一覧!B:B, 0)), "該当なし"))</f>
        <v>va_014</v>
      </c>
      <c r="B456" s="1" t="str">
        <f ca="1">IFERROR(__xludf.DUMMYFUNCTION("""COMPUTED_VALUE"""),"石谷春貴")</f>
        <v>石谷春貴</v>
      </c>
      <c r="C456" s="1" t="s">
        <v>62</v>
      </c>
      <c r="D456" s="1" t="str">
        <f>IF(C456="", "", IFERROR(VLOOKUP(C456, 作品一覧!A:B, 2, FALSE), "該当なし"))</f>
        <v>エリオスライジングヒーローズ</v>
      </c>
      <c r="E456" s="1" t="str">
        <f ca="1">IFERROR(__xludf.DUMMYFUNCTION("""COMPUTED_VALUE"""),"如月レン")</f>
        <v>如月レン</v>
      </c>
      <c r="F456" s="6" t="s">
        <v>1274</v>
      </c>
    </row>
    <row r="457" spans="1:6" ht="13.8">
      <c r="A457" s="1" t="str">
        <f t="array" aca="1" ref="A457" ca="1">IF(B457="", "", IFERROR(INDEX(声優一覧!A:A, MATCH(B457, 声優一覧!B:B, 0)), "該当なし"))</f>
        <v>va_156</v>
      </c>
      <c r="B457" s="1" t="str">
        <f ca="1">IFERROR(__xludf.DUMMYFUNCTION("""COMPUTED_VALUE"""),"日野聡")</f>
        <v>日野聡</v>
      </c>
      <c r="C457" s="1" t="s">
        <v>62</v>
      </c>
      <c r="D457" s="1" t="str">
        <f>IF(C457="", "", IFERROR(VLOOKUP(C457, 作品一覧!A:B, 2, FALSE), "該当なし"))</f>
        <v>エリオスライジングヒーローズ</v>
      </c>
      <c r="E457" s="1" t="str">
        <f ca="1">IFERROR(__xludf.DUMMYFUNCTION("""COMPUTED_VALUE"""),"ガスト・アドラー")</f>
        <v>ガスト・アドラー</v>
      </c>
      <c r="F457" s="6" t="s">
        <v>1275</v>
      </c>
    </row>
    <row r="458" spans="1:6" ht="13.8">
      <c r="A458" s="1" t="str">
        <f t="array" aca="1" ref="A458" ca="1">IF(B458="", "", IFERROR(INDEX(声優一覧!A:A, MATCH(B458, 声優一覧!B:B, 0)), "該当なし"))</f>
        <v>va_102</v>
      </c>
      <c r="B458" s="1" t="str">
        <f ca="1">IFERROR(__xludf.DUMMYFUNCTION("""COMPUTED_VALUE"""),"諏訪部順一")</f>
        <v>諏訪部順一</v>
      </c>
      <c r="C458" s="1" t="s">
        <v>62</v>
      </c>
      <c r="D458" s="1" t="str">
        <f>IF(C458="", "", IFERROR(VLOOKUP(C458, 作品一覧!A:B, 2, FALSE), "該当なし"))</f>
        <v>エリオスライジングヒーローズ</v>
      </c>
      <c r="E458" s="1" t="str">
        <f ca="1">IFERROR(__xludf.DUMMYFUNCTION("""COMPUTED_VALUE"""),"ヴィクター・ヴァレンタイン")</f>
        <v>ヴィクター・ヴァレンタイン</v>
      </c>
      <c r="F458" s="6" t="s">
        <v>1276</v>
      </c>
    </row>
    <row r="459" spans="1:6" ht="13.8">
      <c r="A459" s="1" t="str">
        <f t="array" aca="1" ref="A459" ca="1">IF(B459="", "", IFERROR(INDEX(声優一覧!A:A, MATCH(B459, 声優一覧!B:B, 0)), "該当なし"))</f>
        <v>va_045</v>
      </c>
      <c r="B459" s="1" t="str">
        <f ca="1">IFERROR(__xludf.DUMMYFUNCTION("""COMPUTED_VALUE"""),"小野賢章")</f>
        <v>小野賢章</v>
      </c>
      <c r="C459" s="1" t="s">
        <v>62</v>
      </c>
      <c r="D459" s="1" t="str">
        <f>IF(C459="", "", IFERROR(VLOOKUP(C459, 作品一覧!A:B, 2, FALSE), "該当なし"))</f>
        <v>エリオスライジングヒーローズ</v>
      </c>
      <c r="E459" s="1" t="str">
        <f ca="1">IFERROR(__xludf.DUMMYFUNCTION("""COMPUTED_VALUE"""),"マリオン・ブライス")</f>
        <v>マリオン・ブライス</v>
      </c>
      <c r="F459" s="6" t="s">
        <v>1277</v>
      </c>
    </row>
    <row r="460" spans="1:6" ht="13.8">
      <c r="A460" s="1" t="str">
        <f t="array" aca="1" ref="A460" ca="1">IF(B460="", "", IFERROR(INDEX(声優一覧!A:A, MATCH(B460, 声優一覧!B:B, 0)), "該当なし"))</f>
        <v>va_183</v>
      </c>
      <c r="B460" s="1" t="str">
        <f ca="1">IFERROR(__xludf.DUMMYFUNCTION("""COMPUTED_VALUE"""),"村瀬歩")</f>
        <v>村瀬歩</v>
      </c>
      <c r="C460" s="1" t="s">
        <v>62</v>
      </c>
      <c r="D460" s="1" t="str">
        <f>IF(C460="", "", IFERROR(VLOOKUP(C460, 作品一覧!A:B, 2, FALSE), "該当なし"))</f>
        <v>エリオスライジングヒーローズ</v>
      </c>
      <c r="E460" s="1" t="str">
        <f ca="1">IFERROR(__xludf.DUMMYFUNCTION("""COMPUTED_VALUE"""),"レオナルド・ライト・Jr")</f>
        <v>レオナルド・ライト・Jr</v>
      </c>
      <c r="F460" s="6" t="s">
        <v>1278</v>
      </c>
    </row>
    <row r="461" spans="1:6" ht="13.8">
      <c r="A461" s="1" t="str">
        <f t="array" aca="1" ref="A461" ca="1">IF(B461="", "", IFERROR(INDEX(声優一覧!A:A, MATCH(B461, 声優一覧!B:B, 0)), "該当なし"))</f>
        <v>va_226</v>
      </c>
      <c r="B461" s="1" t="str">
        <f ca="1">IFERROR(__xludf.DUMMYFUNCTION("""COMPUTED_VALUE"""),"ランズベリー・アーサー")</f>
        <v>ランズベリー・アーサー</v>
      </c>
      <c r="C461" s="1" t="s">
        <v>62</v>
      </c>
      <c r="D461" s="1" t="str">
        <f>IF(C461="", "", IFERROR(VLOOKUP(C461, 作品一覧!A:B, 2, FALSE), "該当なし"))</f>
        <v>エリオスライジングヒーローズ</v>
      </c>
      <c r="E461" s="1" t="str">
        <f ca="1">IFERROR(__xludf.DUMMYFUNCTION("""COMPUTED_VALUE"""),"フェイス・ビームス")</f>
        <v>フェイス・ビームス</v>
      </c>
      <c r="F461" s="6" t="s">
        <v>1279</v>
      </c>
    </row>
    <row r="462" spans="1:6" ht="13.8">
      <c r="A462" s="1" t="str">
        <f t="array" aca="1" ref="A462" ca="1">IF(B462="", "", IFERROR(INDEX(声優一覧!A:A, MATCH(B462, 声優一覧!B:B, 0)), "該当なし"))</f>
        <v>va_120</v>
      </c>
      <c r="B462" s="1" t="str">
        <f ca="1">IFERROR(__xludf.DUMMYFUNCTION("""COMPUTED_VALUE"""),"津田健次郎")</f>
        <v>津田健次郎</v>
      </c>
      <c r="C462" s="1" t="s">
        <v>62</v>
      </c>
      <c r="D462" s="1" t="str">
        <f>IF(C462="", "", IFERROR(VLOOKUP(C462, 作品一覧!A:B, 2, FALSE), "該当なし"))</f>
        <v>エリオスライジングヒーローズ</v>
      </c>
      <c r="E462" s="1" t="str">
        <f ca="1">IFERROR(__xludf.DUMMYFUNCTION("""COMPUTED_VALUE"""),"キース・マックス")</f>
        <v>キース・マックス</v>
      </c>
      <c r="F462" s="6" t="s">
        <v>1280</v>
      </c>
    </row>
    <row r="463" spans="1:6" ht="13.8">
      <c r="A463" s="1" t="str">
        <f t="array" aca="1" ref="A463" ca="1">IF(B463="", "", IFERROR(INDEX(声優一覧!A:A, MATCH(B463, 声優一覧!B:B, 0)), "該当なし"))</f>
        <v>va_227</v>
      </c>
      <c r="B463" s="1" t="str">
        <f ca="1">IFERROR(__xludf.DUMMYFUNCTION("""COMPUTED_VALUE"""),"鈴村健一")</f>
        <v>鈴村健一</v>
      </c>
      <c r="C463" s="1" t="s">
        <v>62</v>
      </c>
      <c r="D463" s="1" t="str">
        <f>IF(C463="", "", IFERROR(VLOOKUP(C463, 作品一覧!A:B, 2, FALSE), "該当なし"))</f>
        <v>エリオスライジングヒーローズ</v>
      </c>
      <c r="E463" s="1" t="str">
        <f ca="1">IFERROR(__xludf.DUMMYFUNCTION("""COMPUTED_VALUE"""),"ディノ・アルバーニ")</f>
        <v>ディノ・アルバーニ</v>
      </c>
      <c r="F463" s="6" t="s">
        <v>1281</v>
      </c>
    </row>
    <row r="464" spans="1:6" ht="13.8">
      <c r="A464" s="1" t="str">
        <f t="array" aca="1" ref="A464" ca="1">IF(B464="", "", IFERROR(INDEX(声優一覧!A:A, MATCH(B464, 声優一覧!B:B, 0)), "該当なし"))</f>
        <v>va_042</v>
      </c>
      <c r="B464" s="1" t="str">
        <f ca="1">IFERROR(__xludf.DUMMYFUNCTION("""COMPUTED_VALUE"""),"岡本信彦")</f>
        <v>岡本信彦</v>
      </c>
      <c r="C464" s="1" t="s">
        <v>62</v>
      </c>
      <c r="D464" s="1" t="str">
        <f>IF(C464="", "", IFERROR(VLOOKUP(C464, 作品一覧!A:B, 2, FALSE), "該当なし"))</f>
        <v>エリオスライジングヒーローズ</v>
      </c>
      <c r="E464" s="1" t="str">
        <f ca="1">IFERROR(__xludf.DUMMYFUNCTION("""COMPUTED_VALUE"""),"グレイ・リヴァース")</f>
        <v>グレイ・リヴァース</v>
      </c>
      <c r="F464" s="6" t="s">
        <v>1282</v>
      </c>
    </row>
    <row r="465" spans="1:6" ht="13.8">
      <c r="A465" s="1" t="str">
        <f t="array" aca="1" ref="A465" ca="1">IF(B465="", "", IFERROR(INDEX(声優一覧!A:A, MATCH(B465, 声優一覧!B:B, 0)), "該当なし"))</f>
        <v>va_134</v>
      </c>
      <c r="B465" s="1" t="str">
        <f ca="1">IFERROR(__xludf.DUMMYFUNCTION("""COMPUTED_VALUE"""),"中島ヨシキ")</f>
        <v>中島ヨシキ</v>
      </c>
      <c r="C465" s="1" t="s">
        <v>62</v>
      </c>
      <c r="D465" s="1" t="str">
        <f>IF(C465="", "", IFERROR(VLOOKUP(C465, 作品一覧!A:B, 2, FALSE), "該当なし"))</f>
        <v>エリオスライジングヒーローズ</v>
      </c>
      <c r="E465" s="1" t="str">
        <f ca="1">IFERROR(__xludf.DUMMYFUNCTION("""COMPUTED_VALUE"""),"ビリー・ワイズ")</f>
        <v>ビリー・ワイズ</v>
      </c>
      <c r="F465" s="6" t="s">
        <v>1283</v>
      </c>
    </row>
    <row r="466" spans="1:6" ht="13.8">
      <c r="A466" s="1" t="str">
        <f t="array" aca="1" ref="A466" ca="1">IF(B466="", "", IFERROR(INDEX(声優一覧!A:A, MATCH(B466, 声優一覧!B:B, 0)), "該当なし"))</f>
        <v>va_064</v>
      </c>
      <c r="B466" s="1" t="str">
        <f ca="1">IFERROR(__xludf.DUMMYFUNCTION("""COMPUTED_VALUE"""),"木村昴")</f>
        <v>木村昴</v>
      </c>
      <c r="C466" s="1" t="s">
        <v>62</v>
      </c>
      <c r="D466" s="1" t="str">
        <f>IF(C466="", "", IFERROR(VLOOKUP(C466, 作品一覧!A:B, 2, FALSE), "該当なし"))</f>
        <v>エリオスライジングヒーローズ</v>
      </c>
      <c r="E466" s="1" t="str">
        <f ca="1">IFERROR(__xludf.DUMMYFUNCTION("""COMPUTED_VALUE"""),"アッシュ・オルブライト")</f>
        <v>アッシュ・オルブライト</v>
      </c>
      <c r="F466" s="6" t="s">
        <v>1284</v>
      </c>
    </row>
    <row r="467" spans="1:6" ht="13.8">
      <c r="A467" s="1" t="str">
        <f t="array" aca="1" ref="A467" ca="1">IF(B467="", "", IFERROR(INDEX(声優一覧!A:A, MATCH(B467, 声優一覧!B:B, 0)), "該当なし"))</f>
        <v>va_186</v>
      </c>
      <c r="B467" s="1" t="str">
        <f ca="1">IFERROR(__xludf.DUMMYFUNCTION("""COMPUTED_VALUE"""),"森川智之")</f>
        <v>森川智之</v>
      </c>
      <c r="C467" s="1" t="s">
        <v>62</v>
      </c>
      <c r="D467" s="1" t="str">
        <f>IF(C467="", "", IFERROR(VLOOKUP(C467, 作品一覧!A:B, 2, FALSE), "該当なし"))</f>
        <v>エリオスライジングヒーローズ</v>
      </c>
      <c r="E467" s="1" t="str">
        <f ca="1">IFERROR(__xludf.DUMMYFUNCTION("""COMPUTED_VALUE"""),"ジェイ・キッドマン")</f>
        <v>ジェイ・キッドマン</v>
      </c>
      <c r="F467" s="6" t="s">
        <v>1285</v>
      </c>
    </row>
    <row r="468" spans="1:6" ht="13.8">
      <c r="A468" s="1" t="str">
        <f t="array" aca="1" ref="A468" ca="1">IF(B468="", "", IFERROR(INDEX(声優一覧!A:A, MATCH(B468, 声優一覧!B:B, 0)), "該当なし"))</f>
        <v>va_075</v>
      </c>
      <c r="B468" s="1" t="str">
        <f ca="1">IFERROR(__xludf.DUMMYFUNCTION("""COMPUTED_VALUE"""),"小林裕介")</f>
        <v>小林裕介</v>
      </c>
      <c r="C468" s="1" t="s">
        <v>62</v>
      </c>
      <c r="D468" s="1" t="str">
        <f>IF(C468="", "", IFERROR(VLOOKUP(C468, 作品一覧!A:B, 2, FALSE), "該当なし"))</f>
        <v>エリオスライジングヒーローズ</v>
      </c>
      <c r="E468" s="1" t="str">
        <f ca="1">IFERROR(__xludf.DUMMYFUNCTION("""COMPUTED_VALUE"""),"セイジ・スカイフォール")</f>
        <v>セイジ・スカイフォール</v>
      </c>
      <c r="F468" s="6" t="s">
        <v>1286</v>
      </c>
    </row>
    <row r="469" spans="1:6" ht="13.8">
      <c r="A469" s="1" t="str">
        <f t="array" aca="1" ref="A469" ca="1">IF(B469="", "", IFERROR(INDEX(声優一覧!A:A, MATCH(B469, 声優一覧!B:B, 0)), "該当なし"))</f>
        <v>va_166</v>
      </c>
      <c r="B469" s="1" t="str">
        <f ca="1">IFERROR(__xludf.DUMMYFUNCTION("""COMPUTED_VALUE"""),"堀江瞬")</f>
        <v>堀江瞬</v>
      </c>
      <c r="C469" s="1" t="s">
        <v>62</v>
      </c>
      <c r="D469" s="1" t="str">
        <f>IF(C469="", "", IFERROR(VLOOKUP(C469, 作品一覧!A:B, 2, FALSE), "該当なし"))</f>
        <v>エリオスライジングヒーローズ</v>
      </c>
      <c r="E469" s="1" t="str">
        <f ca="1">IFERROR(__xludf.DUMMYFUNCTION("""COMPUTED_VALUE"""),"ニコ")</f>
        <v>ニコ</v>
      </c>
      <c r="F469" s="6" t="s">
        <v>1287</v>
      </c>
    </row>
    <row r="470" spans="1:6" ht="13.8">
      <c r="A470" s="1" t="str">
        <f t="array" aca="1" ref="A470" ca="1">IF(B470="", "", IFERROR(INDEX(声優一覧!A:A, MATCH(B470, 声優一覧!B:B, 0)), "該当なし"))</f>
        <v>va_101</v>
      </c>
      <c r="B470" s="1" t="str">
        <f ca="1">IFERROR(__xludf.DUMMYFUNCTION("""COMPUTED_VALUE"""),"鈴木崚汰")</f>
        <v>鈴木崚汰</v>
      </c>
      <c r="C470" s="1" t="s">
        <v>62</v>
      </c>
      <c r="D470" s="1" t="str">
        <f>IF(C470="", "", IFERROR(VLOOKUP(C470, 作品一覧!A:B, 2, FALSE), "該当なし"))</f>
        <v>エリオスライジングヒーローズ</v>
      </c>
      <c r="E470" s="1" t="str">
        <f ca="1">IFERROR(__xludf.DUMMYFUNCTION("""COMPUTED_VALUE"""),"ジュード・アレス")</f>
        <v>ジュード・アレス</v>
      </c>
      <c r="F470" s="6" t="s">
        <v>1288</v>
      </c>
    </row>
    <row r="471" spans="1:6" ht="13.8">
      <c r="A471" s="1" t="str">
        <f t="array" aca="1" ref="A471" ca="1">IF(B471="", "", IFERROR(INDEX(声優一覧!A:A, MATCH(B471, 声優一覧!B:B, 0)), "該当なし"))</f>
        <v>va_117</v>
      </c>
      <c r="B471" s="1" t="str">
        <f ca="1">IFERROR(__xludf.DUMMYFUNCTION("""COMPUTED_VALUE"""),"田丸篤志")</f>
        <v>田丸篤志</v>
      </c>
      <c r="C471" s="1" t="s">
        <v>62</v>
      </c>
      <c r="D471" s="1" t="str">
        <f>IF(C471="", "", IFERROR(VLOOKUP(C471, 作品一覧!A:B, 2, FALSE), "該当なし"))</f>
        <v>エリオスライジングヒーローズ</v>
      </c>
      <c r="E471" s="1" t="str">
        <f ca="1">IFERROR(__xludf.DUMMYFUNCTION("""COMPUTED_VALUE"""),"ビアンキ・ロウ")</f>
        <v>ビアンキ・ロウ</v>
      </c>
      <c r="F471" s="6" t="s">
        <v>1289</v>
      </c>
    </row>
    <row r="472" spans="1:6" ht="13.8">
      <c r="A472" s="1" t="str">
        <f t="array" aca="1" ref="A472" ca="1">IF(B472="", "", IFERROR(INDEX(声優一覧!A:A, MATCH(B472, 声優一覧!B:B, 0)), "該当なし"))</f>
        <v>va_051</v>
      </c>
      <c r="B472" s="1" t="str">
        <f ca="1">IFERROR(__xludf.DUMMYFUNCTION("""COMPUTED_VALUE"""),"梶裕貴")</f>
        <v>梶裕貴</v>
      </c>
      <c r="C472" s="1" t="s">
        <v>170</v>
      </c>
      <c r="D472" s="1" t="str">
        <f>IF(C472="", "", IFERROR(VLOOKUP(C472, 作品一覧!A:B, 2, FALSE), "該当なし"))</f>
        <v>ツキプロ</v>
      </c>
      <c r="E472" s="1" t="str">
        <f ca="1">IFERROR(__xludf.DUMMYFUNCTION("""COMPUTED_VALUE"""),"師走駆")</f>
        <v>師走駆</v>
      </c>
      <c r="F472" s="6" t="s">
        <v>1290</v>
      </c>
    </row>
    <row r="473" spans="1:6" ht="13.8">
      <c r="A473" s="1" t="str">
        <f t="array" aca="1" ref="A473" ca="1">IF(B473="", "", IFERROR(INDEX(声優一覧!A:A, MATCH(B473, 声優一覧!B:B, 0)), "該当なし"))</f>
        <v>va_132</v>
      </c>
      <c r="B473" s="1" t="str">
        <f ca="1">IFERROR(__xludf.DUMMYFUNCTION("""COMPUTED_VALUE"""),"鳥海浩輔")</f>
        <v>鳥海浩輔</v>
      </c>
      <c r="C473" s="1" t="s">
        <v>170</v>
      </c>
      <c r="D473" s="1" t="str">
        <f>IF(C473="", "", IFERROR(VLOOKUP(C473, 作品一覧!A:B, 2, FALSE), "該当なし"))</f>
        <v>ツキプロ</v>
      </c>
      <c r="E473" s="1" t="str">
        <f ca="1">IFERROR(__xludf.DUMMYFUNCTION("""COMPUTED_VALUE"""),"睦月始")</f>
        <v>睦月始</v>
      </c>
      <c r="F473" s="6" t="s">
        <v>1291</v>
      </c>
    </row>
    <row r="474" spans="1:6" ht="13.8">
      <c r="A474" s="1" t="str">
        <f t="array" aca="1" ref="A474" ca="1">IF(B474="", "", IFERROR(INDEX(声優一覧!A:A, MATCH(B474, 声優一覧!B:B, 0)), "該当なし"))</f>
        <v>va_172</v>
      </c>
      <c r="B474" s="1" t="str">
        <f ca="1">IFERROR(__xludf.DUMMYFUNCTION("""COMPUTED_VALUE"""),"増田俊樹")</f>
        <v>増田俊樹</v>
      </c>
      <c r="C474" s="1" t="s">
        <v>170</v>
      </c>
      <c r="D474" s="1" t="str">
        <f>IF(C474="", "", IFERROR(VLOOKUP(C474, 作品一覧!A:B, 2, FALSE), "該当なし"))</f>
        <v>ツキプロ</v>
      </c>
      <c r="E474" s="1" t="str">
        <f ca="1">IFERROR(__xludf.DUMMYFUNCTION("""COMPUTED_VALUE"""),"如月恋")</f>
        <v>如月恋</v>
      </c>
      <c r="F474" s="6" t="s">
        <v>1292</v>
      </c>
    </row>
    <row r="475" spans="1:6" ht="13.8">
      <c r="A475" s="1" t="str">
        <f t="array" aca="1" ref="A475" ca="1">IF(B475="", "", IFERROR(INDEX(声優一覧!A:A, MATCH(B475, 声優一覧!B:B, 0)), "該当なし"))</f>
        <v>va_169</v>
      </c>
      <c r="B475" s="1" t="str">
        <f ca="1">IFERROR(__xludf.DUMMYFUNCTION("""COMPUTED_VALUE"""),"前野智昭")</f>
        <v>前野智昭</v>
      </c>
      <c r="C475" s="1" t="s">
        <v>170</v>
      </c>
      <c r="D475" s="1" t="str">
        <f>IF(C475="", "", IFERROR(VLOOKUP(C475, 作品一覧!A:B, 2, FALSE), "該当なし"))</f>
        <v>ツキプロ</v>
      </c>
      <c r="E475" s="1" t="str">
        <f ca="1">IFERROR(__xludf.DUMMYFUNCTION("""COMPUTED_VALUE"""),"弥生春")</f>
        <v>弥生春</v>
      </c>
      <c r="F475" s="6" t="s">
        <v>1293</v>
      </c>
    </row>
    <row r="476" spans="1:6" ht="13.8">
      <c r="A476" s="1" t="str">
        <f t="array" aca="1" ref="A476" ca="1">IF(B476="", "", IFERROR(INDEX(声優一覧!A:A, MATCH(B476, 声優一覧!B:B, 0)), "該当なし"))</f>
        <v>va_164</v>
      </c>
      <c r="B476" s="1" t="str">
        <f ca="1">IFERROR(__xludf.DUMMYFUNCTION("""COMPUTED_VALUE"""),"細谷佳正")</f>
        <v>細谷佳正</v>
      </c>
      <c r="C476" s="1" t="s">
        <v>170</v>
      </c>
      <c r="D476" s="1" t="str">
        <f>IF(C476="", "", IFERROR(VLOOKUP(C476, 作品一覧!A:B, 2, FALSE), "該当なし"))</f>
        <v>ツキプロ</v>
      </c>
      <c r="E476" s="1" t="str">
        <f ca="1">IFERROR(__xludf.DUMMYFUNCTION("""COMPUTED_VALUE"""),"卯月新")</f>
        <v>卯月新</v>
      </c>
      <c r="F476" s="6" t="s">
        <v>1294</v>
      </c>
    </row>
    <row r="477" spans="1:6" ht="13.8">
      <c r="A477" s="1" t="str">
        <f t="array" aca="1" ref="A477" ca="1">IF(B477="", "", IFERROR(INDEX(声優一覧!A:A, MATCH(B477, 声優一覧!B:B, 0)), "該当なし"))</f>
        <v>va_200</v>
      </c>
      <c r="B477" s="1" t="str">
        <f ca="1">IFERROR(__xludf.DUMMYFUNCTION("""COMPUTED_VALUE"""),"KENN")</f>
        <v>KENN</v>
      </c>
      <c r="C477" s="1" t="s">
        <v>170</v>
      </c>
      <c r="D477" s="1" t="str">
        <f>IF(C477="", "", IFERROR(VLOOKUP(C477, 作品一覧!A:B, 2, FALSE), "該当なし"))</f>
        <v>ツキプロ</v>
      </c>
      <c r="E477" s="1" t="str">
        <f ca="1">IFERROR(__xludf.DUMMYFUNCTION("""COMPUTED_VALUE"""),"皐月葵")</f>
        <v>皐月葵</v>
      </c>
      <c r="F477" s="6" t="s">
        <v>1295</v>
      </c>
    </row>
    <row r="478" spans="1:6" ht="13.8">
      <c r="A478" s="1" t="str">
        <f t="array" aca="1" ref="A478" ca="1">IF(B478="", "", IFERROR(INDEX(声優一覧!A:A, MATCH(B478, 声優一覧!B:B, 0)), "該当なし"))</f>
        <v>va_009</v>
      </c>
      <c r="B478" s="1" t="str">
        <f ca="1">IFERROR(__xludf.DUMMYFUNCTION("""COMPUTED_VALUE"""),"蒼井翔太")</f>
        <v>蒼井翔太</v>
      </c>
      <c r="C478" s="1" t="s">
        <v>170</v>
      </c>
      <c r="D478" s="1" t="str">
        <f>IF(C478="", "", IFERROR(VLOOKUP(C478, 作品一覧!A:B, 2, FALSE), "該当なし"))</f>
        <v>ツキプロ</v>
      </c>
      <c r="E478" s="1" t="str">
        <f ca="1">IFERROR(__xludf.DUMMYFUNCTION("""COMPUTED_VALUE"""),"水無月涙")</f>
        <v>水無月涙</v>
      </c>
      <c r="F478" s="6" t="s">
        <v>1296</v>
      </c>
    </row>
    <row r="479" spans="1:6" ht="13.8">
      <c r="A479" s="1" t="str">
        <f t="array" aca="1" ref="A479" ca="1">IF(B479="", "", IFERROR(INDEX(声優一覧!A:A, MATCH(B479, 声優一覧!B:B, 0)), "該当なし"))</f>
        <v>va_148</v>
      </c>
      <c r="B479" s="1" t="str">
        <f ca="1">IFERROR(__xludf.DUMMYFUNCTION("""COMPUTED_VALUE"""),"羽多野渉")</f>
        <v>羽多野渉</v>
      </c>
      <c r="C479" s="1" t="s">
        <v>170</v>
      </c>
      <c r="D479" s="1" t="str">
        <f>IF(C479="", "", IFERROR(VLOOKUP(C479, 作品一覧!A:B, 2, FALSE), "該当なし"))</f>
        <v>ツキプロ</v>
      </c>
      <c r="E479" s="1" t="str">
        <f ca="1">IFERROR(__xludf.DUMMYFUNCTION("""COMPUTED_VALUE"""),"文月海")</f>
        <v>文月海</v>
      </c>
      <c r="F479" s="6" t="s">
        <v>1297</v>
      </c>
    </row>
    <row r="480" spans="1:6" ht="13.8">
      <c r="A480" s="1" t="str">
        <f t="array" aca="1" ref="A480" ca="1">IF(B480="", "", IFERROR(INDEX(声優一覧!A:A, MATCH(B480, 声優一覧!B:B, 0)), "該当なし"))</f>
        <v>va_048</v>
      </c>
      <c r="B480" s="1" t="str">
        <f ca="1">IFERROR(__xludf.DUMMYFUNCTION("""COMPUTED_VALUE"""),"柿原徹也")</f>
        <v>柿原徹也</v>
      </c>
      <c r="C480" s="1" t="s">
        <v>170</v>
      </c>
      <c r="D480" s="1" t="str">
        <f>IF(C480="", "", IFERROR(VLOOKUP(C480, 作品一覧!A:B, 2, FALSE), "該当なし"))</f>
        <v>ツキプロ</v>
      </c>
      <c r="E480" s="1" t="str">
        <f ca="1">IFERROR(__xludf.DUMMYFUNCTION("""COMPUTED_VALUE"""),"葉月陽")</f>
        <v>葉月陽</v>
      </c>
      <c r="F480" s="6" t="s">
        <v>1298</v>
      </c>
    </row>
    <row r="481" spans="1:6" ht="13.8">
      <c r="A481" s="1" t="str">
        <f t="array" aca="1" ref="A481" ca="1">IF(B481="", "", IFERROR(INDEX(声優一覧!A:A, MATCH(B481, 声優一覧!B:B, 0)), "該当なし"))</f>
        <v>va_081</v>
      </c>
      <c r="B481" s="1" t="str">
        <f ca="1">IFERROR(__xludf.DUMMYFUNCTION("""COMPUTED_VALUE"""),"近藤隆")</f>
        <v>近藤隆</v>
      </c>
      <c r="C481" s="1" t="s">
        <v>170</v>
      </c>
      <c r="D481" s="1" t="str">
        <f>IF(C481="", "", IFERROR(VLOOKUP(C481, 作品一覧!A:B, 2, FALSE), "該当なし"))</f>
        <v>ツキプロ</v>
      </c>
      <c r="E481" s="1" t="str">
        <f ca="1">IFERROR(__xludf.DUMMYFUNCTION("""COMPUTED_VALUE"""),"長月夜")</f>
        <v>長月夜</v>
      </c>
      <c r="F481" s="6" t="s">
        <v>1299</v>
      </c>
    </row>
    <row r="482" spans="1:6" ht="13.8">
      <c r="A482" s="1" t="str">
        <f t="array" aca="1" ref="A482" ca="1">IF(B482="", "", IFERROR(INDEX(声優一覧!A:A, MATCH(B482, 声優一覧!B:B, 0)), "該当なし"))</f>
        <v>va_045</v>
      </c>
      <c r="B482" s="1" t="str">
        <f ca="1">IFERROR(__xludf.DUMMYFUNCTION("""COMPUTED_VALUE"""),"小野賢章")</f>
        <v>小野賢章</v>
      </c>
      <c r="C482" s="1" t="s">
        <v>170</v>
      </c>
      <c r="D482" s="1" t="str">
        <f>IF(C482="", "", IFERROR(VLOOKUP(C482, 作品一覧!A:B, 2, FALSE), "該当なし"))</f>
        <v>ツキプロ</v>
      </c>
      <c r="E482" s="1" t="str">
        <f ca="1">IFERROR(__xludf.DUMMYFUNCTION("""COMPUTED_VALUE"""),"神無月郁")</f>
        <v>神無月郁</v>
      </c>
      <c r="F482" s="6" t="s">
        <v>1300</v>
      </c>
    </row>
    <row r="483" spans="1:6" ht="13.8">
      <c r="A483" s="1" t="str">
        <f t="array" aca="1" ref="A483" ca="1">IF(B483="", "", IFERROR(INDEX(声優一覧!A:A, MATCH(B483, 声優一覧!B:B, 0)), "該当なし"))</f>
        <v>va_066</v>
      </c>
      <c r="B483" s="1" t="str">
        <f ca="1">IFERROR(__xludf.DUMMYFUNCTION("""COMPUTED_VALUE"""),"木村良平")</f>
        <v>木村良平</v>
      </c>
      <c r="C483" s="1" t="s">
        <v>170</v>
      </c>
      <c r="D483" s="1" t="str">
        <f>IF(C483="", "", IFERROR(VLOOKUP(C483, 作品一覧!A:B, 2, FALSE), "該当なし"))</f>
        <v>ツキプロ</v>
      </c>
      <c r="E483" s="1" t="str">
        <f ca="1">IFERROR(__xludf.DUMMYFUNCTION("""COMPUTED_VALUE"""),"霜月隼")</f>
        <v>霜月隼</v>
      </c>
      <c r="F483" s="6" t="s">
        <v>1301</v>
      </c>
    </row>
    <row r="484" spans="1:6" ht="13.8">
      <c r="A484" s="1" t="str">
        <f t="array" aca="1" ref="A484" ca="1">IF(B484="", "", IFERROR(INDEX(声優一覧!A:A, MATCH(B484, 声優一覧!B:B, 0)), "該当なし"))</f>
        <v>va_131</v>
      </c>
      <c r="B484" s="1" t="str">
        <f ca="1">IFERROR(__xludf.DUMMYFUNCTION("""COMPUTED_VALUE"""),"豊永利行")</f>
        <v>豊永利行</v>
      </c>
      <c r="C484" s="1" t="s">
        <v>170</v>
      </c>
      <c r="D484" s="1" t="str">
        <f>IF(C484="", "", IFERROR(VLOOKUP(C484, 作品一覧!A:B, 2, FALSE), "該当なし"))</f>
        <v>ツキプロ</v>
      </c>
      <c r="E484" s="1" t="str">
        <f ca="1">IFERROR(__xludf.DUMMYFUNCTION("""COMPUTED_VALUE"""),"大原空")</f>
        <v>大原空</v>
      </c>
      <c r="F484" s="6" t="s">
        <v>1302</v>
      </c>
    </row>
    <row r="485" spans="1:6" ht="13.8">
      <c r="A485" s="1" t="str">
        <f t="array" aca="1" ref="A485" ca="1">IF(B485="", "", IFERROR(INDEX(声優一覧!A:A, MATCH(B485, 声優一覧!B:B, 0)), "該当なし"))</f>
        <v>va_046</v>
      </c>
      <c r="B485" s="1" t="str">
        <f ca="1">IFERROR(__xludf.DUMMYFUNCTION("""COMPUTED_VALUE"""),"小野友樹")</f>
        <v>小野友樹</v>
      </c>
      <c r="C485" s="1" t="s">
        <v>170</v>
      </c>
      <c r="D485" s="1" t="str">
        <f>IF(C485="", "", IFERROR(VLOOKUP(C485, 作品一覧!A:B, 2, FALSE), "該当なし"))</f>
        <v>ツキプロ</v>
      </c>
      <c r="E485" s="1" t="str">
        <f ca="1">IFERROR(__xludf.DUMMYFUNCTION("""COMPUTED_VALUE"""),"在原守人")</f>
        <v>在原守人</v>
      </c>
      <c r="F485" s="6" t="s">
        <v>1303</v>
      </c>
    </row>
    <row r="486" spans="1:6" ht="13.8">
      <c r="A486" s="1" t="str">
        <f t="array" aca="1" ref="A486" ca="1">IF(B486="", "", IFERROR(INDEX(声優一覧!A:A, MATCH(B486, 声優一覧!B:B, 0)), "該当なし"))</f>
        <v>va_161</v>
      </c>
      <c r="B486" s="1" t="str">
        <f ca="1">IFERROR(__xludf.DUMMYFUNCTION("""COMPUTED_VALUE"""),"古川慎")</f>
        <v>古川慎</v>
      </c>
      <c r="C486" s="1" t="s">
        <v>170</v>
      </c>
      <c r="D486" s="1" t="str">
        <f>IF(C486="", "", IFERROR(VLOOKUP(C486, 作品一覧!A:B, 2, FALSE), "該当なし"))</f>
        <v>ツキプロ</v>
      </c>
      <c r="E486" s="1" t="str">
        <f ca="1">IFERROR(__xludf.DUMMYFUNCTION("""COMPUTED_VALUE"""),"神楽坂宗司")</f>
        <v>神楽坂宗司</v>
      </c>
      <c r="F486" s="6" t="s">
        <v>1304</v>
      </c>
    </row>
    <row r="487" spans="1:6" ht="13.8">
      <c r="A487" s="1" t="str">
        <f t="array" aca="1" ref="A487" ca="1">IF(B487="", "", IFERROR(INDEX(声優一覧!A:A, MATCH(B487, 声優一覧!B:B, 0)), "該当なし"))</f>
        <v>va_184</v>
      </c>
      <c r="B487" s="1" t="str">
        <f ca="1">IFERROR(__xludf.DUMMYFUNCTION("""COMPUTED_VALUE"""),"村田太志")</f>
        <v>村田太志</v>
      </c>
      <c r="C487" s="1" t="s">
        <v>170</v>
      </c>
      <c r="D487" s="1" t="str">
        <f>IF(C487="", "", IFERROR(VLOOKUP(C487, 作品一覧!A:B, 2, FALSE), "該当なし"))</f>
        <v>ツキプロ</v>
      </c>
      <c r="E487" s="1" t="str">
        <f ca="1">IFERROR(__xludf.DUMMYFUNCTION("""COMPUTED_VALUE"""),"宗像廉")</f>
        <v>宗像廉</v>
      </c>
      <c r="F487" s="6" t="s">
        <v>1305</v>
      </c>
    </row>
    <row r="488" spans="1:6" ht="13.8">
      <c r="A488" s="1" t="str">
        <f t="array" aca="1" ref="A488" ca="1">IF(B488="", "", IFERROR(INDEX(声優一覧!A:A, MATCH(B488, 声優一覧!B:B, 0)), "該当なし"))</f>
        <v>va_092</v>
      </c>
      <c r="B488" s="1" t="str">
        <f ca="1">IFERROR(__xludf.DUMMYFUNCTION("""COMPUTED_VALUE"""),"沢城千春")</f>
        <v>沢城千春</v>
      </c>
      <c r="C488" s="1" t="s">
        <v>170</v>
      </c>
      <c r="D488" s="1" t="str">
        <f>IF(C488="", "", IFERROR(VLOOKUP(C488, 作品一覧!A:B, 2, FALSE), "該当なし"))</f>
        <v>ツキプロ</v>
      </c>
      <c r="E488" s="1" t="str">
        <f ca="1">IFERROR(__xludf.DUMMYFUNCTION("""COMPUTED_VALUE"""),"七瀬望")</f>
        <v>七瀬望</v>
      </c>
      <c r="F488" s="6" t="s">
        <v>1306</v>
      </c>
    </row>
    <row r="489" spans="1:6" ht="13.8">
      <c r="A489" s="1" t="str">
        <f t="array" aca="1" ref="A489" ca="1">IF(B489="", "", IFERROR(INDEX(声優一覧!A:A, MATCH(B489, 声優一覧!B:B, 0)), "該当なし"))</f>
        <v>va_129</v>
      </c>
      <c r="B489" s="1" t="str">
        <f ca="1">IFERROR(__xludf.DUMMYFUNCTION("""COMPUTED_VALUE"""),"土岐隼一")</f>
        <v>土岐隼一</v>
      </c>
      <c r="C489" s="1" t="s">
        <v>170</v>
      </c>
      <c r="D489" s="1" t="str">
        <f>IF(C489="", "", IFERROR(VLOOKUP(C489, 作品一覧!A:B, 2, FALSE), "該当なし"))</f>
        <v>ツキプロ</v>
      </c>
      <c r="E489" s="1" t="str">
        <f ca="1">IFERROR(__xludf.DUMMYFUNCTION("""COMPUTED_VALUE"""),"衛藤昂輝")</f>
        <v>衛藤昂輝</v>
      </c>
      <c r="F489" s="6" t="s">
        <v>1307</v>
      </c>
    </row>
    <row r="490" spans="1:6" ht="13.8">
      <c r="A490" s="1" t="str">
        <f t="array" aca="1" ref="A490" ca="1">IF(B490="", "", IFERROR(INDEX(声優一覧!A:A, MATCH(B490, 声優一覧!B:B, 0)), "該当なし"))</f>
        <v>va_196</v>
      </c>
      <c r="B490" s="1" t="str">
        <f ca="1">IFERROR(__xludf.DUMMYFUNCTION("""COMPUTED_VALUE"""),"山谷祥生")</f>
        <v>山谷祥生</v>
      </c>
      <c r="C490" s="1" t="s">
        <v>170</v>
      </c>
      <c r="D490" s="1" t="str">
        <f>IF(C490="", "", IFERROR(VLOOKUP(C490, 作品一覧!A:B, 2, FALSE), "該当なし"))</f>
        <v>ツキプロ</v>
      </c>
      <c r="E490" s="1" t="str">
        <f ca="1">IFERROR(__xludf.DUMMYFUNCTION("""COMPUTED_VALUE"""),"八重樫剣介")</f>
        <v>八重樫剣介</v>
      </c>
      <c r="F490" s="6" t="s">
        <v>1308</v>
      </c>
    </row>
    <row r="491" spans="1:6" ht="13.8">
      <c r="A491" s="1" t="str">
        <f t="array" aca="1" ref="A491" ca="1">IF(B491="", "", IFERROR(INDEX(声優一覧!A:A, MATCH(B491, 声優一覧!B:B, 0)), "該当なし"))</f>
        <v>va_193</v>
      </c>
      <c r="B491" s="1" t="str">
        <f ca="1">IFERROR(__xludf.DUMMYFUNCTION("""COMPUTED_VALUE"""),"山下大輝")</f>
        <v>山下大輝</v>
      </c>
      <c r="C491" s="1" t="s">
        <v>170</v>
      </c>
      <c r="D491" s="1" t="str">
        <f>IF(C491="", "", IFERROR(VLOOKUP(C491, 作品一覧!A:B, 2, FALSE), "該当なし"))</f>
        <v>ツキプロ</v>
      </c>
      <c r="E491" s="1" t="str">
        <f ca="1">IFERROR(__xludf.DUMMYFUNCTION("""COMPUTED_VALUE"""),"桜庭涼太")</f>
        <v>桜庭涼太</v>
      </c>
      <c r="F491" s="6" t="s">
        <v>1309</v>
      </c>
    </row>
    <row r="492" spans="1:6" ht="13.8">
      <c r="A492" s="1" t="str">
        <f t="array" aca="1" ref="A492" ca="1">IF(B492="", "", IFERROR(INDEX(声優一覧!A:A, MATCH(B492, 声優一覧!B:B, 0)), "該当なし"))</f>
        <v>va_124</v>
      </c>
      <c r="B492" s="1" t="str">
        <f ca="1">IFERROR(__xludf.DUMMYFUNCTION("""COMPUTED_VALUE"""),"寺島惇太")</f>
        <v>寺島惇太</v>
      </c>
      <c r="C492" s="1" t="s">
        <v>170</v>
      </c>
      <c r="D492" s="1" t="str">
        <f>IF(C492="", "", IFERROR(VLOOKUP(C492, 作品一覧!A:B, 2, FALSE), "該当なし"))</f>
        <v>ツキプロ</v>
      </c>
      <c r="E492" s="1" t="str">
        <f ca="1">IFERROR(__xludf.DUMMYFUNCTION("""COMPUTED_VALUE"""),"藤村衛")</f>
        <v>藤村衛</v>
      </c>
      <c r="F492" s="6" t="s">
        <v>1310</v>
      </c>
    </row>
    <row r="493" spans="1:6" ht="13.8">
      <c r="A493" s="1" t="str">
        <f t="array" aca="1" ref="A493" ca="1">IF(B493="", "", IFERROR(INDEX(声優一覧!A:A, MATCH(B493, 声優一覧!B:B, 0)), "該当なし"))</f>
        <v>va_035</v>
      </c>
      <c r="B493" s="1" t="str">
        <f ca="1">IFERROR(__xludf.DUMMYFUNCTION("""COMPUTED_VALUE"""),"江口拓也")</f>
        <v>江口拓也</v>
      </c>
      <c r="C493" s="1" t="s">
        <v>170</v>
      </c>
      <c r="D493" s="1" t="str">
        <f>IF(C493="", "", IFERROR(VLOOKUP(C493, 作品一覧!A:B, 2, FALSE), "該当なし"))</f>
        <v>ツキプロ</v>
      </c>
      <c r="E493" s="1" t="str">
        <f ca="1">IFERROR(__xludf.DUMMYFUNCTION("""COMPUTED_VALUE"""),"篁志季")</f>
        <v>篁志季</v>
      </c>
      <c r="F493" s="6" t="s">
        <v>1311</v>
      </c>
    </row>
    <row r="494" spans="1:6" ht="13.8">
      <c r="A494" s="1" t="str">
        <f t="array" aca="1" ref="A494" ca="1">IF(B494="", "", IFERROR(INDEX(声優一覧!A:A, MATCH(B494, 声優一覧!B:B, 0)), "該当なし"))</f>
        <v>va_083</v>
      </c>
      <c r="B494" s="1" t="str">
        <f ca="1">IFERROR(__xludf.DUMMYFUNCTION("""COMPUTED_VALUE"""),"斉藤壮馬")</f>
        <v>斉藤壮馬</v>
      </c>
      <c r="C494" s="1" t="s">
        <v>170</v>
      </c>
      <c r="D494" s="1" t="str">
        <f>IF(C494="", "", IFERROR(VLOOKUP(C494, 作品一覧!A:B, 2, FALSE), "該当なし"))</f>
        <v>ツキプロ</v>
      </c>
      <c r="E494" s="1" t="str">
        <f ca="1">IFERROR(__xludf.DUMMYFUNCTION("""COMPUTED_VALUE"""),"奥井翼")</f>
        <v>奥井翼</v>
      </c>
      <c r="F494" s="6" t="s">
        <v>1312</v>
      </c>
    </row>
    <row r="495" spans="1:6" ht="13.8">
      <c r="A495" s="1" t="str">
        <f t="array" aca="1" ref="A495" ca="1">IF(B495="", "", IFERROR(INDEX(声優一覧!A:A, MATCH(B495, 声優一覧!B:B, 0)), "該当なし"))</f>
        <v>va_150</v>
      </c>
      <c r="B495" s="1" t="str">
        <f ca="1">IFERROR(__xludf.DUMMYFUNCTION("""COMPUTED_VALUE"""),"花江夏樹")</f>
        <v>花江夏樹</v>
      </c>
      <c r="C495" s="1" t="s">
        <v>170</v>
      </c>
      <c r="D495" s="1" t="str">
        <f>IF(C495="", "", IFERROR(VLOOKUP(C495, 作品一覧!A:B, 2, FALSE), "該当なし"))</f>
        <v>ツキプロ</v>
      </c>
      <c r="E495" s="1" t="str">
        <f ca="1">IFERROR(__xludf.DUMMYFUNCTION("""COMPUTED_VALUE"""),"世良里津花")</f>
        <v>世良里津花</v>
      </c>
      <c r="F495" s="6" t="s">
        <v>1313</v>
      </c>
    </row>
    <row r="496" spans="1:6" ht="13.8">
      <c r="A496" s="1" t="str">
        <f t="array" aca="1" ref="A496" ca="1">IF(B496="", "", IFERROR(INDEX(声優一覧!A:A, MATCH(B496, 声優一覧!B:B, 0)), "該当なし"))</f>
        <v>va_033</v>
      </c>
      <c r="B496" s="1" t="str">
        <f ca="1">IFERROR(__xludf.DUMMYFUNCTION("""COMPUTED_VALUE"""),"梅原裕一郎")</f>
        <v>梅原裕一郎</v>
      </c>
      <c r="C496" s="1" t="s">
        <v>170</v>
      </c>
      <c r="D496" s="1" t="str">
        <f>IF(C496="", "", IFERROR(VLOOKUP(C496, 作品一覧!A:B, 2, FALSE), "該当なし"))</f>
        <v>ツキプロ</v>
      </c>
      <c r="E496" s="1" t="str">
        <f ca="1">IFERROR(__xludf.DUMMYFUNCTION("""COMPUTED_VALUE"""),"村瀬大")</f>
        <v>村瀬大</v>
      </c>
      <c r="F496" s="6" t="s">
        <v>1314</v>
      </c>
    </row>
    <row r="497" spans="1:6" ht="13.8">
      <c r="A497" s="1" t="str">
        <f t="array" aca="1" ref="A497" ca="1">IF(B497="", "", IFERROR(INDEX(声優一覧!A:A, MATCH(B497, 声優一覧!B:B, 0)), "該当なし"))</f>
        <v>va_112</v>
      </c>
      <c r="B497" s="1" t="str">
        <f ca="1">IFERROR(__xludf.DUMMYFUNCTION("""COMPUTED_VALUE"""),"武内駿輔")</f>
        <v>武内駿輔</v>
      </c>
      <c r="C497" s="1" t="s">
        <v>170</v>
      </c>
      <c r="D497" s="1" t="str">
        <f>IF(C497="", "", IFERROR(VLOOKUP(C497, 作品一覧!A:B, 2, FALSE), "該当なし"))</f>
        <v>ツキプロ</v>
      </c>
      <c r="E497" s="1" t="str">
        <f ca="1">IFERROR(__xludf.DUMMYFUNCTION("""COMPUTED_VALUE"""),"和泉柊羽")</f>
        <v>和泉柊羽</v>
      </c>
      <c r="F497" s="6" t="s">
        <v>1315</v>
      </c>
    </row>
    <row r="498" spans="1:6" ht="13.8">
      <c r="A498" s="1" t="str">
        <f t="array" aca="1" ref="A498" ca="1">IF(B498="", "", IFERROR(INDEX(声優一覧!A:A, MATCH(B498, 声優一覧!B:B, 0)), "該当なし"))</f>
        <v>va_141</v>
      </c>
      <c r="B498" s="1" t="str">
        <f ca="1">IFERROR(__xludf.DUMMYFUNCTION("""COMPUTED_VALUE"""),"西山宏太朗")</f>
        <v>西山宏太朗</v>
      </c>
      <c r="C498" s="1" t="s">
        <v>170</v>
      </c>
      <c r="D498" s="1" t="str">
        <f>IF(C498="", "", IFERROR(VLOOKUP(C498, 作品一覧!A:B, 2, FALSE), "該当なし"))</f>
        <v>ツキプロ</v>
      </c>
      <c r="E498" s="1" t="str">
        <f ca="1">IFERROR(__xludf.DUMMYFUNCTION("""COMPUTED_VALUE"""),"堀宮英知")</f>
        <v>堀宮英知</v>
      </c>
      <c r="F498" s="6" t="s">
        <v>1316</v>
      </c>
    </row>
    <row r="499" spans="1:6" ht="13.8">
      <c r="A499" s="1" t="str">
        <f t="array" aca="1" ref="A499" ca="1">IF(B499="", "", IFERROR(INDEX(声優一覧!A:A, MATCH(B499, 声優一覧!B:B, 0)), "該当なし"))</f>
        <v>va_135</v>
      </c>
      <c r="B499" s="1" t="str">
        <f ca="1">IFERROR(__xludf.DUMMYFUNCTION("""COMPUTED_VALUE"""),"仲村宗悟")</f>
        <v>仲村宗悟</v>
      </c>
      <c r="C499" s="1" t="s">
        <v>170</v>
      </c>
      <c r="D499" s="1" t="str">
        <f>IF(C499="", "", IFERROR(VLOOKUP(C499, 作品一覧!A:B, 2, FALSE), "該当なし"))</f>
        <v>ツキプロ</v>
      </c>
      <c r="E499" s="1" t="str">
        <f ca="1">IFERROR(__xludf.DUMMYFUNCTION("""COMPUTED_VALUE"""),"久我壱星")</f>
        <v>久我壱星</v>
      </c>
      <c r="F499" s="6" t="s">
        <v>1317</v>
      </c>
    </row>
    <row r="500" spans="1:6" ht="13.8">
      <c r="A500" s="1" t="str">
        <f t="array" aca="1" ref="A500" ca="1">IF(B500="", "", IFERROR(INDEX(声優一覧!A:A, MATCH(B500, 声優一覧!B:B, 0)), "該当なし"))</f>
        <v>va_142</v>
      </c>
      <c r="B500" s="1" t="str">
        <f ca="1">IFERROR(__xludf.DUMMYFUNCTION("""COMPUTED_VALUE"""),"野上翔")</f>
        <v>野上翔</v>
      </c>
      <c r="C500" s="1" t="s">
        <v>170</v>
      </c>
      <c r="D500" s="1" t="str">
        <f>IF(C500="", "", IFERROR(VLOOKUP(C500, 作品一覧!A:B, 2, FALSE), "該当なし"))</f>
        <v>ツキプロ</v>
      </c>
      <c r="E500" s="1" t="str">
        <f ca="1">IFERROR(__xludf.DUMMYFUNCTION("""COMPUTED_VALUE"""),"久我壱流")</f>
        <v>久我壱流</v>
      </c>
      <c r="F500" s="6" t="s">
        <v>1318</v>
      </c>
    </row>
    <row r="501" spans="1:6" ht="13.8">
      <c r="A501" s="1" t="str">
        <f t="array" aca="1" ref="A501" ca="1">IF(B501="", "", IFERROR(INDEX(声優一覧!A:A, MATCH(B501, 声優一覧!B:B, 0)), "該当なし"))</f>
        <v>va_094</v>
      </c>
      <c r="B501" s="1" t="str">
        <f ca="1">IFERROR(__xludf.DUMMYFUNCTION("""COMPUTED_VALUE"""),"島﨑信長")</f>
        <v>島﨑信長</v>
      </c>
      <c r="C501" s="1" t="s">
        <v>170</v>
      </c>
      <c r="D501" s="1" t="str">
        <f>IF(C501="", "", IFERROR(VLOOKUP(C501, 作品一覧!A:B, 2, FALSE), "該当なし"))</f>
        <v>ツキプロ</v>
      </c>
      <c r="E501" s="1" t="str">
        <f ca="1">IFERROR(__xludf.DUMMYFUNCTION("""COMPUTED_VALUE"""),"グリ")</f>
        <v>グリ</v>
      </c>
      <c r="F501" s="6" t="s">
        <v>1319</v>
      </c>
    </row>
    <row r="502" spans="1:6" ht="13.8">
      <c r="A502" s="1" t="str">
        <f t="array" aca="1" ref="A502" ca="1">IF(B502="", "", IFERROR(INDEX(声優一覧!A:A, MATCH(B502, 声優一覧!B:B, 0)), "該当なし"))</f>
        <v>va_157</v>
      </c>
      <c r="B502" s="1" t="str">
        <f ca="1">IFERROR(__xludf.DUMMYFUNCTION("""COMPUTED_VALUE"""),"平川大輔")</f>
        <v>平川大輔</v>
      </c>
      <c r="C502" s="1" t="s">
        <v>170</v>
      </c>
      <c r="D502" s="1" t="str">
        <f>IF(C502="", "", IFERROR(VLOOKUP(C502, 作品一覧!A:B, 2, FALSE), "該当なし"))</f>
        <v>ツキプロ</v>
      </c>
      <c r="E502" s="1" t="str">
        <f ca="1">IFERROR(__xludf.DUMMYFUNCTION("""COMPUTED_VALUE"""),"ビスJr.")</f>
        <v>ビスJr.</v>
      </c>
      <c r="F502" s="6" t="s">
        <v>1320</v>
      </c>
    </row>
    <row r="503" spans="1:6" ht="13.8">
      <c r="A503" s="1" t="str">
        <f t="array" aca="1" ref="A503" ca="1">IF(B503="", "", IFERROR(INDEX(声優一覧!A:A, MATCH(B503, 声優一覧!B:B, 0)), "該当なし"))</f>
        <v>va_117</v>
      </c>
      <c r="B503" s="1" t="str">
        <f ca="1">IFERROR(__xludf.DUMMYFUNCTION("""COMPUTED_VALUE"""),"田丸篤志")</f>
        <v>田丸篤志</v>
      </c>
      <c r="C503" s="1" t="s">
        <v>170</v>
      </c>
      <c r="D503" s="1" t="str">
        <f>IF(C503="", "", IFERROR(VLOOKUP(C503, 作品一覧!A:B, 2, FALSE), "該当なし"))</f>
        <v>ツキプロ</v>
      </c>
      <c r="E503" s="1" t="str">
        <f ca="1">IFERROR(__xludf.DUMMYFUNCTION("""COMPUTED_VALUE"""),"シュタイン")</f>
        <v>シュタイン</v>
      </c>
      <c r="F503" s="6" t="s">
        <v>1321</v>
      </c>
    </row>
    <row r="504" spans="1:6" ht="13.8">
      <c r="A504" s="1" t="str">
        <f t="array" aca="1" ref="A504" ca="1">IF(B504="", "", IFERROR(INDEX(声優一覧!A:A, MATCH(B504, 声優一覧!B:B, 0)), "該当なし"))</f>
        <v>va_013</v>
      </c>
      <c r="B504" s="1" t="str">
        <f ca="1">IFERROR(__xludf.DUMMYFUNCTION("""COMPUTED_VALUE"""),"石川界人")</f>
        <v>石川界人</v>
      </c>
      <c r="C504" s="1" t="s">
        <v>170</v>
      </c>
      <c r="D504" s="1" t="str">
        <f>IF(C504="", "", IFERROR(VLOOKUP(C504, 作品一覧!A:B, 2, FALSE), "該当なし"))</f>
        <v>ツキプロ</v>
      </c>
      <c r="E504" s="1" t="str">
        <f ca="1">IFERROR(__xludf.DUMMYFUNCTION("""COMPUTED_VALUE"""),"リーゼ")</f>
        <v>リーゼ</v>
      </c>
      <c r="F504" s="6" t="s">
        <v>1322</v>
      </c>
    </row>
    <row r="505" spans="1:6" ht="13.8">
      <c r="A505" s="1" t="str">
        <f t="array" aca="1" ref="A505" ca="1">IF(B505="", "", IFERROR(INDEX(声優一覧!A:A, MATCH(B505, 声優一覧!B:B, 0)), "該当なし"))</f>
        <v>va_110</v>
      </c>
      <c r="B505" s="1" t="str">
        <f ca="1">IFERROR(__xludf.DUMMYFUNCTION("""COMPUTED_VALUE"""),"高橋英則")</f>
        <v>高橋英則</v>
      </c>
      <c r="C505" s="1" t="s">
        <v>170</v>
      </c>
      <c r="D505" s="1" t="str">
        <f>IF(C505="", "", IFERROR(VLOOKUP(C505, 作品一覧!A:B, 2, FALSE), "該当なし"))</f>
        <v>ツキプロ</v>
      </c>
      <c r="E505" s="1" t="str">
        <f ca="1">IFERROR(__xludf.DUMMYFUNCTION("""COMPUTED_VALUE"""),"ディア")</f>
        <v>ディア</v>
      </c>
      <c r="F505" s="6" t="s">
        <v>1323</v>
      </c>
    </row>
    <row r="506" spans="1:6" ht="13.8">
      <c r="A506" s="1" t="str">
        <f t="array" aca="1" ref="A506" ca="1">IF(B506="", "", IFERROR(INDEX(声優一覧!A:A, MATCH(B506, 声優一覧!B:B, 0)), "該当なし"))</f>
        <v>va_201</v>
      </c>
      <c r="B506" s="1" t="str">
        <f ca="1">IFERROR(__xludf.DUMMYFUNCTION("""COMPUTED_VALUE"""),"新垣樽助")</f>
        <v>新垣樽助</v>
      </c>
      <c r="C506" s="1" t="s">
        <v>170</v>
      </c>
      <c r="D506" s="1" t="str">
        <f>IF(C506="", "", IFERROR(VLOOKUP(C506, 作品一覧!A:B, 2, FALSE), "該当なし"))</f>
        <v>ツキプロ</v>
      </c>
      <c r="E506" s="1" t="str">
        <f ca="1">IFERROR(__xludf.DUMMYFUNCTION("""COMPUTED_VALUE"""),"眞宮孝明")</f>
        <v>眞宮孝明</v>
      </c>
      <c r="F506" s="6" t="s">
        <v>1324</v>
      </c>
    </row>
    <row r="507" spans="1:6" ht="13.8">
      <c r="A507" s="1" t="str">
        <f t="array" aca="1" ref="A507" ca="1">IF(B507="", "", IFERROR(INDEX(声優一覧!A:A, MATCH(B507, 声優一覧!B:B, 0)), "該当なし"))</f>
        <v>va_075</v>
      </c>
      <c r="B507" s="1" t="str">
        <f ca="1">IFERROR(__xludf.DUMMYFUNCTION("""COMPUTED_VALUE"""),"小林裕介")</f>
        <v>小林裕介</v>
      </c>
      <c r="C507" s="1" t="s">
        <v>170</v>
      </c>
      <c r="D507" s="1" t="str">
        <f>IF(C507="", "", IFERROR(VLOOKUP(C507, 作品一覧!A:B, 2, FALSE), "該当なし"))</f>
        <v>ツキプロ</v>
      </c>
      <c r="E507" s="1" t="str">
        <f ca="1">IFERROR(__xludf.DUMMYFUNCTION("""COMPUTED_VALUE"""),"吉良凰香")</f>
        <v>吉良凰香</v>
      </c>
      <c r="F507" s="6" t="s">
        <v>1325</v>
      </c>
    </row>
    <row r="508" spans="1:6" ht="13.8">
      <c r="A508" s="1" t="str">
        <f t="array" aca="1" ref="A508" ca="1">IF(B508="", "", IFERROR(INDEX(声優一覧!A:A, MATCH(B508, 声優一覧!B:B, 0)), "該当なし"))</f>
        <v>va_194</v>
      </c>
      <c r="B508" s="1" t="str">
        <f ca="1">IFERROR(__xludf.DUMMYFUNCTION("""COMPUTED_VALUE"""),"山中真尋")</f>
        <v>山中真尋</v>
      </c>
      <c r="C508" s="1" t="s">
        <v>170</v>
      </c>
      <c r="D508" s="1" t="str">
        <f>IF(C508="", "", IFERROR(VLOOKUP(C508, 作品一覧!A:B, 2, FALSE), "該当なし"))</f>
        <v>ツキプロ</v>
      </c>
      <c r="E508" s="1" t="str">
        <f ca="1">IFERROR(__xludf.DUMMYFUNCTION("""COMPUTED_VALUE"""),"築一紗")</f>
        <v>築一紗</v>
      </c>
      <c r="F508" s="6" t="s">
        <v>1326</v>
      </c>
    </row>
    <row r="509" spans="1:6" ht="13.8">
      <c r="A509" s="1" t="str">
        <f t="array" aca="1" ref="A509" ca="1">IF(B509="", "", IFERROR(INDEX(声優一覧!A:A, MATCH(B509, 声優一覧!B:B, 0)), "該当なし"))</f>
        <v>va_096</v>
      </c>
      <c r="B509" s="1" t="str">
        <f ca="1">IFERROR(__xludf.DUMMYFUNCTION("""COMPUTED_VALUE"""),"白井悠介")</f>
        <v>白井悠介</v>
      </c>
      <c r="C509" s="1" t="s">
        <v>170</v>
      </c>
      <c r="D509" s="1" t="str">
        <f>IF(C509="", "", IFERROR(VLOOKUP(C509, 作品一覧!A:B, 2, FALSE), "該当なし"))</f>
        <v>ツキプロ</v>
      </c>
      <c r="E509" s="1" t="str">
        <f ca="1">IFERROR(__xludf.DUMMYFUNCTION("""COMPUTED_VALUE"""),"築二葉")</f>
        <v>築二葉</v>
      </c>
      <c r="F509" s="6" t="s">
        <v>1327</v>
      </c>
    </row>
    <row r="510" spans="1:6" ht="13.8">
      <c r="A510" s="1" t="str">
        <f t="array" aca="1" ref="A510" ca="1">IF(B510="", "", IFERROR(INDEX(声優一覧!A:A, MATCH(B510, 声優一覧!B:B, 0)), "該当なし"))</f>
        <v>va_228</v>
      </c>
      <c r="B510" s="1" t="str">
        <f ca="1">IFERROR(__xludf.DUMMYFUNCTION("""COMPUTED_VALUE"""),"笹翼")</f>
        <v>笹翼</v>
      </c>
      <c r="C510" s="1" t="s">
        <v>170</v>
      </c>
      <c r="D510" s="1" t="str">
        <f>IF(C510="", "", IFERROR(VLOOKUP(C510, 作品一覧!A:B, 2, FALSE), "該当なし"))</f>
        <v>ツキプロ</v>
      </c>
      <c r="E510" s="1" t="str">
        <f ca="1">IFERROR(__xludf.DUMMYFUNCTION("""COMPUTED_VALUE"""),"大山直助")</f>
        <v>大山直助</v>
      </c>
      <c r="F510" s="6" t="s">
        <v>1328</v>
      </c>
    </row>
    <row r="511" spans="1:6" ht="13.8">
      <c r="A511" s="1" t="str">
        <f t="array" aca="1" ref="A511" ca="1">IF(B511="", "", IFERROR(INDEX(声優一覧!A:A, MATCH(B511, 声優一覧!B:B, 0)), "該当なし"))</f>
        <v>va_166</v>
      </c>
      <c r="B511" s="1" t="str">
        <f ca="1">IFERROR(__xludf.DUMMYFUNCTION("""COMPUTED_VALUE"""),"堀江瞬")</f>
        <v>堀江瞬</v>
      </c>
      <c r="C511" s="1" t="s">
        <v>170</v>
      </c>
      <c r="D511" s="1" t="str">
        <f>IF(C511="", "", IFERROR(VLOOKUP(C511, 作品一覧!A:B, 2, FALSE), "該当なし"))</f>
        <v>ツキプロ</v>
      </c>
      <c r="E511" s="1" t="str">
        <f ca="1">IFERROR(__xludf.DUMMYFUNCTION("""COMPUTED_VALUE"""),"白瀬優馬")</f>
        <v>白瀬優馬</v>
      </c>
      <c r="F511" s="6" t="s">
        <v>1329</v>
      </c>
    </row>
    <row r="512" spans="1:6" ht="13.8">
      <c r="A512" s="1" t="str">
        <f t="array" aca="1" ref="A512" ca="1">IF(B512="", "", IFERROR(INDEX(声優一覧!A:A, MATCH(B512, 声優一覧!B:B, 0)), "該当なし"))</f>
        <v>va_229</v>
      </c>
      <c r="B512" s="1" t="str">
        <f ca="1">IFERROR(__xludf.DUMMYFUNCTION("""COMPUTED_VALUE"""),"菊池幸利")</f>
        <v>菊池幸利</v>
      </c>
      <c r="C512" s="1" t="s">
        <v>170</v>
      </c>
      <c r="D512" s="1" t="str">
        <f>IF(C512="", "", IFERROR(VLOOKUP(C512, 作品一覧!A:B, 2, FALSE), "該当なし"))</f>
        <v>ツキプロ</v>
      </c>
      <c r="E512" s="1" t="str">
        <f ca="1">IFERROR(__xludf.DUMMYFUNCTION("""COMPUTED_VALUE"""),"小野田翔")</f>
        <v>小野田翔</v>
      </c>
      <c r="F512" s="6" t="s">
        <v>1330</v>
      </c>
    </row>
    <row r="513" spans="1:6" ht="13.8">
      <c r="A513" s="1" t="str">
        <f t="array" aca="1" ref="A513" ca="1">IF(B513="", "", IFERROR(INDEX(声優一覧!A:A, MATCH(B513, 声優一覧!B:B, 0)), "該当なし"))</f>
        <v>va_230</v>
      </c>
      <c r="B513" s="1" t="str">
        <f ca="1">IFERROR(__xludf.DUMMYFUNCTION("""COMPUTED_VALUE"""),"長谷川芳明")</f>
        <v>長谷川芳明</v>
      </c>
      <c r="C513" s="1" t="s">
        <v>170</v>
      </c>
      <c r="D513" s="1" t="str">
        <f>IF(C513="", "", IFERROR(VLOOKUP(C513, 作品一覧!A:B, 2, FALSE), "該当なし"))</f>
        <v>ツキプロ</v>
      </c>
      <c r="E513" s="1" t="str">
        <f ca="1">IFERROR(__xludf.DUMMYFUNCTION("""COMPUTED_VALUE"""),"久慈川悠人")</f>
        <v>久慈川悠人</v>
      </c>
      <c r="F513" s="6" t="s">
        <v>1331</v>
      </c>
    </row>
    <row r="514" spans="1:6" ht="13.8">
      <c r="A514" s="1" t="str">
        <f t="array" aca="1" ref="A514" ca="1">IF(B514="", "", IFERROR(INDEX(声優一覧!A:A, MATCH(B514, 声優一覧!B:B, 0)), "該当なし"))</f>
        <v>va_090</v>
      </c>
      <c r="B514" s="1" t="str">
        <f ca="1">IFERROR(__xludf.DUMMYFUNCTION("""COMPUTED_VALUE"""),"佐藤拓也")</f>
        <v>佐藤拓也</v>
      </c>
      <c r="C514" s="1" t="s">
        <v>170</v>
      </c>
      <c r="D514" s="1" t="str">
        <f>IF(C514="", "", IFERROR(VLOOKUP(C514, 作品一覧!A:B, 2, FALSE), "該当なし"))</f>
        <v>ツキプロ</v>
      </c>
      <c r="E514" s="1" t="str">
        <f ca="1">IFERROR(__xludf.DUMMYFUNCTION("""COMPUTED_VALUE"""),"天羽玲司")</f>
        <v>天羽玲司</v>
      </c>
      <c r="F514" s="6" t="s">
        <v>1332</v>
      </c>
    </row>
    <row r="515" spans="1:6" ht="13.8">
      <c r="A515" s="1" t="str">
        <f t="array" aca="1" ref="A515" ca="1">IF(B515="", "", IFERROR(INDEX(声優一覧!A:A, MATCH(B515, 声優一覧!B:B, 0)), "該当なし"))</f>
        <v>va_085</v>
      </c>
      <c r="B515" s="1" t="str">
        <f ca="1">IFERROR(__xludf.DUMMYFUNCTION("""COMPUTED_VALUE"""),"坂泰斗")</f>
        <v>坂泰斗</v>
      </c>
      <c r="C515" s="1" t="s">
        <v>170</v>
      </c>
      <c r="D515" s="1" t="str">
        <f>IF(C515="", "", IFERROR(VLOOKUP(C515, 作品一覧!A:B, 2, FALSE), "該当なし"))</f>
        <v>ツキプロ</v>
      </c>
      <c r="E515" s="1" t="str">
        <f ca="1">IFERROR(__xludf.DUMMYFUNCTION("""COMPUTED_VALUE"""),"立花歩")</f>
        <v>立花歩</v>
      </c>
      <c r="F515" s="6" t="s">
        <v>1333</v>
      </c>
    </row>
    <row r="516" spans="1:6" ht="13.8">
      <c r="A516" s="1" t="str">
        <f t="array" aca="1" ref="A516" ca="1">IF(B516="", "", IFERROR(INDEX(声優一覧!A:A, MATCH(B516, 声優一覧!B:B, 0)), "該当なし"))</f>
        <v>va_211</v>
      </c>
      <c r="B516" s="1" t="str">
        <f ca="1">IFERROR(__xludf.DUMMYFUNCTION("""COMPUTED_VALUE"""),"増元拓也")</f>
        <v>増元拓也</v>
      </c>
      <c r="C516" s="1" t="s">
        <v>170</v>
      </c>
      <c r="D516" s="1" t="str">
        <f>IF(C516="", "", IFERROR(VLOOKUP(C516, 作品一覧!A:B, 2, FALSE), "該当なし"))</f>
        <v>ツキプロ</v>
      </c>
      <c r="E516" s="1" t="str">
        <f ca="1">IFERROR(__xludf.DUMMYFUNCTION("""COMPUTED_VALUE"""),"大黒岳")</f>
        <v>大黒岳</v>
      </c>
      <c r="F516" s="6" t="s">
        <v>1334</v>
      </c>
    </row>
    <row r="517" spans="1:6" ht="13.8">
      <c r="A517" s="1" t="str">
        <f t="array" aca="1" ref="A517" ca="1">IF(B517="", "", IFERROR(INDEX(声優一覧!A:A, MATCH(B517, 声優一覧!B:B, 0)), "該当なし"))</f>
        <v>va_082</v>
      </c>
      <c r="B517" s="1" t="str">
        <f ca="1">IFERROR(__xludf.DUMMYFUNCTION("""COMPUTED_VALUE"""),"河本啓佑")</f>
        <v>河本啓佑</v>
      </c>
      <c r="C517" s="1" t="s">
        <v>170</v>
      </c>
      <c r="D517" s="1" t="str">
        <f>IF(C517="", "", IFERROR(VLOOKUP(C517, 作品一覧!A:B, 2, FALSE), "該当なし"))</f>
        <v>ツキプロ</v>
      </c>
      <c r="E517" s="1" t="str">
        <f ca="1">IFERROR(__xludf.DUMMYFUNCTION("""COMPUTED_VALUE"""),"名積ルカ")</f>
        <v>名積ルカ</v>
      </c>
      <c r="F517" s="6" t="s">
        <v>1335</v>
      </c>
    </row>
    <row r="518" spans="1:6" ht="13.8">
      <c r="A518" s="1" t="str">
        <f t="array" aca="1" ref="A518" ca="1">IF(B518="", "", IFERROR(INDEX(声優一覧!A:A, MATCH(B518, 声優一覧!B:B, 0)), "該当なし"))</f>
        <v>va_116</v>
      </c>
      <c r="B518" s="1" t="str">
        <f ca="1">IFERROR(__xludf.DUMMYFUNCTION("""COMPUTED_VALUE"""),"田所陽向")</f>
        <v>田所陽向</v>
      </c>
      <c r="C518" s="1" t="s">
        <v>170</v>
      </c>
      <c r="D518" s="1" t="str">
        <f>IF(C518="", "", IFERROR(VLOOKUP(C518, 作品一覧!A:B, 2, FALSE), "該当なし"))</f>
        <v>ツキプロ</v>
      </c>
      <c r="E518" s="1" t="str">
        <f ca="1">IFERROR(__xludf.DUMMYFUNCTION("""COMPUTED_VALUE"""),"数寄川零")</f>
        <v>数寄川零</v>
      </c>
      <c r="F518" s="6" t="s">
        <v>1336</v>
      </c>
    </row>
    <row r="519" spans="1:6" ht="13.8">
      <c r="A519" s="1" t="str">
        <f t="array" aca="1" ref="A519" ca="1">IF(B519="", "", IFERROR(INDEX(声優一覧!A:A, MATCH(B519, 声優一覧!B:B, 0)), "該当なし"))</f>
        <v>va_231</v>
      </c>
      <c r="B519" s="1" t="str">
        <f ca="1">IFERROR(__xludf.DUMMYFUNCTION("""COMPUTED_VALUE"""),"千葉瑞己")</f>
        <v>千葉瑞己</v>
      </c>
      <c r="C519" s="1" t="s">
        <v>170</v>
      </c>
      <c r="D519" s="1" t="str">
        <f>IF(C519="", "", IFERROR(VLOOKUP(C519, 作品一覧!A:B, 2, FALSE), "該当なし"))</f>
        <v>ツキプロ</v>
      </c>
      <c r="E519" s="1" t="str">
        <f ca="1">IFERROR(__xludf.DUMMYFUNCTION("""COMPUTED_VALUE"""),"御風呂庵")</f>
        <v>御風呂庵</v>
      </c>
      <c r="F519" s="6" t="s">
        <v>1337</v>
      </c>
    </row>
    <row r="520" spans="1:6" ht="13.8">
      <c r="A520" s="1" t="str">
        <f t="array" aca="1" ref="A520" ca="1">IF(B520="", "", IFERROR(INDEX(声優一覧!A:A, MATCH(B520, 声優一覧!B:B, 0)), "該当なし"))</f>
        <v>va_156</v>
      </c>
      <c r="B520" s="1" t="str">
        <f ca="1">IFERROR(__xludf.DUMMYFUNCTION("""COMPUTED_VALUE"""),"日野聡")</f>
        <v>日野聡</v>
      </c>
      <c r="C520" s="1" t="s">
        <v>241</v>
      </c>
      <c r="D520" s="1" t="str">
        <f>IF(C520="", "", IFERROR(VLOOKUP(C520, 作品一覧!A:B, 2, FALSE), "該当なし"))</f>
        <v>ブラックスター -Theater Starless-</v>
      </c>
      <c r="E520" s="1" t="str">
        <f ca="1">IFERROR(__xludf.DUMMYFUNCTION("""COMPUTED_VALUE"""),"ケイ")</f>
        <v>ケイ</v>
      </c>
      <c r="F520" s="6" t="s">
        <v>1338</v>
      </c>
    </row>
    <row r="521" spans="1:6" ht="13.8">
      <c r="A521" s="1" t="str">
        <f t="array" aca="1" ref="A521" ca="1">IF(B521="", "", IFERROR(INDEX(声優一覧!A:A, MATCH(B521, 声優一覧!B:B, 0)), "該当なし"))</f>
        <v>va_075</v>
      </c>
      <c r="B521" s="1" t="str">
        <f ca="1">IFERROR(__xludf.DUMMYFUNCTION("""COMPUTED_VALUE"""),"小林裕介")</f>
        <v>小林裕介</v>
      </c>
      <c r="C521" s="1" t="s">
        <v>241</v>
      </c>
      <c r="D521" s="1" t="str">
        <f>IF(C521="", "", IFERROR(VLOOKUP(C521, 作品一覧!A:B, 2, FALSE), "該当なし"))</f>
        <v>ブラックスター -Theater Starless-</v>
      </c>
      <c r="E521" s="1" t="str">
        <f ca="1">IFERROR(__xludf.DUMMYFUNCTION("""COMPUTED_VALUE"""),"銀星")</f>
        <v>銀星</v>
      </c>
      <c r="F521" s="6" t="s">
        <v>1339</v>
      </c>
    </row>
    <row r="522" spans="1:6" ht="13.8">
      <c r="A522" s="1" t="str">
        <f t="array" aca="1" ref="A522" ca="1">IF(B522="", "", IFERROR(INDEX(声優一覧!A:A, MATCH(B522, 声優一覧!B:B, 0)), "該当なし"))</f>
        <v>va_058</v>
      </c>
      <c r="B522" s="1" t="str">
        <f ca="1">IFERROR(__xludf.DUMMYFUNCTION("""COMPUTED_VALUE"""),"河西健吾")</f>
        <v>河西健吾</v>
      </c>
      <c r="C522" s="1" t="s">
        <v>241</v>
      </c>
      <c r="D522" s="1" t="str">
        <f>IF(C522="", "", IFERROR(VLOOKUP(C522, 作品一覧!A:B, 2, FALSE), "該当なし"))</f>
        <v>ブラックスター -Theater Starless-</v>
      </c>
      <c r="E522" s="1" t="str">
        <f ca="1">IFERROR(__xludf.DUMMYFUNCTION("""COMPUTED_VALUE"""),"夜光")</f>
        <v>夜光</v>
      </c>
      <c r="F522" s="6" t="s">
        <v>1340</v>
      </c>
    </row>
    <row r="523" spans="1:6" ht="13.8">
      <c r="A523" s="1" t="str">
        <f t="array" aca="1" ref="A523" ca="1">IF(B523="", "", IFERROR(INDEX(声優一覧!A:A, MATCH(B523, 声優一覧!B:B, 0)), "該当なし"))</f>
        <v>va_217</v>
      </c>
      <c r="B523" s="1" t="str">
        <f ca="1">IFERROR(__xludf.DUMMYFUNCTION("""COMPUTED_VALUE"""),"竹内良太")</f>
        <v>竹内良太</v>
      </c>
      <c r="C523" s="1" t="s">
        <v>241</v>
      </c>
      <c r="D523" s="1" t="str">
        <f>IF(C523="", "", IFERROR(VLOOKUP(C523, 作品一覧!A:B, 2, FALSE), "該当なし"))</f>
        <v>ブラックスター -Theater Starless-</v>
      </c>
      <c r="E523" s="1" t="str">
        <f ca="1">IFERROR(__xludf.DUMMYFUNCTION("""COMPUTED_VALUE"""),"ソテツ")</f>
        <v>ソテツ</v>
      </c>
      <c r="F523" s="6" t="s">
        <v>1341</v>
      </c>
    </row>
    <row r="524" spans="1:6" ht="13.8">
      <c r="A524" s="1" t="str">
        <f t="array" aca="1" ref="A524" ca="1">IF(B524="", "", IFERROR(INDEX(声優一覧!A:A, MATCH(B524, 声優一覧!B:B, 0)), "該当なし"))</f>
        <v>va_013</v>
      </c>
      <c r="B524" s="1" t="str">
        <f ca="1">IFERROR(__xludf.DUMMYFUNCTION("""COMPUTED_VALUE"""),"石川界人")</f>
        <v>石川界人</v>
      </c>
      <c r="C524" s="1" t="s">
        <v>241</v>
      </c>
      <c r="D524" s="1" t="str">
        <f>IF(C524="", "", IFERROR(VLOOKUP(C524, 作品一覧!A:B, 2, FALSE), "該当なし"))</f>
        <v>ブラックスター -Theater Starless-</v>
      </c>
      <c r="E524" s="1" t="str">
        <f ca="1">IFERROR(__xludf.DUMMYFUNCTION("""COMPUTED_VALUE"""),"ギィ")</f>
        <v>ギィ</v>
      </c>
      <c r="F524" s="6" t="s">
        <v>1342</v>
      </c>
    </row>
    <row r="525" spans="1:6" ht="13.8">
      <c r="A525" s="1" t="str">
        <f t="array" aca="1" ref="A525" ca="1">IF(B525="", "", IFERROR(INDEX(声優一覧!A:A, MATCH(B525, 声優一覧!B:B, 0)), "該当なし"))</f>
        <v>va_117</v>
      </c>
      <c r="B525" s="1" t="str">
        <f ca="1">IFERROR(__xludf.DUMMYFUNCTION("""COMPUTED_VALUE"""),"田丸篤志")</f>
        <v>田丸篤志</v>
      </c>
      <c r="C525" s="1" t="s">
        <v>241</v>
      </c>
      <c r="D525" s="1" t="str">
        <f>IF(C525="", "", IFERROR(VLOOKUP(C525, 作品一覧!A:B, 2, FALSE), "該当なし"))</f>
        <v>ブラックスター -Theater Starless-</v>
      </c>
      <c r="E525" s="1" t="str">
        <f ca="1">IFERROR(__xludf.DUMMYFUNCTION("""COMPUTED_VALUE"""),"吉野")</f>
        <v>吉野</v>
      </c>
      <c r="F525" s="6" t="s">
        <v>1343</v>
      </c>
    </row>
    <row r="526" spans="1:6" ht="13.8">
      <c r="A526" s="1" t="str">
        <f t="array" aca="1" ref="A526" ca="1">IF(B526="", "", IFERROR(INDEX(声優一覧!A:A, MATCH(B526, 声優一覧!B:B, 0)), "該当なし"))</f>
        <v>va_081</v>
      </c>
      <c r="B526" s="1" t="str">
        <f ca="1">IFERROR(__xludf.DUMMYFUNCTION("""COMPUTED_VALUE"""),"近藤隆")</f>
        <v>近藤隆</v>
      </c>
      <c r="C526" s="1" t="s">
        <v>241</v>
      </c>
      <c r="D526" s="1" t="str">
        <f>IF(C526="", "", IFERROR(VLOOKUP(C526, 作品一覧!A:B, 2, FALSE), "該当なし"))</f>
        <v>ブラックスター -Theater Starless-</v>
      </c>
      <c r="E526" s="1" t="str">
        <f ca="1">IFERROR(__xludf.DUMMYFUNCTION("""COMPUTED_VALUE"""),"黒曜")</f>
        <v>黒曜</v>
      </c>
      <c r="F526" s="6" t="s">
        <v>1344</v>
      </c>
    </row>
    <row r="527" spans="1:6" ht="13.8">
      <c r="A527" s="1" t="str">
        <f t="array" aca="1" ref="A527" ca="1">IF(B527="", "", IFERROR(INDEX(声優一覧!A:A, MATCH(B527, 声優一覧!B:B, 0)), "該当なし"))</f>
        <v>va_232</v>
      </c>
      <c r="B527" s="1" t="str">
        <f ca="1">IFERROR(__xludf.DUMMYFUNCTION("""COMPUTED_VALUE"""),"沖野晃司")</f>
        <v>沖野晃司</v>
      </c>
      <c r="C527" s="1" t="s">
        <v>241</v>
      </c>
      <c r="D527" s="1" t="str">
        <f>IF(C527="", "", IFERROR(VLOOKUP(C527, 作品一覧!A:B, 2, FALSE), "該当なし"))</f>
        <v>ブラックスター -Theater Starless-</v>
      </c>
      <c r="E527" s="1" t="str">
        <f ca="1">IFERROR(__xludf.DUMMYFUNCTION("""COMPUTED_VALUE"""),"晶")</f>
        <v>晶</v>
      </c>
      <c r="F527" s="6" t="s">
        <v>1345</v>
      </c>
    </row>
    <row r="528" spans="1:6" ht="13.8">
      <c r="A528" s="1" t="str">
        <f t="array" aca="1" ref="A528" ca="1">IF(B528="", "", IFERROR(INDEX(声優一覧!A:A, MATCH(B528, 声優一覧!B:B, 0)), "該当なし"))</f>
        <v>va_120</v>
      </c>
      <c r="B528" s="1" t="str">
        <f ca="1">IFERROR(__xludf.DUMMYFUNCTION("""COMPUTED_VALUE"""),"津田健次郎")</f>
        <v>津田健次郎</v>
      </c>
      <c r="C528" s="1" t="s">
        <v>241</v>
      </c>
      <c r="D528" s="1" t="str">
        <f>IF(C528="", "", IFERROR(VLOOKUP(C528, 作品一覧!A:B, 2, FALSE), "該当なし"))</f>
        <v>ブラックスター -Theater Starless-</v>
      </c>
      <c r="E528" s="1" t="str">
        <f ca="1">IFERROR(__xludf.DUMMYFUNCTION("""COMPUTED_VALUE"""),"シン")</f>
        <v>シン</v>
      </c>
      <c r="F528" s="6" t="s">
        <v>1346</v>
      </c>
    </row>
    <row r="529" spans="1:6" ht="13.8">
      <c r="A529" s="1" t="str">
        <f t="array" aca="1" ref="A529" ca="1">IF(B529="", "", IFERROR(INDEX(声優一覧!A:A, MATCH(B529, 声優一覧!B:B, 0)), "該当なし"))</f>
        <v>va_201</v>
      </c>
      <c r="B529" s="1" t="str">
        <f ca="1">IFERROR(__xludf.DUMMYFUNCTION("""COMPUTED_VALUE"""),"新垣樽助")</f>
        <v>新垣樽助</v>
      </c>
      <c r="C529" s="1" t="s">
        <v>241</v>
      </c>
      <c r="D529" s="1" t="str">
        <f>IF(C529="", "", IFERROR(VLOOKUP(C529, 作品一覧!A:B, 2, FALSE), "該当なし"))</f>
        <v>ブラックスター -Theater Starless-</v>
      </c>
      <c r="E529" s="1" t="str">
        <f ca="1">IFERROR(__xludf.DUMMYFUNCTION("""COMPUTED_VALUE"""),"鷹見")</f>
        <v>鷹見</v>
      </c>
      <c r="F529" s="6" t="s">
        <v>1347</v>
      </c>
    </row>
    <row r="530" spans="1:6" ht="13.8">
      <c r="A530" s="1" t="str">
        <f t="array" aca="1" ref="A530" ca="1">IF(B530="", "", IFERROR(INDEX(声優一覧!A:A, MATCH(B530, 声優一覧!B:B, 0)), "該当なし"))</f>
        <v>va_233</v>
      </c>
      <c r="B530" s="1" t="str">
        <f ca="1">IFERROR(__xludf.DUMMYFUNCTION("""COMPUTED_VALUE"""),"秋谷啓斗")</f>
        <v>秋谷啓斗</v>
      </c>
      <c r="C530" s="1" t="s">
        <v>241</v>
      </c>
      <c r="D530" s="1" t="str">
        <f>IF(C530="", "", IFERROR(VLOOKUP(C530, 作品一覧!A:B, 2, FALSE), "該当なし"))</f>
        <v>ブラックスター -Theater Starless-</v>
      </c>
      <c r="E530" s="1" t="str">
        <f ca="1">IFERROR(__xludf.DUMMYFUNCTION("""COMPUTED_VALUE"""),"大牙")</f>
        <v>大牙</v>
      </c>
      <c r="F530" s="6" t="s">
        <v>1348</v>
      </c>
    </row>
    <row r="531" spans="1:6" ht="13.8">
      <c r="A531" s="1" t="str">
        <f t="array" aca="1" ref="A531" ca="1">IF(B531="", "", IFERROR(INDEX(声優一覧!A:A, MATCH(B531, 声優一覧!B:B, 0)), "該当なし"))</f>
        <v>va_134</v>
      </c>
      <c r="B531" s="1" t="str">
        <f ca="1">IFERROR(__xludf.DUMMYFUNCTION("""COMPUTED_VALUE"""),"中島ヨシキ")</f>
        <v>中島ヨシキ</v>
      </c>
      <c r="C531" s="1" t="s">
        <v>241</v>
      </c>
      <c r="D531" s="1" t="str">
        <f>IF(C531="", "", IFERROR(VLOOKUP(C531, 作品一覧!A:B, 2, FALSE), "該当なし"))</f>
        <v>ブラックスター -Theater Starless-</v>
      </c>
      <c r="E531" s="1" t="str">
        <f ca="1">IFERROR(__xludf.DUMMYFUNCTION("""COMPUTED_VALUE"""),"リンドウ")</f>
        <v>リンドウ</v>
      </c>
      <c r="F531" s="6" t="s">
        <v>1349</v>
      </c>
    </row>
    <row r="532" spans="1:6" ht="13.8">
      <c r="A532" s="1" t="str">
        <f t="array" aca="1" ref="A532" ca="1">IF(B532="", "", IFERROR(INDEX(声優一覧!A:A, MATCH(B532, 声優一覧!B:B, 0)), "該当なし"))</f>
        <v>va_183</v>
      </c>
      <c r="B532" s="1" t="str">
        <f ca="1">IFERROR(__xludf.DUMMYFUNCTION("""COMPUTED_VALUE"""),"村瀬歩")</f>
        <v>村瀬歩</v>
      </c>
      <c r="C532" s="1" t="s">
        <v>241</v>
      </c>
      <c r="D532" s="1" t="str">
        <f>IF(C532="", "", IFERROR(VLOOKUP(C532, 作品一覧!A:B, 2, FALSE), "該当なし"))</f>
        <v>ブラックスター -Theater Starless-</v>
      </c>
      <c r="E532" s="1" t="str">
        <f ca="1">IFERROR(__xludf.DUMMYFUNCTION("""COMPUTED_VALUE"""),"マイカ")</f>
        <v>マイカ</v>
      </c>
      <c r="F532" s="6" t="s">
        <v>1350</v>
      </c>
    </row>
    <row r="533" spans="1:6" ht="13.8">
      <c r="A533" s="1" t="str">
        <f t="array" aca="1" ref="A533" ca="1">IF(B533="", "", IFERROR(INDEX(声優一覧!A:A, MATCH(B533, 声優一覧!B:B, 0)), "該当なし"))</f>
        <v>va_083</v>
      </c>
      <c r="B533" s="1" t="str">
        <f ca="1">IFERROR(__xludf.DUMMYFUNCTION("""COMPUTED_VALUE"""),"斉藤壮馬")</f>
        <v>斉藤壮馬</v>
      </c>
      <c r="C533" s="1" t="s">
        <v>241</v>
      </c>
      <c r="D533" s="1" t="str">
        <f>IF(C533="", "", IFERROR(VLOOKUP(C533, 作品一覧!A:B, 2, FALSE), "該当なし"))</f>
        <v>ブラックスター -Theater Starless-</v>
      </c>
      <c r="E533" s="1" t="str">
        <f ca="1">IFERROR(__xludf.DUMMYFUNCTION("""COMPUTED_VALUE"""),"メノウ")</f>
        <v>メノウ</v>
      </c>
      <c r="F533" s="6" t="s">
        <v>1351</v>
      </c>
    </row>
    <row r="534" spans="1:6" ht="13.8">
      <c r="A534" s="1" t="str">
        <f t="array" aca="1" ref="A534" ca="1">IF(B534="", "", IFERROR(INDEX(声優一覧!A:A, MATCH(B534, 声優一覧!B:B, 0)), "該当なし"))</f>
        <v>va_037</v>
      </c>
      <c r="B534" s="1" t="str">
        <f ca="1">IFERROR(__xludf.DUMMYFUNCTION("""COMPUTED_VALUE"""),"逢坂良太")</f>
        <v>逢坂良太</v>
      </c>
      <c r="C534" s="1" t="s">
        <v>241</v>
      </c>
      <c r="D534" s="1" t="str">
        <f>IF(C534="", "", IFERROR(VLOOKUP(C534, 作品一覧!A:B, 2, FALSE), "該当なし"))</f>
        <v>ブラックスター -Theater Starless-</v>
      </c>
      <c r="E534" s="1" t="str">
        <f ca="1">IFERROR(__xludf.DUMMYFUNCTION("""COMPUTED_VALUE"""),"真珠")</f>
        <v>真珠</v>
      </c>
      <c r="F534" s="6" t="s">
        <v>1352</v>
      </c>
    </row>
    <row r="535" spans="1:6" ht="13.8">
      <c r="A535" s="1" t="str">
        <f t="array" aca="1" ref="A535" ca="1">IF(B535="", "", IFERROR(INDEX(声優一覧!A:A, MATCH(B535, 声優一覧!B:B, 0)), "該当なし"))</f>
        <v>va_148</v>
      </c>
      <c r="B535" s="1" t="str">
        <f ca="1">IFERROR(__xludf.DUMMYFUNCTION("""COMPUTED_VALUE"""),"羽多野渉")</f>
        <v>羽多野渉</v>
      </c>
      <c r="C535" s="1" t="s">
        <v>241</v>
      </c>
      <c r="D535" s="1" t="str">
        <f>IF(C535="", "", IFERROR(VLOOKUP(C535, 作品一覧!A:B, 2, FALSE), "該当なし"))</f>
        <v>ブラックスター -Theater Starless-</v>
      </c>
      <c r="E535" s="1" t="str">
        <f ca="1">IFERROR(__xludf.DUMMYFUNCTION("""COMPUTED_VALUE"""),"ネコメ")</f>
        <v>ネコメ</v>
      </c>
      <c r="F535" s="6" t="s">
        <v>1353</v>
      </c>
    </row>
    <row r="536" spans="1:6" ht="13.8">
      <c r="A536" s="1" t="str">
        <f t="array" aca="1" ref="A536" ca="1">IF(B536="", "", IFERROR(INDEX(声優一覧!A:A, MATCH(B536, 声優一覧!B:B, 0)), "該当なし"))</f>
        <v>va_042</v>
      </c>
      <c r="B536" s="1" t="str">
        <f ca="1">IFERROR(__xludf.DUMMYFUNCTION("""COMPUTED_VALUE"""),"岡本信彦")</f>
        <v>岡本信彦</v>
      </c>
      <c r="C536" s="1" t="s">
        <v>241</v>
      </c>
      <c r="D536" s="1" t="str">
        <f>IF(C536="", "", IFERROR(VLOOKUP(C536, 作品一覧!A:B, 2, FALSE), "該当なし"))</f>
        <v>ブラックスター -Theater Starless-</v>
      </c>
      <c r="E536" s="1" t="str">
        <f ca="1">IFERROR(__xludf.DUMMYFUNCTION("""COMPUTED_VALUE"""),"ミズキ")</f>
        <v>ミズキ</v>
      </c>
      <c r="F536" s="6" t="s">
        <v>1354</v>
      </c>
    </row>
    <row r="537" spans="1:6" ht="13.8">
      <c r="A537" s="1" t="str">
        <f t="array" aca="1" ref="A537" ca="1">IF(B537="", "", IFERROR(INDEX(声優一覧!A:A, MATCH(B537, 声優一覧!B:B, 0)), "該当なし"))</f>
        <v>va_038</v>
      </c>
      <c r="B537" s="1" t="str">
        <f ca="1">IFERROR(__xludf.DUMMYFUNCTION("""COMPUTED_VALUE"""),"小笠原仁")</f>
        <v>小笠原仁</v>
      </c>
      <c r="C537" s="1" t="s">
        <v>241</v>
      </c>
      <c r="D537" s="1" t="str">
        <f>IF(C537="", "", IFERROR(VLOOKUP(C537, 作品一覧!A:B, 2, FALSE), "該当なし"))</f>
        <v>ブラックスター -Theater Starless-</v>
      </c>
      <c r="E537" s="1" t="str">
        <f ca="1">IFERROR(__xludf.DUMMYFUNCTION("""COMPUTED_VALUE"""),"リコ")</f>
        <v>リコ</v>
      </c>
      <c r="F537" s="6" t="s">
        <v>1355</v>
      </c>
    </row>
    <row r="538" spans="1:6" ht="13.8">
      <c r="A538" s="1" t="str">
        <f t="array" aca="1" ref="A538" ca="1">IF(B538="", "", IFERROR(INDEX(声優一覧!A:A, MATCH(B538, 声優一覧!B:B, 0)), "該当なし"))</f>
        <v>va_234</v>
      </c>
      <c r="B538" s="1" t="str">
        <f ca="1">IFERROR(__xludf.DUMMYFUNCTION("""COMPUTED_VALUE"""),"井出卓也")</f>
        <v>井出卓也</v>
      </c>
      <c r="C538" s="1" t="s">
        <v>241</v>
      </c>
      <c r="D538" s="1" t="str">
        <f>IF(C538="", "", IFERROR(VLOOKUP(C538, 作品一覧!A:B, 2, FALSE), "該当なし"))</f>
        <v>ブラックスター -Theater Starless-</v>
      </c>
      <c r="E538" s="1" t="str">
        <f ca="1">IFERROR(__xludf.DUMMYFUNCTION("""COMPUTED_VALUE"""),"ヒース")</f>
        <v>ヒース</v>
      </c>
      <c r="F538" s="6" t="s">
        <v>1356</v>
      </c>
    </row>
    <row r="539" spans="1:6" ht="13.8">
      <c r="A539" s="1" t="str">
        <f t="array" aca="1" ref="A539" ca="1">IF(B539="", "", IFERROR(INDEX(声優一覧!A:A, MATCH(B539, 声優一覧!B:B, 0)), "該当なし"))</f>
        <v>va_006</v>
      </c>
      <c r="B539" s="1" t="str">
        <f ca="1">IFERROR(__xludf.DUMMYFUNCTION("""COMPUTED_VALUE"""),"阿部敦")</f>
        <v>阿部敦</v>
      </c>
      <c r="C539" s="1" t="s">
        <v>241</v>
      </c>
      <c r="D539" s="1" t="str">
        <f>IF(C539="", "", IFERROR(VLOOKUP(C539, 作品一覧!A:B, 2, FALSE), "該当なし"))</f>
        <v>ブラックスター -Theater Starless-</v>
      </c>
      <c r="E539" s="1" t="str">
        <f ca="1">IFERROR(__xludf.DUMMYFUNCTION("""COMPUTED_VALUE"""),"藍")</f>
        <v>藍</v>
      </c>
      <c r="F539" s="6" t="s">
        <v>1357</v>
      </c>
    </row>
    <row r="540" spans="1:6" ht="13.8">
      <c r="A540" s="1" t="str">
        <f t="array" aca="1" ref="A540" ca="1">IF(B540="", "", IFERROR(INDEX(声優一覧!A:A, MATCH(B540, 声優一覧!B:B, 0)), "該当なし"))</f>
        <v>va_116</v>
      </c>
      <c r="B540" s="1" t="str">
        <f ca="1">IFERROR(__xludf.DUMMYFUNCTION("""COMPUTED_VALUE"""),"田所陽向")</f>
        <v>田所陽向</v>
      </c>
      <c r="C540" s="1" t="s">
        <v>241</v>
      </c>
      <c r="D540" s="1" t="str">
        <f>IF(C540="", "", IFERROR(VLOOKUP(C540, 作品一覧!A:B, 2, FALSE), "該当なし"))</f>
        <v>ブラックスター -Theater Starless-</v>
      </c>
      <c r="E540" s="1" t="str">
        <f ca="1">IFERROR(__xludf.DUMMYFUNCTION("""COMPUTED_VALUE"""),"金剛")</f>
        <v>金剛</v>
      </c>
      <c r="F540" s="6" t="s">
        <v>1358</v>
      </c>
    </row>
    <row r="541" spans="1:6" ht="13.8">
      <c r="A541" s="1" t="str">
        <f t="array" aca="1" ref="A541" ca="1">IF(B541="", "", IFERROR(INDEX(声優一覧!A:A, MATCH(B541, 声優一覧!B:B, 0)), "該当なし"))</f>
        <v>va_193</v>
      </c>
      <c r="B541" s="1" t="str">
        <f ca="1">IFERROR(__xludf.DUMMYFUNCTION("""COMPUTED_VALUE"""),"山下大輝")</f>
        <v>山下大輝</v>
      </c>
      <c r="C541" s="1" t="s">
        <v>241</v>
      </c>
      <c r="D541" s="1" t="str">
        <f>IF(C541="", "", IFERROR(VLOOKUP(C541, 作品一覧!A:B, 2, FALSE), "該当なし"))</f>
        <v>ブラックスター -Theater Starless-</v>
      </c>
      <c r="E541" s="1" t="str">
        <f ca="1">IFERROR(__xludf.DUMMYFUNCTION("""COMPUTED_VALUE"""),"ヒナタ")</f>
        <v>ヒナタ</v>
      </c>
      <c r="F541" s="6" t="s">
        <v>1359</v>
      </c>
    </row>
    <row r="542" spans="1:6" ht="13.8">
      <c r="A542" s="1" t="str">
        <f t="array" aca="1" ref="A542" ca="1">IF(B542="", "", IFERROR(INDEX(声優一覧!A:A, MATCH(B542, 声優一覧!B:B, 0)), "該当なし"))</f>
        <v>va_096</v>
      </c>
      <c r="B542" s="1" t="str">
        <f ca="1">IFERROR(__xludf.DUMMYFUNCTION("""COMPUTED_VALUE"""),"白井悠介")</f>
        <v>白井悠介</v>
      </c>
      <c r="C542" s="1" t="s">
        <v>241</v>
      </c>
      <c r="D542" s="1" t="str">
        <f>IF(C542="", "", IFERROR(VLOOKUP(C542, 作品一覧!A:B, 2, FALSE), "該当なし"))</f>
        <v>ブラックスター -Theater Starless-</v>
      </c>
      <c r="E542" s="1" t="str">
        <f ca="1">IFERROR(__xludf.DUMMYFUNCTION("""COMPUTED_VALUE"""),"柘榴")</f>
        <v>柘榴</v>
      </c>
      <c r="F542" s="6" t="s">
        <v>1360</v>
      </c>
    </row>
    <row r="543" spans="1:6" ht="13.8">
      <c r="A543" s="1" t="str">
        <f t="array" aca="1" ref="A543" ca="1">IF(B543="", "", IFERROR(INDEX(声優一覧!A:A, MATCH(B543, 声優一覧!B:B, 0)), "該当なし"))</f>
        <v>va_235</v>
      </c>
      <c r="B543" s="1" t="str">
        <f ca="1">IFERROR(__xludf.DUMMYFUNCTION("""COMPUTED_VALUE"""),"株元英彰")</f>
        <v>株元英彰</v>
      </c>
      <c r="C543" s="1" t="s">
        <v>241</v>
      </c>
      <c r="D543" s="1" t="str">
        <f>IF(C543="", "", IFERROR(VLOOKUP(C543, 作品一覧!A:B, 2, FALSE), "該当なし"))</f>
        <v>ブラックスター -Theater Starless-</v>
      </c>
      <c r="E543" s="1" t="str">
        <f ca="1">IFERROR(__xludf.DUMMYFUNCTION("""COMPUTED_VALUE"""),"玻璃")</f>
        <v>玻璃</v>
      </c>
      <c r="F543" s="6" t="s">
        <v>1361</v>
      </c>
    </row>
    <row r="544" spans="1:6" ht="13.8">
      <c r="A544" s="1" t="str">
        <f t="array" aca="1" ref="A544" ca="1">IF(B544="", "", IFERROR(INDEX(声優一覧!A:A, MATCH(B544, 声優一覧!B:B, 0)), "該当なし"))</f>
        <v>va_157</v>
      </c>
      <c r="B544" s="1" t="str">
        <f ca="1">IFERROR(__xludf.DUMMYFUNCTION("""COMPUTED_VALUE"""),"平川大輔")</f>
        <v>平川大輔</v>
      </c>
      <c r="C544" s="1" t="s">
        <v>241</v>
      </c>
      <c r="D544" s="1" t="str">
        <f>IF(C544="", "", IFERROR(VLOOKUP(C544, 作品一覧!A:B, 2, FALSE), "該当なし"))</f>
        <v>ブラックスター -Theater Starless-</v>
      </c>
      <c r="E544" s="1" t="str">
        <f ca="1">IFERROR(__xludf.DUMMYFUNCTION("""COMPUTED_VALUE"""),"カスミ")</f>
        <v>カスミ</v>
      </c>
      <c r="F544" s="6" t="s">
        <v>1362</v>
      </c>
    </row>
    <row r="545" spans="1:6" ht="13.8">
      <c r="A545" s="1" t="str">
        <f t="array" aca="1" ref="A545" ca="1">IF(B545="", "", IFERROR(INDEX(声優一覧!A:A, MATCH(B545, 声優一覧!B:B, 0)), "該当なし"))</f>
        <v>va_188</v>
      </c>
      <c r="B545" s="1" t="str">
        <f ca="1">IFERROR(__xludf.DUMMYFUNCTION("""COMPUTED_VALUE"""),"八代拓")</f>
        <v>八代拓</v>
      </c>
      <c r="C545" s="1" t="s">
        <v>241</v>
      </c>
      <c r="D545" s="1" t="str">
        <f>IF(C545="", "", IFERROR(VLOOKUP(C545, 作品一覧!A:B, 2, FALSE), "該当なし"))</f>
        <v>ブラックスター -Theater Starless-</v>
      </c>
      <c r="E545" s="1" t="str">
        <f ca="1">IFERROR(__xludf.DUMMYFUNCTION("""COMPUTED_VALUE"""),"青桐")</f>
        <v>青桐</v>
      </c>
      <c r="F545" s="6" t="s">
        <v>1363</v>
      </c>
    </row>
    <row r="546" spans="1:6" ht="13.8">
      <c r="A546" s="1" t="str">
        <f t="array" aca="1" ref="A546" ca="1">IF(B546="", "", IFERROR(INDEX(声優一覧!A:A, MATCH(B546, 声優一覧!B:B, 0)), "該当なし"))</f>
        <v>va_125</v>
      </c>
      <c r="B546" s="1" t="str">
        <f ca="1">IFERROR(__xludf.DUMMYFUNCTION("""COMPUTED_VALUE"""),"寺島拓篤")</f>
        <v>寺島拓篤</v>
      </c>
      <c r="C546" s="1" t="s">
        <v>52</v>
      </c>
      <c r="D546" s="1" t="str">
        <f>IF(C546="", "", IFERROR(VLOOKUP(C546, 作品一覧!A:B, 2, FALSE), "該当なし"))</f>
        <v>うたの☆プリンスさまっ♪</v>
      </c>
      <c r="E546" s="1" t="str">
        <f ca="1">IFERROR(__xludf.DUMMYFUNCTION("""COMPUTED_VALUE"""),"一十木音也")</f>
        <v>一十木音也</v>
      </c>
      <c r="F546" s="6" t="s">
        <v>1364</v>
      </c>
    </row>
    <row r="547" spans="1:6" ht="13.8">
      <c r="A547" s="1" t="str">
        <f t="array" aca="1" ref="A547" ca="1">IF(B547="", "", IFERROR(INDEX(声優一覧!A:A, MATCH(B547, 声優一覧!B:B, 0)), "該当なし"))</f>
        <v>va_227</v>
      </c>
      <c r="B547" s="1" t="str">
        <f ca="1">IFERROR(__xludf.DUMMYFUNCTION("""COMPUTED_VALUE"""),"鈴村健一")</f>
        <v>鈴村健一</v>
      </c>
      <c r="C547" s="1" t="s">
        <v>52</v>
      </c>
      <c r="D547" s="1" t="str">
        <f>IF(C547="", "", IFERROR(VLOOKUP(C547, 作品一覧!A:B, 2, FALSE), "該当なし"))</f>
        <v>うたの☆プリンスさまっ♪</v>
      </c>
      <c r="E547" s="1" t="str">
        <f ca="1">IFERROR(__xludf.DUMMYFUNCTION("""COMPUTED_VALUE"""),"聖川真斗")</f>
        <v>聖川真斗</v>
      </c>
      <c r="F547" s="6" t="s">
        <v>1365</v>
      </c>
    </row>
    <row r="548" spans="1:6" ht="13.8">
      <c r="A548" s="1" t="str">
        <f t="array" aca="1" ref="A548" ca="1">IF(B548="", "", IFERROR(INDEX(声優一覧!A:A, MATCH(B548, 声優一覧!B:B, 0)), "該当なし"))</f>
        <v>va_115</v>
      </c>
      <c r="B548" s="1" t="str">
        <f ca="1">IFERROR(__xludf.DUMMYFUNCTION("""COMPUTED_VALUE"""),"谷山紀章")</f>
        <v>谷山紀章</v>
      </c>
      <c r="C548" s="1" t="s">
        <v>52</v>
      </c>
      <c r="D548" s="1" t="str">
        <f>IF(C548="", "", IFERROR(VLOOKUP(C548, 作品一覧!A:B, 2, FALSE), "該当なし"))</f>
        <v>うたの☆プリンスさまっ♪</v>
      </c>
      <c r="E548" s="1" t="str">
        <f ca="1">IFERROR(__xludf.DUMMYFUNCTION("""COMPUTED_VALUE"""),"四ノ宮那月")</f>
        <v>四ノ宮那月</v>
      </c>
      <c r="F548" s="6" t="s">
        <v>1366</v>
      </c>
    </row>
    <row r="549" spans="1:6" ht="13.8">
      <c r="A549" s="1" t="str">
        <f t="array" aca="1" ref="A549" ca="1">IF(B549="", "", IFERROR(INDEX(声優一覧!A:A, MATCH(B549, 声優一覧!B:B, 0)), "該当なし"))</f>
        <v>va_236</v>
      </c>
      <c r="B549" s="1" t="str">
        <f ca="1">IFERROR(__xludf.DUMMYFUNCTION("""COMPUTED_VALUE"""),"宮野真守")</f>
        <v>宮野真守</v>
      </c>
      <c r="C549" s="1" t="s">
        <v>52</v>
      </c>
      <c r="D549" s="1" t="str">
        <f>IF(C549="", "", IFERROR(VLOOKUP(C549, 作品一覧!A:B, 2, FALSE), "該当なし"))</f>
        <v>うたの☆プリンスさまっ♪</v>
      </c>
      <c r="E549" s="1" t="str">
        <f ca="1">IFERROR(__xludf.DUMMYFUNCTION("""COMPUTED_VALUE"""),"一ノ瀬トキヤ")</f>
        <v>一ノ瀬トキヤ</v>
      </c>
      <c r="F549" s="6" t="s">
        <v>1367</v>
      </c>
    </row>
    <row r="550" spans="1:6" ht="13.8">
      <c r="A550" s="1" t="str">
        <f t="array" aca="1" ref="A550" ca="1">IF(B550="", "", IFERROR(INDEX(声優一覧!A:A, MATCH(B550, 声優一覧!B:B, 0)), "該当なし"))</f>
        <v>va_102</v>
      </c>
      <c r="B550" s="1" t="str">
        <f ca="1">IFERROR(__xludf.DUMMYFUNCTION("""COMPUTED_VALUE"""),"諏訪部順一")</f>
        <v>諏訪部順一</v>
      </c>
      <c r="C550" s="1" t="s">
        <v>52</v>
      </c>
      <c r="D550" s="1" t="str">
        <f>IF(C550="", "", IFERROR(VLOOKUP(C550, 作品一覧!A:B, 2, FALSE), "該当なし"))</f>
        <v>うたの☆プリンスさまっ♪</v>
      </c>
      <c r="E550" s="1" t="str">
        <f ca="1">IFERROR(__xludf.DUMMYFUNCTION("""COMPUTED_VALUE"""),"神宮寺レン")</f>
        <v>神宮寺レン</v>
      </c>
      <c r="F550" s="6" t="s">
        <v>1368</v>
      </c>
    </row>
    <row r="551" spans="1:6" ht="13.8">
      <c r="A551" s="1" t="str">
        <f t="array" aca="1" ref="A551" ca="1">IF(B551="", "", IFERROR(INDEX(声優一覧!A:A, MATCH(B551, 声優一覧!B:B, 0)), "該当なし"))</f>
        <v>va_095</v>
      </c>
      <c r="B551" s="1" t="str">
        <f ca="1">IFERROR(__xludf.DUMMYFUNCTION("""COMPUTED_VALUE"""),"下野紘")</f>
        <v>下野紘</v>
      </c>
      <c r="C551" s="1" t="s">
        <v>52</v>
      </c>
      <c r="D551" s="1" t="str">
        <f>IF(C551="", "", IFERROR(VLOOKUP(C551, 作品一覧!A:B, 2, FALSE), "該当なし"))</f>
        <v>うたの☆プリンスさまっ♪</v>
      </c>
      <c r="E551" s="1" t="str">
        <f ca="1">IFERROR(__xludf.DUMMYFUNCTION("""COMPUTED_VALUE"""),"来栖翔")</f>
        <v>来栖翔</v>
      </c>
      <c r="F551" s="6" t="s">
        <v>1369</v>
      </c>
    </row>
    <row r="552" spans="1:6" ht="13.8">
      <c r="A552" s="1" t="str">
        <f t="array" aca="1" ref="A552" ca="1">IF(B552="", "", IFERROR(INDEX(声優一覧!A:A, MATCH(B552, 声優一覧!B:B, 0)), "該当なし"))</f>
        <v>va_132</v>
      </c>
      <c r="B552" s="1" t="str">
        <f ca="1">IFERROR(__xludf.DUMMYFUNCTION("""COMPUTED_VALUE"""),"鳥海浩輔")</f>
        <v>鳥海浩輔</v>
      </c>
      <c r="C552" s="1" t="s">
        <v>52</v>
      </c>
      <c r="D552" s="1" t="str">
        <f>IF(C552="", "", IFERROR(VLOOKUP(C552, 作品一覧!A:B, 2, FALSE), "該当なし"))</f>
        <v>うたの☆プリンスさまっ♪</v>
      </c>
      <c r="E552" s="1" t="str">
        <f ca="1">IFERROR(__xludf.DUMMYFUNCTION("""COMPUTED_VALUE"""),"愛島セシル")</f>
        <v>愛島セシル</v>
      </c>
      <c r="F552" s="6" t="s">
        <v>1370</v>
      </c>
    </row>
    <row r="553" spans="1:6" ht="13.8">
      <c r="A553" s="1" t="str">
        <f t="array" aca="1" ref="A553" ca="1">IF(B553="", "", IFERROR(INDEX(声優一覧!A:A, MATCH(B553, 声優一覧!B:B, 0)), "該当なし"))</f>
        <v>va_185</v>
      </c>
      <c r="B553" s="1" t="str">
        <f ca="1">IFERROR(__xludf.DUMMYFUNCTION("""COMPUTED_VALUE"""),"森久保祥太郎")</f>
        <v>森久保祥太郎</v>
      </c>
      <c r="C553" s="1" t="s">
        <v>52</v>
      </c>
      <c r="D553" s="1" t="str">
        <f>IF(C553="", "", IFERROR(VLOOKUP(C553, 作品一覧!A:B, 2, FALSE), "該当なし"))</f>
        <v>うたの☆プリンスさまっ♪</v>
      </c>
      <c r="E553" s="1" t="str">
        <f ca="1">IFERROR(__xludf.DUMMYFUNCTION("""COMPUTED_VALUE"""),"寿嶺二")</f>
        <v>寿嶺二</v>
      </c>
      <c r="F553" s="6" t="s">
        <v>1371</v>
      </c>
    </row>
    <row r="554" spans="1:6" ht="13.8">
      <c r="A554" s="1" t="str">
        <f t="array" aca="1" ref="A554" ca="1">IF(B554="", "", IFERROR(INDEX(声優一覧!A:A, MATCH(B554, 声優一覧!B:B, 0)), "該当なし"))</f>
        <v>va_237</v>
      </c>
      <c r="B554" s="1" t="str">
        <f ca="1">IFERROR(__xludf.DUMMYFUNCTION("""COMPUTED_VALUE"""),"鈴木達央")</f>
        <v>鈴木達央</v>
      </c>
      <c r="C554" s="1" t="s">
        <v>52</v>
      </c>
      <c r="D554" s="1" t="str">
        <f>IF(C554="", "", IFERROR(VLOOKUP(C554, 作品一覧!A:B, 2, FALSE), "該当なし"))</f>
        <v>うたの☆プリンスさまっ♪</v>
      </c>
      <c r="E554" s="1" t="str">
        <f ca="1">IFERROR(__xludf.DUMMYFUNCTION("""COMPUTED_VALUE"""),"黒崎蘭丸")</f>
        <v>黒崎蘭丸</v>
      </c>
      <c r="F554" s="6" t="s">
        <v>1372</v>
      </c>
    </row>
    <row r="555" spans="1:6" ht="13.8">
      <c r="A555" s="1" t="str">
        <f t="array" aca="1" ref="A555" ca="1">IF(B555="", "", IFERROR(INDEX(声優一覧!A:A, MATCH(B555, 声優一覧!B:B, 0)), "該当なし"))</f>
        <v>va_009</v>
      </c>
      <c r="B555" s="1" t="str">
        <f ca="1">IFERROR(__xludf.DUMMYFUNCTION("""COMPUTED_VALUE"""),"蒼井翔太")</f>
        <v>蒼井翔太</v>
      </c>
      <c r="C555" s="1" t="s">
        <v>52</v>
      </c>
      <c r="D555" s="1" t="str">
        <f>IF(C555="", "", IFERROR(VLOOKUP(C555, 作品一覧!A:B, 2, FALSE), "該当なし"))</f>
        <v>うたの☆プリンスさまっ♪</v>
      </c>
      <c r="E555" s="1" t="str">
        <f ca="1">IFERROR(__xludf.DUMMYFUNCTION("""COMPUTED_VALUE"""),"美風藍")</f>
        <v>美風藍</v>
      </c>
      <c r="F555" s="6" t="s">
        <v>1373</v>
      </c>
    </row>
    <row r="556" spans="1:6" ht="13.8">
      <c r="A556" s="1" t="str">
        <f t="array" aca="1" ref="A556" ca="1">IF(B556="", "", IFERROR(INDEX(声優一覧!A:A, MATCH(B556, 声優一覧!B:B, 0)), "該当なし"))</f>
        <v>va_169</v>
      </c>
      <c r="B556" s="1" t="str">
        <f ca="1">IFERROR(__xludf.DUMMYFUNCTION("""COMPUTED_VALUE"""),"前野智昭")</f>
        <v>前野智昭</v>
      </c>
      <c r="C556" s="1" t="s">
        <v>52</v>
      </c>
      <c r="D556" s="1" t="str">
        <f>IF(C556="", "", IFERROR(VLOOKUP(C556, 作品一覧!A:B, 2, FALSE), "該当なし"))</f>
        <v>うたの☆プリンスさまっ♪</v>
      </c>
      <c r="E556" s="1" t="str">
        <f ca="1">IFERROR(__xludf.DUMMYFUNCTION("""COMPUTED_VALUE"""),"カミュ")</f>
        <v>カミュ</v>
      </c>
      <c r="F556" s="6" t="s">
        <v>1374</v>
      </c>
    </row>
    <row r="557" spans="1:6" ht="13.8">
      <c r="A557" s="1" t="str">
        <f t="array" aca="1" ref="A557" ca="1">IF(B557="", "", IFERROR(INDEX(声優一覧!A:A, MATCH(B557, 声優一覧!B:B, 0)), "該当なし"))</f>
        <v>va_180</v>
      </c>
      <c r="B557" s="1" t="str">
        <f ca="1">IFERROR(__xludf.DUMMYFUNCTION("""COMPUTED_VALUE"""),"緑川光")</f>
        <v>緑川光</v>
      </c>
      <c r="C557" s="1" t="s">
        <v>52</v>
      </c>
      <c r="D557" s="1" t="str">
        <f>IF(C557="", "", IFERROR(VLOOKUP(C557, 作品一覧!A:B, 2, FALSE), "該当なし"))</f>
        <v>うたの☆プリンスさまっ♪</v>
      </c>
      <c r="E557" s="1" t="str">
        <f ca="1">IFERROR(__xludf.DUMMYFUNCTION("""COMPUTED_VALUE"""),"鳳瑛一")</f>
        <v>鳳瑛一</v>
      </c>
      <c r="F557" s="6" t="s">
        <v>1375</v>
      </c>
    </row>
    <row r="558" spans="1:6" ht="13.8">
      <c r="A558" s="1" t="str">
        <f t="array" aca="1" ref="A558" ca="1">IF(B558="", "", IFERROR(INDEX(声優一覧!A:A, MATCH(B558, 声優一覧!B:B, 0)), "該当なし"))</f>
        <v>va_238</v>
      </c>
      <c r="B558" s="1" t="str">
        <f ca="1">IFERROR(__xludf.DUMMYFUNCTION("""COMPUTED_VALUE"""),"小野大輔")</f>
        <v>小野大輔</v>
      </c>
      <c r="C558" s="1" t="s">
        <v>52</v>
      </c>
      <c r="D558" s="1" t="str">
        <f>IF(C558="", "", IFERROR(VLOOKUP(C558, 作品一覧!A:B, 2, FALSE), "該当なし"))</f>
        <v>うたの☆プリンスさまっ♪</v>
      </c>
      <c r="E558" s="1" t="str">
        <f ca="1">IFERROR(__xludf.DUMMYFUNCTION("""COMPUTED_VALUE"""),"皇綺羅")</f>
        <v>皇綺羅</v>
      </c>
      <c r="F558" s="6" t="s">
        <v>1376</v>
      </c>
    </row>
    <row r="559" spans="1:6" ht="13.8">
      <c r="A559" s="1" t="str">
        <f t="array" aca="1" ref="A559" ca="1">IF(B559="", "", IFERROR(INDEX(声優一覧!A:A, MATCH(B559, 声優一覧!B:B, 0)), "該当なし"))</f>
        <v>va_198</v>
      </c>
      <c r="B559" s="1" t="str">
        <f ca="1">IFERROR(__xludf.DUMMYFUNCTION("""COMPUTED_VALUE"""),"代永翼")</f>
        <v>代永翼</v>
      </c>
      <c r="C559" s="1" t="s">
        <v>52</v>
      </c>
      <c r="D559" s="1" t="str">
        <f>IF(C559="", "", IFERROR(VLOOKUP(C559, 作品一覧!A:B, 2, FALSE), "該当なし"))</f>
        <v>うたの☆プリンスさまっ♪</v>
      </c>
      <c r="E559" s="1" t="str">
        <f ca="1">IFERROR(__xludf.DUMMYFUNCTION("""COMPUTED_VALUE"""),"帝ナギ")</f>
        <v>帝ナギ</v>
      </c>
      <c r="F559" s="6" t="s">
        <v>1377</v>
      </c>
    </row>
    <row r="560" spans="1:6" ht="13.8">
      <c r="A560" s="1" t="str">
        <f t="array" aca="1" ref="A560" ca="1">IF(B560="", "", IFERROR(INDEX(声優一覧!A:A, MATCH(B560, 声優一覧!B:B, 0)), "該当なし"))</f>
        <v>va_030</v>
      </c>
      <c r="B560" s="1" t="str">
        <f ca="1">IFERROR(__xludf.DUMMYFUNCTION("""COMPUTED_VALUE"""),"内田雄馬")</f>
        <v>内田雄馬</v>
      </c>
      <c r="C560" s="1" t="s">
        <v>52</v>
      </c>
      <c r="D560" s="1" t="str">
        <f>IF(C560="", "", IFERROR(VLOOKUP(C560, 作品一覧!A:B, 2, FALSE), "該当なし"))</f>
        <v>うたの☆プリンスさまっ♪</v>
      </c>
      <c r="E560" s="1" t="str">
        <f ca="1">IFERROR(__xludf.DUMMYFUNCTION("""COMPUTED_VALUE"""),"鳳瑛二")</f>
        <v>鳳瑛二</v>
      </c>
      <c r="F560" s="6" t="s">
        <v>1378</v>
      </c>
    </row>
    <row r="561" spans="1:6" ht="13.8">
      <c r="A561" s="1" t="str">
        <f t="array" aca="1" ref="A561" ca="1">IF(B561="", "", IFERROR(INDEX(声優一覧!A:A, MATCH(B561, 声優一覧!B:B, 0)), "該当なし"))</f>
        <v>va_110</v>
      </c>
      <c r="B561" s="1" t="str">
        <f ca="1">IFERROR(__xludf.DUMMYFUNCTION("""COMPUTED_VALUE"""),"高橋英則")</f>
        <v>高橋英則</v>
      </c>
      <c r="C561" s="1" t="s">
        <v>52</v>
      </c>
      <c r="D561" s="1" t="str">
        <f>IF(C561="", "", IFERROR(VLOOKUP(C561, 作品一覧!A:B, 2, FALSE), "該当なし"))</f>
        <v>うたの☆プリンスさまっ♪</v>
      </c>
      <c r="E561" s="1" t="str">
        <f ca="1">IFERROR(__xludf.DUMMYFUNCTION("""COMPUTED_VALUE"""),"桐生院ヴァン")</f>
        <v>桐生院ヴァン</v>
      </c>
      <c r="F561" s="6" t="s">
        <v>1379</v>
      </c>
    </row>
    <row r="562" spans="1:6" ht="13.8">
      <c r="A562" s="1" t="str">
        <f t="array" aca="1" ref="A562" ca="1">IF(B562="", "", IFERROR(INDEX(声優一覧!A:A, MATCH(B562, 声優一覧!B:B, 0)), "該当なし"))</f>
        <v>va_066</v>
      </c>
      <c r="B562" s="1" t="str">
        <f ca="1">IFERROR(__xludf.DUMMYFUNCTION("""COMPUTED_VALUE"""),"木村良平")</f>
        <v>木村良平</v>
      </c>
      <c r="C562" s="1" t="s">
        <v>52</v>
      </c>
      <c r="D562" s="1" t="str">
        <f>IF(C562="", "", IFERROR(VLOOKUP(C562, 作品一覧!A:B, 2, FALSE), "該当なし"))</f>
        <v>うたの☆プリンスさまっ♪</v>
      </c>
      <c r="E562" s="1" t="str">
        <f ca="1">IFERROR(__xludf.DUMMYFUNCTION("""COMPUTED_VALUE"""),"日向大和")</f>
        <v>日向大和</v>
      </c>
      <c r="F562" s="6" t="s">
        <v>1380</v>
      </c>
    </row>
    <row r="563" spans="1:6" ht="13.8">
      <c r="A563" s="1" t="str">
        <f t="array" aca="1" ref="A563" ca="1">IF(B563="", "", IFERROR(INDEX(声優一覧!A:A, MATCH(B563, 声優一覧!B:B, 0)), "該当なし"))</f>
        <v>va_193</v>
      </c>
      <c r="B563" s="1" t="str">
        <f ca="1">IFERROR(__xludf.DUMMYFUNCTION("""COMPUTED_VALUE"""),"山下大輝")</f>
        <v>山下大輝</v>
      </c>
      <c r="C563" s="1" t="s">
        <v>52</v>
      </c>
      <c r="D563" s="1" t="str">
        <f>IF(C563="", "", IFERROR(VLOOKUP(C563, 作品一覧!A:B, 2, FALSE), "該当なし"))</f>
        <v>うたの☆プリンスさまっ♪</v>
      </c>
      <c r="E563" s="1" t="str">
        <f ca="1">IFERROR(__xludf.DUMMYFUNCTION("""COMPUTED_VALUE"""),"天草シオン")</f>
        <v>天草シオン</v>
      </c>
      <c r="F563" s="6" t="s">
        <v>1381</v>
      </c>
    </row>
    <row r="564" spans="1:6" ht="13.8">
      <c r="A564" s="1" t="str">
        <f t="array" aca="1" ref="A564" ca="1">IF(B564="", "", IFERROR(INDEX(声優一覧!A:A, MATCH(B564, 声優一覧!B:B, 0)), "該当なし"))</f>
        <v>va_200</v>
      </c>
      <c r="B564" s="1" t="str">
        <f ca="1">IFERROR(__xludf.DUMMYFUNCTION("""COMPUTED_VALUE"""),"KENN")</f>
        <v>KENN</v>
      </c>
      <c r="C564" s="1" t="s">
        <v>18</v>
      </c>
      <c r="D564" s="1" t="str">
        <f>IF(C564="", "", IFERROR(VLOOKUP(C564, 作品一覧!A:B, 2, FALSE), "該当なし"))</f>
        <v>アイ★チュウ</v>
      </c>
      <c r="E564" s="1" t="str">
        <f ca="1">IFERROR(__xludf.DUMMYFUNCTION("""COMPUTED_VALUE"""),"愛童星夜")</f>
        <v>愛童星夜</v>
      </c>
      <c r="F564" s="6" t="s">
        <v>1382</v>
      </c>
    </row>
    <row r="565" spans="1:6" ht="13.8">
      <c r="A565" s="1" t="str">
        <f t="array" aca="1" ref="A565" ca="1">IF(B565="", "", IFERROR(INDEX(声優一覧!A:A, MATCH(B565, 声優一覧!B:B, 0)), "該当なし"))</f>
        <v>va_012</v>
      </c>
      <c r="B565" s="1" t="str">
        <f ca="1">IFERROR(__xludf.DUMMYFUNCTION("""COMPUTED_VALUE"""),"井口祐一")</f>
        <v>井口祐一</v>
      </c>
      <c r="C565" s="1" t="s">
        <v>18</v>
      </c>
      <c r="D565" s="1" t="str">
        <f>IF(C565="", "", IFERROR(VLOOKUP(C565, 作品一覧!A:B, 2, FALSE), "該当なし"))</f>
        <v>アイ★チュウ</v>
      </c>
      <c r="E565" s="1" t="str">
        <f ca="1">IFERROR(__xludf.DUMMYFUNCTION("""COMPUTED_VALUE"""),"湊奏多")</f>
        <v>湊奏多</v>
      </c>
      <c r="F565" s="6" t="s">
        <v>1383</v>
      </c>
    </row>
    <row r="566" spans="1:6" ht="13.8">
      <c r="A566" s="1" t="str">
        <f t="array" aca="1" ref="A566" ca="1">IF(B566="", "", IFERROR(INDEX(声優一覧!A:A, MATCH(B566, 声優一覧!B:B, 0)), "該当なし"))</f>
        <v>va_131</v>
      </c>
      <c r="B566" s="1" t="str">
        <f ca="1">IFERROR(__xludf.DUMMYFUNCTION("""COMPUTED_VALUE"""),"豊永利行")</f>
        <v>豊永利行</v>
      </c>
      <c r="C566" s="1" t="s">
        <v>18</v>
      </c>
      <c r="D566" s="1" t="str">
        <f>IF(C566="", "", IFERROR(VLOOKUP(C566, 作品一覧!A:B, 2, FALSE), "該当なし"))</f>
        <v>アイ★チュウ</v>
      </c>
      <c r="E566" s="1" t="str">
        <f ca="1">IFERROR(__xludf.DUMMYFUNCTION("""COMPUTED_VALUE"""),"御剣晃")</f>
        <v>御剣晃</v>
      </c>
      <c r="F566" s="6" t="s">
        <v>1384</v>
      </c>
    </row>
    <row r="567" spans="1:6" ht="13.8">
      <c r="A567" s="1" t="str">
        <f t="array" aca="1" ref="A567" ca="1">IF(B567="", "", IFERROR(INDEX(声優一覧!A:A, MATCH(B567, 声優一覧!B:B, 0)), "該当なし"))</f>
        <v>va_185</v>
      </c>
      <c r="B567" s="1" t="str">
        <f ca="1">IFERROR(__xludf.DUMMYFUNCTION("""COMPUTED_VALUE"""),"森久保祥太郎")</f>
        <v>森久保祥太郎</v>
      </c>
      <c r="C567" s="1" t="s">
        <v>18</v>
      </c>
      <c r="D567" s="1" t="str">
        <f>IF(C567="", "", IFERROR(VLOOKUP(C567, 作品一覧!A:B, 2, FALSE), "該当なし"))</f>
        <v>アイ★チュウ</v>
      </c>
      <c r="E567" s="1" t="str">
        <f ca="1">IFERROR(__xludf.DUMMYFUNCTION("""COMPUTED_VALUE"""),"枢木皐月")</f>
        <v>枢木皐月</v>
      </c>
      <c r="F567" s="6" t="s">
        <v>1385</v>
      </c>
    </row>
    <row r="568" spans="1:6" ht="13.8">
      <c r="A568" s="1" t="str">
        <f t="array" aca="1" ref="A568" ca="1">IF(B568="", "", IFERROR(INDEX(声優一覧!A:A, MATCH(B568, 声優一覧!B:B, 0)), "該当なし"))</f>
        <v>va_081</v>
      </c>
      <c r="B568" s="1" t="str">
        <f ca="1">IFERROR(__xludf.DUMMYFUNCTION("""COMPUTED_VALUE"""),"近藤隆")</f>
        <v>近藤隆</v>
      </c>
      <c r="C568" s="1" t="s">
        <v>18</v>
      </c>
      <c r="D568" s="1" t="str">
        <f>IF(C568="", "", IFERROR(VLOOKUP(C568, 作品一覧!A:B, 2, FALSE), "該当なし"))</f>
        <v>アイ★チュウ</v>
      </c>
      <c r="E568" s="1" t="str">
        <f ca="1">IFERROR(__xludf.DUMMYFUNCTION("""COMPUTED_VALUE"""),"枢木睦月")</f>
        <v>枢木睦月</v>
      </c>
      <c r="F568" s="6" t="s">
        <v>1386</v>
      </c>
    </row>
    <row r="569" spans="1:6" ht="13.8">
      <c r="A569" s="1" t="str">
        <f t="array" aca="1" ref="A569" ca="1">IF(B569="", "", IFERROR(INDEX(声優一覧!A:A, MATCH(B569, 声優一覧!B:B, 0)), "該当なし"))</f>
        <v>va_150</v>
      </c>
      <c r="B569" s="1" t="str">
        <f ca="1">IFERROR(__xludf.DUMMYFUNCTION("""COMPUTED_VALUE"""),"花江夏樹")</f>
        <v>花江夏樹</v>
      </c>
      <c r="C569" s="1" t="s">
        <v>18</v>
      </c>
      <c r="D569" s="1" t="str">
        <f>IF(C569="", "", IFERROR(VLOOKUP(C569, 作品一覧!A:B, 2, FALSE), "該当なし"))</f>
        <v>アイ★チュウ</v>
      </c>
      <c r="E569" s="1" t="str">
        <f ca="1">IFERROR(__xludf.DUMMYFUNCTION("""COMPUTED_VALUE"""),"ノア")</f>
        <v>ノア</v>
      </c>
      <c r="F569" s="6" t="s">
        <v>1387</v>
      </c>
    </row>
    <row r="570" spans="1:6" ht="13.8">
      <c r="A570" s="1" t="str">
        <f t="array" aca="1" ref="A570" ca="1">IF(B570="", "", IFERROR(INDEX(声優一覧!A:A, MATCH(B570, 声優一覧!B:B, 0)), "該当なし"))</f>
        <v>va_172</v>
      </c>
      <c r="B570" s="1" t="str">
        <f ca="1">IFERROR(__xludf.DUMMYFUNCTION("""COMPUTED_VALUE"""),"増田俊樹")</f>
        <v>増田俊樹</v>
      </c>
      <c r="C570" s="1" t="s">
        <v>18</v>
      </c>
      <c r="D570" s="1" t="str">
        <f>IF(C570="", "", IFERROR(VLOOKUP(C570, 作品一覧!A:B, 2, FALSE), "該当なし"))</f>
        <v>アイ★チュウ</v>
      </c>
      <c r="E570" s="1" t="str">
        <f ca="1">IFERROR(__xludf.DUMMYFUNCTION("""COMPUTED_VALUE"""),"レオン")</f>
        <v>レオン</v>
      </c>
      <c r="F570" s="6" t="s">
        <v>1388</v>
      </c>
    </row>
    <row r="571" spans="1:6" ht="13.8">
      <c r="A571" s="1" t="str">
        <f t="array" aca="1" ref="A571" ca="1">IF(B571="", "", IFERROR(INDEX(声優一覧!A:A, MATCH(B571, 声優一覧!B:B, 0)), "該当なし"))</f>
        <v>va_036</v>
      </c>
      <c r="B571" s="1" t="str">
        <f ca="1">IFERROR(__xludf.DUMMYFUNCTION("""COMPUTED_VALUE"""),"榎木淳弥")</f>
        <v>榎木淳弥</v>
      </c>
      <c r="C571" s="1" t="s">
        <v>18</v>
      </c>
      <c r="D571" s="1" t="str">
        <f>IF(C571="", "", IFERROR(VLOOKUP(C571, 作品一覧!A:B, 2, FALSE), "該当なし"))</f>
        <v>アイ★チュウ</v>
      </c>
      <c r="E571" s="1" t="str">
        <f ca="1">IFERROR(__xludf.DUMMYFUNCTION("""COMPUTED_VALUE"""),"黎朝陽")</f>
        <v>黎朝陽</v>
      </c>
      <c r="F571" s="6" t="s">
        <v>1389</v>
      </c>
    </row>
    <row r="572" spans="1:6" ht="13.8">
      <c r="A572" s="1" t="str">
        <f t="array" aca="1" ref="A572" ca="1">IF(B572="", "", IFERROR(INDEX(声優一覧!A:A, MATCH(B572, 声優一覧!B:B, 0)), "該当なし"))</f>
        <v>va_239</v>
      </c>
      <c r="B572" s="1" t="str">
        <f ca="1">IFERROR(__xludf.DUMMYFUNCTION("""COMPUTED_VALUE"""),"中西尚也")</f>
        <v>中西尚也</v>
      </c>
      <c r="C572" s="1" t="s">
        <v>18</v>
      </c>
      <c r="D572" s="1" t="str">
        <f>IF(C572="", "", IFERROR(VLOOKUP(C572, 作品一覧!A:B, 2, FALSE), "該当なし"))</f>
        <v>アイ★チュウ</v>
      </c>
      <c r="E572" s="1" t="str">
        <f ca="1">IFERROR(__xludf.DUMMYFUNCTION("""COMPUTED_VALUE"""),"ラビ")</f>
        <v>ラビ</v>
      </c>
      <c r="F572" s="6" t="s">
        <v>1390</v>
      </c>
    </row>
    <row r="573" spans="1:6" ht="13.8">
      <c r="A573" s="1" t="str">
        <f t="array" aca="1" ref="A573" ca="1">IF(B573="", "", IFERROR(INDEX(声優一覧!A:A, MATCH(B573, 声優一覧!B:B, 0)), "該当なし"))</f>
        <v>va_033</v>
      </c>
      <c r="B573" s="1" t="str">
        <f ca="1">IFERROR(__xludf.DUMMYFUNCTION("""COMPUTED_VALUE"""),"梅原裕一郎")</f>
        <v>梅原裕一郎</v>
      </c>
      <c r="C573" s="1" t="s">
        <v>18</v>
      </c>
      <c r="D573" s="1" t="str">
        <f>IF(C573="", "", IFERROR(VLOOKUP(C573, 作品一覧!A:B, 2, FALSE), "該当なし"))</f>
        <v>アイ★チュウ</v>
      </c>
      <c r="E573" s="1" t="str">
        <f ca="1">IFERROR(__xludf.DUMMYFUNCTION("""COMPUTED_VALUE"""),"リュカ")</f>
        <v>リュカ</v>
      </c>
      <c r="F573" s="6" t="s">
        <v>1391</v>
      </c>
    </row>
    <row r="574" spans="1:6" ht="13.8">
      <c r="A574" s="1" t="str">
        <f t="array" aca="1" ref="A574" ca="1">IF(B574="", "", IFERROR(INDEX(声優一覧!A:A, MATCH(B574, 声優一覧!B:B, 0)), "該当なし"))</f>
        <v>va_240</v>
      </c>
      <c r="B574" s="1" t="str">
        <f ca="1">IFERROR(__xludf.DUMMYFUNCTION("""COMPUTED_VALUE"""),"生田鷹司")</f>
        <v>生田鷹司</v>
      </c>
      <c r="C574" s="1" t="s">
        <v>18</v>
      </c>
      <c r="D574" s="1" t="str">
        <f>IF(C574="", "", IFERROR(VLOOKUP(C574, 作品一覧!A:B, 2, FALSE), "該当なし"))</f>
        <v>アイ★チュウ</v>
      </c>
      <c r="E574" s="1" t="str">
        <f ca="1">IFERROR(__xludf.DUMMYFUNCTION("""COMPUTED_VALUE"""),"日下部虎彦")</f>
        <v>日下部虎彦</v>
      </c>
      <c r="F574" s="6" t="s">
        <v>1392</v>
      </c>
    </row>
    <row r="575" spans="1:6" ht="13.8">
      <c r="A575" s="1" t="str">
        <f t="array" aca="1" ref="A575" ca="1">IF(B575="", "", IFERROR(INDEX(声優一覧!A:A, MATCH(B575, 声優一覧!B:B, 0)), "該当なし"))</f>
        <v>va_241</v>
      </c>
      <c r="B575" s="1" t="str">
        <f ca="1">IFERROR(__xludf.DUMMYFUNCTION("""COMPUTED_VALUE"""),"花倉桔道")</f>
        <v>花倉桔道</v>
      </c>
      <c r="C575" s="1" t="s">
        <v>18</v>
      </c>
      <c r="D575" s="1" t="str">
        <f>IF(C575="", "", IFERROR(VLOOKUP(C575, 作品一覧!A:B, 2, FALSE), "該当なし"))</f>
        <v>アイ★チュウ</v>
      </c>
      <c r="E575" s="1" t="str">
        <f ca="1">IFERROR(__xludf.DUMMYFUNCTION("""COMPUTED_VALUE"""),"桃井恭介")</f>
        <v>桃井恭介</v>
      </c>
      <c r="F575" s="6" t="s">
        <v>1393</v>
      </c>
    </row>
    <row r="576" spans="1:6" ht="13.8">
      <c r="A576" s="1" t="str">
        <f t="array" aca="1" ref="A576" ca="1">IF(B576="", "", IFERROR(INDEX(声優一覧!A:A, MATCH(B576, 声優一覧!B:B, 0)), "該当なし"))</f>
        <v>va_117</v>
      </c>
      <c r="B576" s="1" t="str">
        <f ca="1">IFERROR(__xludf.DUMMYFUNCTION("""COMPUTED_VALUE"""),"田丸篤志")</f>
        <v>田丸篤志</v>
      </c>
      <c r="C576" s="1" t="s">
        <v>18</v>
      </c>
      <c r="D576" s="1" t="str">
        <f>IF(C576="", "", IFERROR(VLOOKUP(C576, 作品一覧!A:B, 2, FALSE), "該当なし"))</f>
        <v>アイ★チュウ</v>
      </c>
      <c r="E576" s="1" t="str">
        <f ca="1">IFERROR(__xludf.DUMMYFUNCTION("""COMPUTED_VALUE"""),"鳶倉アキヲ")</f>
        <v>鳶倉アキヲ</v>
      </c>
      <c r="F576" s="6" t="s">
        <v>1394</v>
      </c>
    </row>
    <row r="577" spans="1:6" ht="13.8">
      <c r="A577" s="1" t="str">
        <f t="array" aca="1" ref="A577" ca="1">IF(B577="", "", IFERROR(INDEX(声優一覧!A:A, MATCH(B577, 声優一覧!B:B, 0)), "該当なし"))</f>
        <v>va_242</v>
      </c>
      <c r="B577" s="1" t="str">
        <f ca="1">IFERROR(__xludf.DUMMYFUNCTION("""COMPUTED_VALUE"""),"谷地克文")</f>
        <v>谷地克文</v>
      </c>
      <c r="C577" s="1" t="s">
        <v>18</v>
      </c>
      <c r="D577" s="1" t="str">
        <f>IF(C577="", "", IFERROR(VLOOKUP(C577, 作品一覧!A:B, 2, FALSE), "該当なし"))</f>
        <v>アイ★チュウ</v>
      </c>
      <c r="E577" s="1" t="str">
        <f ca="1">IFERROR(__xludf.DUMMYFUNCTION("""COMPUTED_VALUE"""),"海部子規")</f>
        <v>海部子規</v>
      </c>
      <c r="F577" s="6" t="s">
        <v>1395</v>
      </c>
    </row>
    <row r="578" spans="1:6" ht="13.8">
      <c r="A578" s="1" t="str">
        <f t="array" aca="1" ref="A578" ca="1">IF(B578="", "", IFERROR(INDEX(声優一覧!A:A, MATCH(B578, 声優一覧!B:B, 0)), "該当なし"))</f>
        <v>va_173</v>
      </c>
      <c r="B578" s="1" t="str">
        <f ca="1">IFERROR(__xludf.DUMMYFUNCTION("""COMPUTED_VALUE"""),"松岡禎丞")</f>
        <v>松岡禎丞</v>
      </c>
      <c r="C578" s="1" t="s">
        <v>18</v>
      </c>
      <c r="D578" s="1" t="str">
        <f>IF(C578="", "", IFERROR(VLOOKUP(C578, 作品一覧!A:B, 2, FALSE), "該当なし"))</f>
        <v>アイ★チュウ</v>
      </c>
      <c r="E578" s="1" t="str">
        <f ca="1">IFERROR(__xludf.DUMMYFUNCTION("""COMPUTED_VALUE"""),"折原輝")</f>
        <v>折原輝</v>
      </c>
      <c r="F578" s="6" t="s">
        <v>1396</v>
      </c>
    </row>
    <row r="579" spans="1:6" ht="13.8">
      <c r="A579" s="1" t="str">
        <f t="array" aca="1" ref="A579" ca="1">IF(B579="", "", IFERROR(INDEX(声優一覧!A:A, MATCH(B579, 声優一覧!B:B, 0)), "該当なし"))</f>
        <v>va_157</v>
      </c>
      <c r="B579" s="1" t="str">
        <f ca="1">IFERROR(__xludf.DUMMYFUNCTION("""COMPUTED_VALUE"""),"平川大輔")</f>
        <v>平川大輔</v>
      </c>
      <c r="C579" s="1" t="s">
        <v>18</v>
      </c>
      <c r="D579" s="1" t="str">
        <f>IF(C579="", "", IFERROR(VLOOKUP(C579, 作品一覧!A:B, 2, FALSE), "該当なし"))</f>
        <v>アイ★チュウ</v>
      </c>
      <c r="E579" s="1" t="str">
        <f ca="1">IFERROR(__xludf.DUMMYFUNCTION("""COMPUTED_VALUE"""),"若王子楽")</f>
        <v>若王子楽</v>
      </c>
      <c r="F579" s="6" t="s">
        <v>1397</v>
      </c>
    </row>
    <row r="580" spans="1:6" ht="13.8">
      <c r="A580" s="1" t="str">
        <f t="array" aca="1" ref="A580" ca="1">IF(B580="", "", IFERROR(INDEX(声優一覧!A:A, MATCH(B580, 声優一覧!B:B, 0)), "該当なし"))</f>
        <v>va_183</v>
      </c>
      <c r="B580" s="1" t="str">
        <f ca="1">IFERROR(__xludf.DUMMYFUNCTION("""COMPUTED_VALUE"""),"村瀬歩")</f>
        <v>村瀬歩</v>
      </c>
      <c r="C580" s="1" t="s">
        <v>18</v>
      </c>
      <c r="D580" s="1" t="str">
        <f>IF(C580="", "", IFERROR(VLOOKUP(C580, 作品一覧!A:B, 2, FALSE), "該当なし"))</f>
        <v>アイ★チュウ</v>
      </c>
      <c r="E580" s="1" t="str">
        <f ca="1">IFERROR(__xludf.DUMMYFUNCTION("""COMPUTED_VALUE"""),"華房心")</f>
        <v>華房心</v>
      </c>
      <c r="F580" s="6" t="s">
        <v>1398</v>
      </c>
    </row>
    <row r="581" spans="1:6" ht="13.8">
      <c r="A581" s="1" t="str">
        <f t="array" aca="1" ref="A581" ca="1">IF(B581="", "", IFERROR(INDEX(声優一覧!A:A, MATCH(B581, 声優一覧!B:B, 0)), "該当なし"))</f>
        <v>va_007</v>
      </c>
      <c r="B581" s="1" t="str">
        <f ca="1">IFERROR(__xludf.DUMMYFUNCTION("""COMPUTED_VALUE"""),"天﨑滉平")</f>
        <v>天﨑滉平</v>
      </c>
      <c r="C581" s="1" t="s">
        <v>18</v>
      </c>
      <c r="D581" s="1" t="str">
        <f>IF(C581="", "", IFERROR(VLOOKUP(C581, 作品一覧!A:B, 2, FALSE), "該当なし"))</f>
        <v>アイ★チュウ</v>
      </c>
      <c r="E581" s="1" t="str">
        <f ca="1">IFERROR(__xludf.DUMMYFUNCTION("""COMPUTED_VALUE"""),"神楽坂ルナ")</f>
        <v>神楽坂ルナ</v>
      </c>
      <c r="F581" s="6" t="s">
        <v>1399</v>
      </c>
    </row>
    <row r="582" spans="1:6" ht="13.8">
      <c r="A582" s="1" t="str">
        <f t="array" aca="1" ref="A582" ca="1">IF(B582="", "", IFERROR(INDEX(声優一覧!A:A, MATCH(B582, 声優一覧!B:B, 0)), "該当なし"))</f>
        <v>va_195</v>
      </c>
      <c r="B582" s="1" t="str">
        <f ca="1">IFERROR(__xludf.DUMMYFUNCTION("""COMPUTED_VALUE"""),"山本和臣")</f>
        <v>山本和臣</v>
      </c>
      <c r="C582" s="1" t="s">
        <v>18</v>
      </c>
      <c r="D582" s="1" t="str">
        <f>IF(C582="", "", IFERROR(VLOOKUP(C582, 作品一覧!A:B, 2, FALSE), "該当なし"))</f>
        <v>アイ★チュウ</v>
      </c>
      <c r="E582" s="1" t="str">
        <f ca="1">IFERROR(__xludf.DUMMYFUNCTION("""COMPUTED_VALUE"""),"及川桃助")</f>
        <v>及川桃助</v>
      </c>
      <c r="F582" s="6" t="s">
        <v>1400</v>
      </c>
    </row>
    <row r="583" spans="1:6" ht="13.8">
      <c r="A583" s="1" t="str">
        <f t="array" aca="1" ref="A583" ca="1">IF(B583="", "", IFERROR(INDEX(声優一覧!A:A, MATCH(B583, 声優一覧!B:B, 0)), "該当なし"))</f>
        <v>va_169</v>
      </c>
      <c r="B583" s="1" t="str">
        <f ca="1">IFERROR(__xludf.DUMMYFUNCTION("""COMPUTED_VALUE"""),"前野智昭")</f>
        <v>前野智昭</v>
      </c>
      <c r="C583" s="1" t="s">
        <v>18</v>
      </c>
      <c r="D583" s="1" t="str">
        <f>IF(C583="", "", IFERROR(VLOOKUP(C583, 作品一覧!A:B, 2, FALSE), "該当なし"))</f>
        <v>アイ★チュウ</v>
      </c>
      <c r="E583" s="1" t="str">
        <f ca="1">IFERROR(__xludf.DUMMYFUNCTION("""COMPUTED_VALUE"""),"轟一誠")</f>
        <v>轟一誠</v>
      </c>
      <c r="F583" s="6" t="s">
        <v>1401</v>
      </c>
    </row>
    <row r="584" spans="1:6" ht="13.8">
      <c r="A584" s="1" t="str">
        <f t="array" aca="1" ref="A584" ca="1">IF(B584="", "", IFERROR(INDEX(声優一覧!A:A, MATCH(B584, 声優一覧!B:B, 0)), "該当なし"))</f>
        <v>va_030</v>
      </c>
      <c r="B584" s="1" t="str">
        <f ca="1">IFERROR(__xludf.DUMMYFUNCTION("""COMPUTED_VALUE"""),"内田雄馬")</f>
        <v>内田雄馬</v>
      </c>
      <c r="C584" s="1" t="s">
        <v>18</v>
      </c>
      <c r="D584" s="1" t="str">
        <f>IF(C584="", "", IFERROR(VLOOKUP(C584, 作品一覧!A:B, 2, FALSE), "該当なし"))</f>
        <v>アイ★チュウ</v>
      </c>
      <c r="E584" s="1" t="str">
        <f ca="1">IFERROR(__xludf.DUMMYFUNCTION("""COMPUTED_VALUE"""),"赤羽根双海")</f>
        <v>赤羽根双海</v>
      </c>
      <c r="F584" s="6" t="s">
        <v>1402</v>
      </c>
    </row>
    <row r="585" spans="1:6" ht="13.8">
      <c r="A585" s="1" t="str">
        <f t="array" aca="1" ref="A585" ca="1">IF(B585="", "", IFERROR(INDEX(声優一覧!A:A, MATCH(B585, 声優一覧!B:B, 0)), "該当なし"))</f>
        <v>va_096</v>
      </c>
      <c r="B585" s="1" t="str">
        <f ca="1">IFERROR(__xludf.DUMMYFUNCTION("""COMPUTED_VALUE"""),"白井悠介")</f>
        <v>白井悠介</v>
      </c>
      <c r="C585" s="1" t="s">
        <v>18</v>
      </c>
      <c r="D585" s="1" t="str">
        <f>IF(C585="", "", IFERROR(VLOOKUP(C585, 作品一覧!A:B, 2, FALSE), "該当なし"))</f>
        <v>アイ★チュウ</v>
      </c>
      <c r="E585" s="1" t="str">
        <f ca="1">IFERROR(__xludf.DUMMYFUNCTION("""COMPUTED_VALUE"""),"三千院鷹通")</f>
        <v>三千院鷹通</v>
      </c>
      <c r="F585" s="6" t="s">
        <v>1403</v>
      </c>
    </row>
    <row r="586" spans="1:6" ht="13.8">
      <c r="A586" s="1" t="str">
        <f t="array" aca="1" ref="A586" ca="1">IF(B586="", "", IFERROR(INDEX(声優一覧!A:A, MATCH(B586, 声優一覧!B:B, 0)), "該当なし"))</f>
        <v>va_095</v>
      </c>
      <c r="B586" s="1" t="str">
        <f ca="1">IFERROR(__xludf.DUMMYFUNCTION("""COMPUTED_VALUE"""),"下野紘")</f>
        <v>下野紘</v>
      </c>
      <c r="C586" s="1" t="s">
        <v>18</v>
      </c>
      <c r="D586" s="1" t="str">
        <f>IF(C586="", "", IFERROR(VLOOKUP(C586, 作品一覧!A:B, 2, FALSE), "該当なし"))</f>
        <v>アイ★チュウ</v>
      </c>
      <c r="E586" s="1" t="str">
        <f ca="1">IFERROR(__xludf.DUMMYFUNCTION("""COMPUTED_VALUE"""),"エヴァ・アームストロング")</f>
        <v>エヴァ・アームストロング</v>
      </c>
      <c r="F586" s="6" t="s">
        <v>1404</v>
      </c>
    </row>
    <row r="587" spans="1:6" ht="13.8">
      <c r="A587" s="1" t="str">
        <f t="array" aca="1" ref="A587" ca="1">IF(B587="", "", IFERROR(INDEX(声優一覧!A:A, MATCH(B587, 声優一覧!B:B, 0)), "該当なし"))</f>
        <v>va_048</v>
      </c>
      <c r="B587" s="1" t="str">
        <f ca="1">IFERROR(__xludf.DUMMYFUNCTION("""COMPUTED_VALUE"""),"柿原徹也")</f>
        <v>柿原徹也</v>
      </c>
      <c r="C587" s="1" t="s">
        <v>18</v>
      </c>
      <c r="D587" s="1" t="str">
        <f>IF(C587="", "", IFERROR(VLOOKUP(C587, 作品一覧!A:B, 2, FALSE), "該当なし"))</f>
        <v>アイ★チュウ</v>
      </c>
      <c r="E587" s="1" t="str">
        <f ca="1">IFERROR(__xludf.DUMMYFUNCTION("""COMPUTED_VALUE"""),"山野辺澪")</f>
        <v>山野辺澪</v>
      </c>
      <c r="F587" s="6" t="s">
        <v>1405</v>
      </c>
    </row>
    <row r="588" spans="1:6" ht="13.8">
      <c r="A588" s="1" t="str">
        <f t="array" aca="1" ref="A588" ca="1">IF(B588="", "", IFERROR(INDEX(声優一覧!A:A, MATCH(B588, 声優一覧!B:B, 0)), "該当なし"))</f>
        <v>va_243</v>
      </c>
      <c r="B588" s="1" t="str">
        <f ca="1">IFERROR(__xludf.DUMMYFUNCTION("""COMPUTED_VALUE"""),"下妻由幸")</f>
        <v>下妻由幸</v>
      </c>
      <c r="C588" s="1" t="s">
        <v>18</v>
      </c>
      <c r="D588" s="1" t="str">
        <f>IF(C588="", "", IFERROR(VLOOKUP(C588, 作品一覧!A:B, 2, FALSE), "該当なし"))</f>
        <v>アイ★チュウ</v>
      </c>
      <c r="E588" s="1" t="str">
        <f ca="1">IFERROR(__xludf.DUMMYFUNCTION("""COMPUTED_VALUE"""),"十文字蛮")</f>
        <v>十文字蛮</v>
      </c>
      <c r="F588" s="6" t="s">
        <v>1406</v>
      </c>
    </row>
    <row r="589" spans="1:6" ht="13.8">
      <c r="A589" s="1" t="str">
        <f t="array" aca="1" ref="A589" ca="1">IF(B589="", "", IFERROR(INDEX(声優一覧!A:A, MATCH(B589, 声優一覧!B:B, 0)), "該当なし"))</f>
        <v>va_046</v>
      </c>
      <c r="B589" s="1" t="str">
        <f ca="1">IFERROR(__xludf.DUMMYFUNCTION("""COMPUTED_VALUE"""),"小野友樹")</f>
        <v>小野友樹</v>
      </c>
      <c r="C589" s="1" t="s">
        <v>18</v>
      </c>
      <c r="D589" s="1" t="str">
        <f>IF(C589="", "", IFERROR(VLOOKUP(C589, 作品一覧!A:B, 2, FALSE), "該当なし"))</f>
        <v>アイ★チュウ</v>
      </c>
      <c r="E589" s="1" t="str">
        <f ca="1">IFERROR(__xludf.DUMMYFUNCTION("""COMPUTED_VALUE"""),"竜胆椿")</f>
        <v>竜胆椿</v>
      </c>
      <c r="F589" s="6" t="s">
        <v>1407</v>
      </c>
    </row>
    <row r="590" spans="1:6" ht="13.8">
      <c r="A590" s="1" t="str">
        <f t="array" aca="1" ref="A590" ca="1">IF(B590="", "", IFERROR(INDEX(声優一覧!A:A, MATCH(B590, 声優一覧!B:B, 0)), "該当なし"))</f>
        <v>va_244</v>
      </c>
      <c r="B590" s="1" t="str">
        <f ca="1">IFERROR(__xludf.DUMMYFUNCTION("""COMPUTED_VALUE"""),"峰岸佳")</f>
        <v>峰岸佳</v>
      </c>
      <c r="C590" s="1" t="s">
        <v>18</v>
      </c>
      <c r="D590" s="1" t="str">
        <f>IF(C590="", "", IFERROR(VLOOKUP(C590, 作品一覧!A:B, 2, FALSE), "該当なし"))</f>
        <v>アイ★チュウ</v>
      </c>
      <c r="E590" s="1" t="str">
        <f ca="1">IFERROR(__xludf.DUMMYFUNCTION("""COMPUTED_VALUE"""),"朴木十夜")</f>
        <v>朴木十夜</v>
      </c>
      <c r="F590" s="6" t="s">
        <v>1408</v>
      </c>
    </row>
    <row r="591" spans="1:6" ht="13.8">
      <c r="A591" s="1" t="str">
        <f t="array" aca="1" ref="A591" ca="1">IF(B591="", "", IFERROR(INDEX(声優一覧!A:A, MATCH(B591, 声優一覧!B:B, 0)), "該当なし"))</f>
        <v>va_083</v>
      </c>
      <c r="B591" s="1" t="str">
        <f ca="1">IFERROR(__xludf.DUMMYFUNCTION("""COMPUTED_VALUE"""),"斉藤壮馬")</f>
        <v>斉藤壮馬</v>
      </c>
      <c r="C591" s="1" t="s">
        <v>18</v>
      </c>
      <c r="D591" s="1" t="str">
        <f>IF(C591="", "", IFERROR(VLOOKUP(C591, 作品一覧!A:B, 2, FALSE), "該当なし"))</f>
        <v>アイ★チュウ</v>
      </c>
      <c r="E591" s="1" t="str">
        <f ca="1">IFERROR(__xludf.DUMMYFUNCTION("""COMPUTED_VALUE"""),"斑尾巽")</f>
        <v>斑尾巽</v>
      </c>
      <c r="F591" s="6" t="s">
        <v>1409</v>
      </c>
    </row>
    <row r="592" spans="1:6" ht="13.8">
      <c r="A592" s="1" t="str">
        <f t="array" aca="1" ref="A592" ca="1">IF(B592="", "", IFERROR(INDEX(声優一覧!A:A, MATCH(B592, 声優一覧!B:B, 0)), "該当なし"))</f>
        <v>va_066</v>
      </c>
      <c r="B592" s="1" t="str">
        <f ca="1">IFERROR(__xludf.DUMMYFUNCTION("""COMPUTED_VALUE"""),"木村良平")</f>
        <v>木村良平</v>
      </c>
      <c r="C592" s="1" t="s">
        <v>18</v>
      </c>
      <c r="D592" s="1" t="str">
        <f>IF(C592="", "", IFERROR(VLOOKUP(C592, 作品一覧!A:B, 2, FALSE), "該当なし"))</f>
        <v>アイ★チュウ</v>
      </c>
      <c r="E592" s="1" t="str">
        <f ca="1">IFERROR(__xludf.DUMMYFUNCTION("""COMPUTED_VALUE"""),"杜若葵")</f>
        <v>杜若葵</v>
      </c>
      <c r="F592" s="6" t="s">
        <v>1410</v>
      </c>
    </row>
    <row r="593" spans="1:6" ht="13.2">
      <c r="A593" s="1" t="str">
        <f t="array" aca="1" ref="A593" ca="1">IF(B593="", "", IFERROR(INDEX(声優一覧!A:A, MATCH(B593, 声優一覧!B:B, 0)), "該当なし"))</f>
        <v>va_075</v>
      </c>
      <c r="B593" s="1" t="str">
        <f ca="1">IFERROR(__xludf.DUMMYFUNCTION("""COMPUTED_VALUE"""),"小林裕介")</f>
        <v>小林裕介</v>
      </c>
      <c r="C593" s="1" t="s">
        <v>18</v>
      </c>
      <c r="D593" s="1" t="str">
        <f>IF(C593="", "", IFERROR(VLOOKUP(C593, 作品一覧!A:B, 2, FALSE), "該当なし"))</f>
        <v>アイ★チュウ</v>
      </c>
      <c r="E593" s="1" t="str">
        <f ca="1">IFERROR(__xludf.DUMMYFUNCTION("""COMPUTED_VALUE"""),"夜鶴黒羽")</f>
        <v>夜鶴黒羽</v>
      </c>
      <c r="F593" s="7" t="s">
        <v>1411</v>
      </c>
    </row>
    <row r="594" spans="1:6" ht="13.2">
      <c r="A594" s="1" t="str">
        <f t="array" aca="1" ref="A594" ca="1">IF(B594="", "", IFERROR(INDEX(声優一覧!A:A, MATCH(B594, 声優一覧!B:B, 0)), "該当なし"))</f>
        <v>va_141</v>
      </c>
      <c r="B594" s="1" t="str">
        <f ca="1">IFERROR(__xludf.DUMMYFUNCTION("""COMPUTED_VALUE"""),"西山宏太朗")</f>
        <v>西山宏太朗</v>
      </c>
      <c r="C594" s="1" t="s">
        <v>18</v>
      </c>
      <c r="D594" s="1" t="str">
        <f>IF(C594="", "", IFERROR(VLOOKUP(C594, 作品一覧!A:B, 2, FALSE), "該当なし"))</f>
        <v>アイ★チュウ</v>
      </c>
      <c r="E594" s="1" t="str">
        <f ca="1">IFERROR(__xludf.DUMMYFUNCTION("""COMPUTED_VALUE"""),"麗朔空")</f>
        <v>麗朔空</v>
      </c>
      <c r="F594" s="7" t="s">
        <v>1412</v>
      </c>
    </row>
    <row r="595" spans="1:6" ht="13.2">
      <c r="A595" s="1" t="str">
        <f t="array" aca="1" ref="A595" ca="1">IF(B595="", "", IFERROR(INDEX(声優一覧!A:A, MATCH(B595, 声優一覧!B:B, 0)), "該当なし"))</f>
        <v>va_245</v>
      </c>
      <c r="B595" s="1" t="str">
        <f ca="1">IFERROR(__xludf.DUMMYFUNCTION("""COMPUTED_VALUE"""),"たくみ靖明")</f>
        <v>たくみ靖明</v>
      </c>
      <c r="C595" s="1" t="s">
        <v>18</v>
      </c>
      <c r="D595" s="1" t="str">
        <f>IF(C595="", "", IFERROR(VLOOKUP(C595, 作品一覧!A:B, 2, FALSE), "該当なし"))</f>
        <v>アイ★チュウ</v>
      </c>
      <c r="E595" s="1" t="str">
        <f ca="1">IFERROR(__xludf.DUMMYFUNCTION("""COMPUTED_VALUE"""),"バベル")</f>
        <v>バベル</v>
      </c>
      <c r="F595" s="7" t="s">
        <v>1413</v>
      </c>
    </row>
    <row r="596" spans="1:6" ht="13.8">
      <c r="A596" s="1" t="str">
        <f t="array" aca="1" ref="A596" ca="1">IF(B596="", "", IFERROR(INDEX(声優一覧!A:A, MATCH(B596, 声優一覧!B:B, 0)), "該当なし"))</f>
        <v>va_053</v>
      </c>
      <c r="B596" s="1" t="str">
        <f ca="1">IFERROR(__xludf.DUMMYFUNCTION("""COMPUTED_VALUE"""),"梶原岳人")</f>
        <v>梶原岳人</v>
      </c>
      <c r="C596" s="1" t="s">
        <v>233</v>
      </c>
      <c r="D596" s="1" t="str">
        <f>IF(C596="", "", IFERROR(VLOOKUP(C596, 作品一覧!A:B, 2, FALSE), "該当なし"))</f>
        <v>フラガリアメモリーズ</v>
      </c>
      <c r="E596" s="1" t="str">
        <f ca="1">IFERROR(__xludf.DUMMYFUNCTION("""COMPUTED_VALUE"""),"ハルリット")</f>
        <v>ハルリット</v>
      </c>
      <c r="F596" s="6" t="s">
        <v>1414</v>
      </c>
    </row>
    <row r="597" spans="1:6" ht="13.8">
      <c r="A597" s="1" t="str">
        <f t="array" aca="1" ref="A597" ca="1">IF(B597="", "", IFERROR(INDEX(声優一覧!A:A, MATCH(B597, 声優一覧!B:B, 0)), "該当なし"))</f>
        <v>va_218</v>
      </c>
      <c r="B597" s="1" t="str">
        <f ca="1">IFERROR(__xludf.DUMMYFUNCTION("""COMPUTED_VALUE"""),"林勇")</f>
        <v>林勇</v>
      </c>
      <c r="C597" s="1" t="s">
        <v>233</v>
      </c>
      <c r="D597" s="1" t="str">
        <f>IF(C597="", "", IFERROR(VLOOKUP(C597, 作品一覧!A:B, 2, FALSE), "該当なし"))</f>
        <v>フラガリアメモリーズ</v>
      </c>
      <c r="E597" s="1" t="str">
        <f ca="1">IFERROR(__xludf.DUMMYFUNCTION("""COMPUTED_VALUE"""),"メロルド")</f>
        <v>メロルド</v>
      </c>
      <c r="F597" s="6" t="s">
        <v>1415</v>
      </c>
    </row>
    <row r="598" spans="1:6" ht="13.8">
      <c r="A598" s="1" t="str">
        <f t="array" aca="1" ref="A598" ca="1">IF(B598="", "", IFERROR(INDEX(声優一覧!A:A, MATCH(B598, 声優一覧!B:B, 0)), "該当なし"))</f>
        <v>va_125</v>
      </c>
      <c r="B598" s="1" t="str">
        <f ca="1">IFERROR(__xludf.DUMMYFUNCTION("""COMPUTED_VALUE"""),"寺島拓篤")</f>
        <v>寺島拓篤</v>
      </c>
      <c r="C598" s="1" t="s">
        <v>233</v>
      </c>
      <c r="D598" s="1" t="str">
        <f>IF(C598="", "", IFERROR(VLOOKUP(C598, 作品一覧!A:B, 2, FALSE), "該当なし"))</f>
        <v>フラガリアメモリーズ</v>
      </c>
      <c r="E598" s="1" t="str">
        <f ca="1">IFERROR(__xludf.DUMMYFUNCTION("""COMPUTED_VALUE"""),"プルース")</f>
        <v>プルース</v>
      </c>
      <c r="F598" s="6" t="s">
        <v>1416</v>
      </c>
    </row>
    <row r="599" spans="1:6" ht="13.8">
      <c r="A599" s="1" t="str">
        <f t="array" aca="1" ref="A599" ca="1">IF(B599="", "", IFERROR(INDEX(声優一覧!A:A, MATCH(B599, 声優一覧!B:B, 0)), "該当なし"))</f>
        <v>va_129</v>
      </c>
      <c r="B599" s="1" t="str">
        <f ca="1">IFERROR(__xludf.DUMMYFUNCTION("""COMPUTED_VALUE"""),"土岐隼一")</f>
        <v>土岐隼一</v>
      </c>
      <c r="C599" s="1" t="s">
        <v>233</v>
      </c>
      <c r="D599" s="1" t="str">
        <f>IF(C599="", "", IFERROR(VLOOKUP(C599, 作品一覧!A:B, 2, FALSE), "該当なし"))</f>
        <v>フラガリアメモリーズ</v>
      </c>
      <c r="E599" s="1" t="str">
        <f ca="1">IFERROR(__xludf.DUMMYFUNCTION("""COMPUTED_VALUE"""),"ロマリシュ")</f>
        <v>ロマリシュ</v>
      </c>
      <c r="F599" s="6" t="s">
        <v>1417</v>
      </c>
    </row>
    <row r="600" spans="1:6" ht="13.8">
      <c r="A600" s="1" t="str">
        <f t="array" aca="1" ref="A600" ca="1">IF(B600="", "", IFERROR(INDEX(声優一覧!A:A, MATCH(B600, 声優一覧!B:B, 0)), "該当なし"))</f>
        <v>va_214</v>
      </c>
      <c r="B600" s="1" t="str">
        <f ca="1">IFERROR(__xludf.DUMMYFUNCTION("""COMPUTED_VALUE"""),"日向朔公")</f>
        <v>日向朔公</v>
      </c>
      <c r="C600" s="1" t="s">
        <v>233</v>
      </c>
      <c r="D600" s="1" t="str">
        <f>IF(C600="", "", IFERROR(VLOOKUP(C600, 作品一覧!A:B, 2, FALSE), "該当なし"))</f>
        <v>フラガリアメモリーズ</v>
      </c>
      <c r="E600" s="1" t="str">
        <f ca="1">IFERROR(__xludf.DUMMYFUNCTION("""COMPUTED_VALUE"""),"リミチャ")</f>
        <v>リミチャ</v>
      </c>
      <c r="F600" s="6" t="s">
        <v>1418</v>
      </c>
    </row>
    <row r="601" spans="1:6" ht="13.8">
      <c r="A601" s="1" t="str">
        <f t="array" aca="1" ref="A601" ca="1">IF(B601="", "", IFERROR(INDEX(声優一覧!A:A, MATCH(B601, 声優一覧!B:B, 0)), "該当なし"))</f>
        <v>va_135</v>
      </c>
      <c r="B601" s="1" t="str">
        <f ca="1">IFERROR(__xludf.DUMMYFUNCTION("""COMPUTED_VALUE"""),"仲村宗悟")</f>
        <v>仲村宗悟</v>
      </c>
      <c r="C601" s="1" t="s">
        <v>233</v>
      </c>
      <c r="D601" s="1" t="str">
        <f>IF(C601="", "", IFERROR(VLOOKUP(C601, 作品一覧!A:B, 2, FALSE), "該当なし"))</f>
        <v>フラガリアメモリーズ</v>
      </c>
      <c r="E601" s="1" t="str">
        <f ca="1">IFERROR(__xludf.DUMMYFUNCTION("""COMPUTED_VALUE"""),"サナー")</f>
        <v>サナー</v>
      </c>
      <c r="F601" s="6" t="s">
        <v>1419</v>
      </c>
    </row>
    <row r="602" spans="1:6" ht="13.8">
      <c r="A602" s="1" t="str">
        <f t="array" aca="1" ref="A602" ca="1">IF(B602="", "", IFERROR(INDEX(声優一覧!A:A, MATCH(B602, 声優一覧!B:B, 0)), "該当なし"))</f>
        <v>va_094</v>
      </c>
      <c r="B602" s="1" t="str">
        <f ca="1">IFERROR(__xludf.DUMMYFUNCTION("""COMPUTED_VALUE"""),"島﨑信長")</f>
        <v>島﨑信長</v>
      </c>
      <c r="C602" s="1" t="s">
        <v>233</v>
      </c>
      <c r="D602" s="1" t="str">
        <f>IF(C602="", "", IFERROR(VLOOKUP(C602, 作品一覧!A:B, 2, FALSE), "該当なし"))</f>
        <v>フラガリアメモリーズ</v>
      </c>
      <c r="E602" s="1" t="str">
        <f ca="1">IFERROR(__xludf.DUMMYFUNCTION("""COMPUTED_VALUE"""),"シエロモート")</f>
        <v>シエロモート</v>
      </c>
      <c r="F602" s="6" t="s">
        <v>1420</v>
      </c>
    </row>
    <row r="603" spans="1:6" ht="13.8">
      <c r="A603" s="1" t="str">
        <f t="array" aca="1" ref="A603" ca="1">IF(B603="", "", IFERROR(INDEX(声優一覧!A:A, MATCH(B603, 声優一覧!B:B, 0)), "該当なし"))</f>
        <v>va_086</v>
      </c>
      <c r="B603" s="1" t="str">
        <f ca="1">IFERROR(__xludf.DUMMYFUNCTION("""COMPUTED_VALUE"""),"坂田将吾")</f>
        <v>坂田将吾</v>
      </c>
      <c r="C603" s="1" t="s">
        <v>233</v>
      </c>
      <c r="D603" s="1" t="str">
        <f>IF(C603="", "", IFERROR(VLOOKUP(C603, 作品一覧!A:B, 2, FALSE), "該当なし"))</f>
        <v>フラガリアメモリーズ</v>
      </c>
      <c r="E603" s="1" t="str">
        <f ca="1">IFERROR(__xludf.DUMMYFUNCTION("""COMPUTED_VALUE"""),"クロード")</f>
        <v>クロード</v>
      </c>
      <c r="F603" s="6" t="s">
        <v>1421</v>
      </c>
    </row>
    <row r="604" spans="1:6" ht="13.8">
      <c r="A604" s="1" t="str">
        <f t="array" aca="1" ref="A604" ca="1">IF(B604="", "", IFERROR(INDEX(声優一覧!A:A, MATCH(B604, 声優一覧!B:B, 0)), "該当なし"))</f>
        <v>va_119</v>
      </c>
      <c r="B604" s="1" t="str">
        <f ca="1">IFERROR(__xludf.DUMMYFUNCTION("""COMPUTED_VALUE"""),"千葉翔也")</f>
        <v>千葉翔也</v>
      </c>
      <c r="C604" s="1" t="s">
        <v>233</v>
      </c>
      <c r="D604" s="1" t="str">
        <f>IF(C604="", "", IFERROR(VLOOKUP(C604, 作品一覧!A:B, 2, FALSE), "該当なし"))</f>
        <v>フラガリアメモリーズ</v>
      </c>
      <c r="E604" s="1" t="str">
        <f ca="1">IFERROR(__xludf.DUMMYFUNCTION("""COMPUTED_VALUE"""),"ウィルメッシュ")</f>
        <v>ウィルメッシュ</v>
      </c>
      <c r="F604" s="6" t="s">
        <v>1422</v>
      </c>
    </row>
    <row r="605" spans="1:6" ht="13.8">
      <c r="A605" s="1" t="str">
        <f t="array" aca="1" ref="A605" ca="1">IF(B605="", "", IFERROR(INDEX(声優一覧!A:A, MATCH(B605, 声優一覧!B:B, 0)), "該当なし"))</f>
        <v>va_246</v>
      </c>
      <c r="B605" s="1" t="str">
        <f ca="1">IFERROR(__xludf.DUMMYFUNCTION("""COMPUTED_VALUE"""),"三上瑛士")</f>
        <v>三上瑛士</v>
      </c>
      <c r="C605" s="1" t="s">
        <v>233</v>
      </c>
      <c r="D605" s="1" t="str">
        <f>IF(C605="", "", IFERROR(VLOOKUP(C605, 作品一覧!A:B, 2, FALSE), "該当なし"))</f>
        <v>フラガリアメモリーズ</v>
      </c>
      <c r="E605" s="1" t="str">
        <f ca="1">IFERROR(__xludf.DUMMYFUNCTION("""COMPUTED_VALUE"""),"クラークステラ")</f>
        <v>クラークステラ</v>
      </c>
      <c r="F605" s="6" t="s">
        <v>1423</v>
      </c>
    </row>
    <row r="606" spans="1:6" ht="13.8">
      <c r="A606" s="1" t="str">
        <f t="array" aca="1" ref="A606" ca="1">IF(B606="", "", IFERROR(INDEX(声優一覧!A:A, MATCH(B606, 声優一覧!B:B, 0)), "該当なし"))</f>
        <v>va_087</v>
      </c>
      <c r="B606" s="1" t="str">
        <f ca="1">IFERROR(__xludf.DUMMYFUNCTION("""COMPUTED_VALUE"""),"榊原優希")</f>
        <v>榊原優希</v>
      </c>
      <c r="C606" s="1" t="s">
        <v>233</v>
      </c>
      <c r="D606" s="1" t="str">
        <f>IF(C606="", "", IFERROR(VLOOKUP(C606, 作品一覧!A:B, 2, FALSE), "該当なし"))</f>
        <v>フラガリアメモリーズ</v>
      </c>
      <c r="E606" s="1" t="str">
        <f ca="1">IFERROR(__xludf.DUMMYFUNCTION("""COMPUTED_VALUE"""),"ルタールステラ")</f>
        <v>ルタールステラ</v>
      </c>
      <c r="F606" s="6" t="s">
        <v>1424</v>
      </c>
    </row>
    <row r="607" spans="1:6" ht="13.8">
      <c r="A607" s="1" t="str">
        <f t="array" aca="1" ref="A607" ca="1">IF(B607="", "", IFERROR(INDEX(声優一覧!A:A, MATCH(B607, 声優一覧!B:B, 0)), "該当なし"))</f>
        <v>va_247</v>
      </c>
      <c r="B607" s="1" t="str">
        <f ca="1">IFERROR(__xludf.DUMMYFUNCTION("""COMPUTED_VALUE"""),"徳留慎乃佑")</f>
        <v>徳留慎乃佑</v>
      </c>
      <c r="C607" s="1" t="s">
        <v>233</v>
      </c>
      <c r="D607" s="1" t="str">
        <f>IF(C607="", "", IFERROR(VLOOKUP(C607, 作品一覧!A:B, 2, FALSE), "該当なし"))</f>
        <v>フラガリアメモリーズ</v>
      </c>
      <c r="E607" s="1" t="str">
        <f ca="1">IFERROR(__xludf.DUMMYFUNCTION("""COMPUTED_VALUE"""),"ミュンナ")</f>
        <v>ミュンナ</v>
      </c>
      <c r="F607" s="6" t="s">
        <v>1425</v>
      </c>
    </row>
    <row r="608" spans="1:6" ht="13.8">
      <c r="A608" s="1" t="str">
        <f t="array" aca="1" ref="A608" ca="1">IF(B608="", "", IFERROR(INDEX(声優一覧!A:A, MATCH(B608, 声優一覧!B:B, 0)), "該当なし"))</f>
        <v>va_112</v>
      </c>
      <c r="B608" s="1" t="str">
        <f ca="1">IFERROR(__xludf.DUMMYFUNCTION("""COMPUTED_VALUE"""),"武内駿輔")</f>
        <v>武内駿輔</v>
      </c>
      <c r="C608" s="1" t="s">
        <v>233</v>
      </c>
      <c r="D608" s="1" t="str">
        <f>IF(C608="", "", IFERROR(VLOOKUP(C608, 作品一覧!A:B, 2, FALSE), "該当なし"))</f>
        <v>フラガリアメモリーズ</v>
      </c>
      <c r="E608" s="1" t="str">
        <f ca="1">IFERROR(__xludf.DUMMYFUNCTION("""COMPUTED_VALUE"""),"バドバルマ")</f>
        <v>バドバルマ</v>
      </c>
      <c r="F608" s="6" t="s">
        <v>1426</v>
      </c>
    </row>
    <row r="609" spans="1:6" ht="13.8">
      <c r="A609" s="1" t="str">
        <f t="array" aca="1" ref="A609" ca="1">IF(B609="", "", IFERROR(INDEX(声優一覧!A:A, MATCH(B609, 声優一覧!B:B, 0)), "該当なし"))</f>
        <v>va_038</v>
      </c>
      <c r="B609" s="1" t="str">
        <f ca="1">IFERROR(__xludf.DUMMYFUNCTION("""COMPUTED_VALUE"""),"小笠原仁")</f>
        <v>小笠原仁</v>
      </c>
      <c r="C609" s="1" t="s">
        <v>233</v>
      </c>
      <c r="D609" s="1" t="str">
        <f>IF(C609="", "", IFERROR(VLOOKUP(C609, 作品一覧!A:B, 2, FALSE), "該当なし"))</f>
        <v>フラガリアメモリーズ</v>
      </c>
      <c r="E609" s="1" t="str">
        <f ca="1">IFERROR(__xludf.DUMMYFUNCTION("""COMPUTED_VALUE"""),"チャコ")</f>
        <v>チャコ</v>
      </c>
      <c r="F609" s="6" t="s">
        <v>1427</v>
      </c>
    </row>
    <row r="610" spans="1:6" ht="13.8">
      <c r="A610" s="1" t="str">
        <f t="array" aca="1" ref="A610" ca="1">IF(B610="", "", IFERROR(INDEX(声優一覧!A:A, MATCH(B610, 声優一覧!B:B, 0)), "該当なし"))</f>
        <v>va_147</v>
      </c>
      <c r="B610" s="1" t="str">
        <f ca="1">IFERROR(__xludf.DUMMYFUNCTION("""COMPUTED_VALUE"""),"畠中祐")</f>
        <v>畠中祐</v>
      </c>
      <c r="C610" s="1" t="s">
        <v>233</v>
      </c>
      <c r="D610" s="1" t="str">
        <f>IF(C610="", "", IFERROR(VLOOKUP(C610, 作品一覧!A:B, 2, FALSE), "該当なし"))</f>
        <v>フラガリアメモリーズ</v>
      </c>
      <c r="E610" s="1" t="str">
        <f ca="1">IFERROR(__xludf.DUMMYFUNCTION("""COMPUTED_VALUE"""),"アルペック")</f>
        <v>アルペック</v>
      </c>
      <c r="F610" s="6" t="s">
        <v>1428</v>
      </c>
    </row>
    <row r="611" spans="1:6" ht="13.8">
      <c r="A611" s="1" t="str">
        <f t="array" aca="1" ref="A611" ca="1">IF(B611="", "", IFERROR(INDEX(声優一覧!A:A, MATCH(B611, 声優一覧!B:B, 0)), "該当なし"))</f>
        <v>va_183</v>
      </c>
      <c r="B611" s="1" t="str">
        <f ca="1">IFERROR(__xludf.DUMMYFUNCTION("""COMPUTED_VALUE"""),"村瀬歩")</f>
        <v>村瀬歩</v>
      </c>
      <c r="C611" s="1" t="s">
        <v>233</v>
      </c>
      <c r="D611" s="1" t="str">
        <f>IF(C611="", "", IFERROR(VLOOKUP(C611, 作品一覧!A:B, 2, FALSE), "該当なし"))</f>
        <v>フラガリアメモリーズ</v>
      </c>
      <c r="E611" s="1" t="str">
        <f ca="1">IFERROR(__xludf.DUMMYFUNCTION("""COMPUTED_VALUE"""),"タッサム")</f>
        <v>タッサム</v>
      </c>
      <c r="F611" s="6" t="s">
        <v>1429</v>
      </c>
    </row>
    <row r="612" spans="1:6" ht="13.8">
      <c r="A612" s="1" t="str">
        <f t="array" aca="1" ref="A612" ca="1">IF(B612="", "", IFERROR(INDEX(声優一覧!A:A, MATCH(B612, 声優一覧!B:B, 0)), "該当なし"))</f>
        <v>va_248</v>
      </c>
      <c r="B612" s="1" t="str">
        <f ca="1">IFERROR(__xludf.DUMMYFUNCTION("""COMPUTED_VALUE"""),"松岡洋平")</f>
        <v>松岡洋平</v>
      </c>
      <c r="C612" s="1" t="s">
        <v>233</v>
      </c>
      <c r="D612" s="1" t="str">
        <f>IF(C612="", "", IFERROR(VLOOKUP(C612, 作品一覧!A:B, 2, FALSE), "該当なし"))</f>
        <v>フラガリアメモリーズ</v>
      </c>
      <c r="E612" s="1" t="str">
        <f ca="1">IFERROR(__xludf.DUMMYFUNCTION("""COMPUTED_VALUE"""),"ハンギョン")</f>
        <v>ハンギョン</v>
      </c>
      <c r="F612" s="6" t="s">
        <v>1430</v>
      </c>
    </row>
    <row r="613" spans="1:6" ht="13.8">
      <c r="A613" s="1" t="str">
        <f t="array" aca="1" ref="A613" ca="1">IF(B613="", "", IFERROR(INDEX(声優一覧!A:A, MATCH(B613, 声優一覧!B:B, 0)), "該当なし"))</f>
        <v>va_249</v>
      </c>
      <c r="B613" s="1" t="str">
        <f ca="1">IFERROR(__xludf.DUMMYFUNCTION("""COMPUTED_VALUE"""),"町本成史")</f>
        <v>町本成史</v>
      </c>
      <c r="C613" s="1" t="s">
        <v>233</v>
      </c>
      <c r="D613" s="1" t="str">
        <f>IF(C613="", "", IFERROR(VLOOKUP(C613, 作品一覧!A:B, 2, FALSE), "該当なし"))</f>
        <v>フラガリアメモリーズ</v>
      </c>
      <c r="E613" s="1" t="str">
        <f ca="1">IFERROR(__xludf.DUMMYFUNCTION("""COMPUTED_VALUE"""),"ピケロ")</f>
        <v>ピケロ</v>
      </c>
      <c r="F613" s="6" t="s">
        <v>1431</v>
      </c>
    </row>
    <row r="614" spans="1:6" ht="13.8">
      <c r="A614" s="1" t="str">
        <f t="array" aca="1" ref="A614" ca="1">IF(B614="", "", IFERROR(INDEX(声優一覧!A:A, MATCH(B614, 声優一覧!B:B, 0)), "該当なし"))</f>
        <v>va_097</v>
      </c>
      <c r="B614" s="1" t="str">
        <f ca="1">IFERROR(__xludf.DUMMYFUNCTION("""COMPUTED_VALUE"""),"杉田智和")</f>
        <v>杉田智和</v>
      </c>
      <c r="C614" s="1" t="s">
        <v>129</v>
      </c>
      <c r="D614" s="1" t="str">
        <f>IF(C614="", "", IFERROR(VLOOKUP(C614, 作品一覧!A:B, 2, FALSE), "該当なし"))</f>
        <v>スタンドマイヒーローズ</v>
      </c>
      <c r="E614" s="1" t="str">
        <f ca="1">IFERROR(__xludf.DUMMYFUNCTION("""COMPUTED_VALUE"""),"青山樹")</f>
        <v>青山樹</v>
      </c>
      <c r="F614" s="6" t="s">
        <v>1432</v>
      </c>
    </row>
    <row r="615" spans="1:6" ht="13.8">
      <c r="A615" s="1" t="str">
        <f t="array" aca="1" ref="A615" ca="1">IF(B615="", "", IFERROR(INDEX(声優一覧!A:A, MATCH(B615, 声優一覧!B:B, 0)), "該当なし"))</f>
        <v>va_138</v>
      </c>
      <c r="B615" s="1" t="str">
        <f ca="1">IFERROR(__xludf.DUMMYFUNCTION("""COMPUTED_VALUE"""),"浪川大輔")</f>
        <v>浪川大輔</v>
      </c>
      <c r="C615" s="1" t="s">
        <v>129</v>
      </c>
      <c r="D615" s="1" t="str">
        <f>IF(C615="", "", IFERROR(VLOOKUP(C615, 作品一覧!A:B, 2, FALSE), "該当なし"))</f>
        <v>スタンドマイヒーローズ</v>
      </c>
      <c r="E615" s="1" t="str">
        <f ca="1">IFERROR(__xludf.DUMMYFUNCTION("""COMPUTED_VALUE"""),"今大路峻")</f>
        <v>今大路峻</v>
      </c>
      <c r="F615" s="6" t="s">
        <v>1433</v>
      </c>
    </row>
    <row r="616" spans="1:6" ht="13.8">
      <c r="A616" s="1" t="str">
        <f t="array" aca="1" ref="A616" ca="1">IF(B616="", "", IFERROR(INDEX(声優一覧!A:A, MATCH(B616, 声優一覧!B:B, 0)), "該当なし"))</f>
        <v>va_051</v>
      </c>
      <c r="B616" s="1" t="str">
        <f ca="1">IFERROR(__xludf.DUMMYFUNCTION("""COMPUTED_VALUE"""),"梶裕貴")</f>
        <v>梶裕貴</v>
      </c>
      <c r="C616" s="1" t="s">
        <v>129</v>
      </c>
      <c r="D616" s="1" t="str">
        <f>IF(C616="", "", IFERROR(VLOOKUP(C616, 作品一覧!A:B, 2, FALSE), "該当なし"))</f>
        <v>スタンドマイヒーローズ</v>
      </c>
      <c r="E616" s="1" t="str">
        <f ca="1">IFERROR(__xludf.DUMMYFUNCTION("""COMPUTED_VALUE"""),"夏目春")</f>
        <v>夏目春</v>
      </c>
      <c r="F616" s="6" t="s">
        <v>1434</v>
      </c>
    </row>
    <row r="617" spans="1:6" ht="13.8">
      <c r="A617" s="1" t="str">
        <f t="array" aca="1" ref="A617" ca="1">IF(B617="", "", IFERROR(INDEX(声優一覧!A:A, MATCH(B617, 声優一覧!B:B, 0)), "該当なし"))</f>
        <v>va_169</v>
      </c>
      <c r="B617" s="1" t="str">
        <f ca="1">IFERROR(__xludf.DUMMYFUNCTION("""COMPUTED_VALUE"""),"前野智昭")</f>
        <v>前野智昭</v>
      </c>
      <c r="C617" s="1" t="s">
        <v>129</v>
      </c>
      <c r="D617" s="1" t="str">
        <f>IF(C617="", "", IFERROR(VLOOKUP(C617, 作品一覧!A:B, 2, FALSE), "該当なし"))</f>
        <v>スタンドマイヒーローズ</v>
      </c>
      <c r="E617" s="1" t="str">
        <f ca="1">IFERROR(__xludf.DUMMYFUNCTION("""COMPUTED_VALUE"""),"関大輔")</f>
        <v>関大輔</v>
      </c>
      <c r="F617" s="6" t="s">
        <v>1435</v>
      </c>
    </row>
    <row r="618" spans="1:6" ht="13.8">
      <c r="A618" s="1" t="str">
        <f t="array" aca="1" ref="A618" ca="1">IF(B618="", "", IFERROR(INDEX(声優一覧!A:A, MATCH(B618, 声優一覧!B:B, 0)), "該当なし"))</f>
        <v>va_132</v>
      </c>
      <c r="B618" s="1" t="str">
        <f ca="1">IFERROR(__xludf.DUMMYFUNCTION("""COMPUTED_VALUE"""),"鳥海浩輔")</f>
        <v>鳥海浩輔</v>
      </c>
      <c r="C618" s="1" t="s">
        <v>129</v>
      </c>
      <c r="D618" s="1" t="str">
        <f>IF(C618="", "", IFERROR(VLOOKUP(C618, 作品一覧!A:B, 2, FALSE), "該当なし"))</f>
        <v>スタンドマイヒーローズ</v>
      </c>
      <c r="E618" s="1" t="str">
        <f ca="1">IFERROR(__xludf.DUMMYFUNCTION("""COMPUTED_VALUE"""),"渡部悟")</f>
        <v>渡部悟</v>
      </c>
      <c r="F618" s="6" t="s">
        <v>1436</v>
      </c>
    </row>
    <row r="619" spans="1:6" ht="13.8">
      <c r="A619" s="1" t="str">
        <f t="array" aca="1" ref="A619" ca="1">IF(B619="", "", IFERROR(INDEX(声優一覧!A:A, MATCH(B619, 声優一覧!B:B, 0)), "該当なし"))</f>
        <v>va_150</v>
      </c>
      <c r="B619" s="1" t="str">
        <f ca="1">IFERROR(__xludf.DUMMYFUNCTION("""COMPUTED_VALUE"""),"花江夏樹")</f>
        <v>花江夏樹</v>
      </c>
      <c r="C619" s="1" t="s">
        <v>129</v>
      </c>
      <c r="D619" s="1" t="str">
        <f>IF(C619="", "", IFERROR(VLOOKUP(C619, 作品一覧!A:B, 2, FALSE), "該当なし"))</f>
        <v>スタンドマイヒーローズ</v>
      </c>
      <c r="E619" s="1" t="str">
        <f ca="1">IFERROR(__xludf.DUMMYFUNCTION("""COMPUTED_VALUE"""),"由井孝太郎")</f>
        <v>由井孝太郎</v>
      </c>
      <c r="F619" s="6" t="s">
        <v>1437</v>
      </c>
    </row>
    <row r="620" spans="1:6" ht="13.8">
      <c r="A620" s="1" t="str">
        <f t="array" aca="1" ref="A620" ca="1">IF(B620="", "", IFERROR(INDEX(声優一覧!A:A, MATCH(B620, 声優一覧!B:B, 0)), "該当なし"))</f>
        <v>va_107</v>
      </c>
      <c r="B620" s="1" t="str">
        <f ca="1">IFERROR(__xludf.DUMMYFUNCTION("""COMPUTED_VALUE"""),"高塚智人")</f>
        <v>高塚智人</v>
      </c>
      <c r="C620" s="1" t="s">
        <v>129</v>
      </c>
      <c r="D620" s="1" t="str">
        <f>IF(C620="", "", IFERROR(VLOOKUP(C620, 作品一覧!A:B, 2, FALSE), "該当なし"))</f>
        <v>スタンドマイヒーローズ</v>
      </c>
      <c r="E620" s="1" t="str">
        <f ca="1">IFERROR(__xludf.DUMMYFUNCTION("""COMPUTED_VALUE"""),"荒木田蒼生")</f>
        <v>荒木田蒼生</v>
      </c>
      <c r="F620" s="6" t="s">
        <v>1438</v>
      </c>
    </row>
    <row r="621" spans="1:6" ht="13.8">
      <c r="A621" s="1" t="str">
        <f t="array" aca="1" ref="A621" ca="1">IF(B621="", "", IFERROR(INDEX(声優一覧!A:A, MATCH(B621, 声優一覧!B:B, 0)), "該当なし"))</f>
        <v>va_048</v>
      </c>
      <c r="B621" s="1" t="str">
        <f ca="1">IFERROR(__xludf.DUMMYFUNCTION("""COMPUTED_VALUE"""),"柿原徹也")</f>
        <v>柿原徹也</v>
      </c>
      <c r="C621" s="1" t="s">
        <v>129</v>
      </c>
      <c r="D621" s="1" t="str">
        <f>IF(C621="", "", IFERROR(VLOOKUP(C621, 作品一覧!A:B, 2, FALSE), "該当なし"))</f>
        <v>スタンドマイヒーローズ</v>
      </c>
      <c r="E621" s="1" t="str">
        <f ca="1">IFERROR(__xludf.DUMMYFUNCTION("""COMPUTED_VALUE"""),"朝霧司")</f>
        <v>朝霧司</v>
      </c>
      <c r="F621" s="6" t="s">
        <v>1439</v>
      </c>
    </row>
    <row r="622" spans="1:6" ht="13.8">
      <c r="A622" s="1" t="str">
        <f t="array" aca="1" ref="A622" ca="1">IF(B622="", "", IFERROR(INDEX(声優一覧!A:A, MATCH(B622, 声優一覧!B:B, 0)), "該当なし"))</f>
        <v>va_035</v>
      </c>
      <c r="B622" s="1" t="str">
        <f ca="1">IFERROR(__xludf.DUMMYFUNCTION("""COMPUTED_VALUE"""),"江口拓也")</f>
        <v>江口拓也</v>
      </c>
      <c r="C622" s="1" t="s">
        <v>129</v>
      </c>
      <c r="D622" s="1" t="str">
        <f>IF(C622="", "", IFERROR(VLOOKUP(C622, 作品一覧!A:B, 2, FALSE), "該当なし"))</f>
        <v>スタンドマイヒーローズ</v>
      </c>
      <c r="E622" s="1" t="str">
        <f ca="1">IFERROR(__xludf.DUMMYFUNCTION("""COMPUTED_VALUE"""),"服部耀")</f>
        <v>服部耀</v>
      </c>
      <c r="F622" s="6" t="s">
        <v>1440</v>
      </c>
    </row>
    <row r="623" spans="1:6" ht="13.8">
      <c r="A623" s="1" t="str">
        <f t="array" aca="1" ref="A623" ca="1">IF(B623="", "", IFERROR(INDEX(声優一覧!A:A, MATCH(B623, 声優一覧!B:B, 0)), "該当なし"))</f>
        <v>va_196</v>
      </c>
      <c r="B623" s="1" t="str">
        <f ca="1">IFERROR(__xludf.DUMMYFUNCTION("""COMPUTED_VALUE"""),"山谷祥生")</f>
        <v>山谷祥生</v>
      </c>
      <c r="C623" s="1" t="s">
        <v>129</v>
      </c>
      <c r="D623" s="1" t="str">
        <f>IF(C623="", "", IFERROR(VLOOKUP(C623, 作品一覧!A:B, 2, FALSE), "該当なし"))</f>
        <v>スタンドマイヒーローズ</v>
      </c>
      <c r="E623" s="1" t="str">
        <f ca="1">IFERROR(__xludf.DUMMYFUNCTION("""COMPUTED_VALUE"""),"菅野夏樹")</f>
        <v>菅野夏樹</v>
      </c>
      <c r="F623" s="6" t="s">
        <v>1441</v>
      </c>
    </row>
    <row r="624" spans="1:6" ht="13.8">
      <c r="A624" s="1" t="str">
        <f t="array" aca="1" ref="A624" ca="1">IF(B624="", "", IFERROR(INDEX(声優一覧!A:A, MATCH(B624, 声優一覧!B:B, 0)), "該当なし"))</f>
        <v>va_096</v>
      </c>
      <c r="B624" s="1" t="str">
        <f ca="1">IFERROR(__xludf.DUMMYFUNCTION("""COMPUTED_VALUE"""),"白井悠介")</f>
        <v>白井悠介</v>
      </c>
      <c r="C624" s="1" t="s">
        <v>129</v>
      </c>
      <c r="D624" s="1" t="str">
        <f>IF(C624="", "", IFERROR(VLOOKUP(C624, 作品一覧!A:B, 2, FALSE), "該当なし"))</f>
        <v>スタンドマイヒーローズ</v>
      </c>
      <c r="E624" s="1" t="str">
        <f ca="1">IFERROR(__xludf.DUMMYFUNCTION("""COMPUTED_VALUE"""),"桧山貴臣")</f>
        <v>桧山貴臣</v>
      </c>
      <c r="F624" s="6" t="s">
        <v>1442</v>
      </c>
    </row>
    <row r="625" spans="1:6" ht="13.8">
      <c r="A625" s="1" t="str">
        <f t="array" aca="1" ref="A625" ca="1">IF(B625="", "", IFERROR(INDEX(声優一覧!A:A, MATCH(B625, 声優一覧!B:B, 0)), "該当なし"))</f>
        <v>va_192</v>
      </c>
      <c r="B625" s="1" t="str">
        <f ca="1">IFERROR(__xludf.DUMMYFUNCTION("""COMPUTED_VALUE"""),"山下誠一郎")</f>
        <v>山下誠一郎</v>
      </c>
      <c r="C625" s="1" t="s">
        <v>129</v>
      </c>
      <c r="D625" s="1" t="str">
        <f>IF(C625="", "", IFERROR(VLOOKUP(C625, 作品一覧!A:B, 2, FALSE), "該当なし"))</f>
        <v>スタンドマイヒーローズ</v>
      </c>
      <c r="E625" s="1" t="str">
        <f ca="1">IFERROR(__xludf.DUMMYFUNCTION("""COMPUTED_VALUE"""),"神楽亜貴")</f>
        <v>神楽亜貴</v>
      </c>
      <c r="F625" s="6" t="s">
        <v>1443</v>
      </c>
    </row>
    <row r="626" spans="1:6" ht="13.8">
      <c r="A626" s="1" t="str">
        <f t="array" aca="1" ref="A626" ca="1">IF(B626="", "", IFERROR(INDEX(声優一覧!A:A, MATCH(B626, 声優一覧!B:B, 0)), "該当なし"))</f>
        <v>va_188</v>
      </c>
      <c r="B626" s="1" t="str">
        <f ca="1">IFERROR(__xludf.DUMMYFUNCTION("""COMPUTED_VALUE"""),"八代拓")</f>
        <v>八代拓</v>
      </c>
      <c r="C626" s="1" t="s">
        <v>129</v>
      </c>
      <c r="D626" s="1" t="str">
        <f>IF(C626="", "", IFERROR(VLOOKUP(C626, 作品一覧!A:B, 2, FALSE), "該当なし"))</f>
        <v>スタンドマイヒーローズ</v>
      </c>
      <c r="E626" s="1" t="str">
        <f ca="1">IFERROR(__xludf.DUMMYFUNCTION("""COMPUTED_VALUE"""),"槙慶太")</f>
        <v>槙慶太</v>
      </c>
      <c r="F626" s="6" t="s">
        <v>1444</v>
      </c>
    </row>
    <row r="627" spans="1:6" ht="13.8">
      <c r="A627" s="1" t="str">
        <f t="array" aca="1" ref="A627" ca="1">IF(B627="", "", IFERROR(INDEX(声優一覧!A:A, MATCH(B627, 声優一覧!B:B, 0)), "該当なし"))</f>
        <v>va_030</v>
      </c>
      <c r="B627" s="1" t="str">
        <f ca="1">IFERROR(__xludf.DUMMYFUNCTION("""COMPUTED_VALUE"""),"内田雄馬")</f>
        <v>内田雄馬</v>
      </c>
      <c r="C627" s="1" t="s">
        <v>129</v>
      </c>
      <c r="D627" s="1" t="str">
        <f>IF(C627="", "", IFERROR(VLOOKUP(C627, 作品一覧!A:B, 2, FALSE), "該当なし"))</f>
        <v>スタンドマイヒーローズ</v>
      </c>
      <c r="E627" s="1" t="str">
        <f ca="1">IFERROR(__xludf.DUMMYFUNCTION("""COMPUTED_VALUE"""),"大谷羽鳥")</f>
        <v>大谷羽鳥</v>
      </c>
      <c r="F627" s="6" t="s">
        <v>1445</v>
      </c>
    </row>
    <row r="628" spans="1:6" ht="13.8">
      <c r="A628" s="1" t="str">
        <f t="array" aca="1" ref="A628" ca="1">IF(B628="", "", IFERROR(INDEX(声優一覧!A:A, MATCH(B628, 声優一覧!B:B, 0)), "該当なし"))</f>
        <v>va_141</v>
      </c>
      <c r="B628" s="1" t="str">
        <f ca="1">IFERROR(__xludf.DUMMYFUNCTION("""COMPUTED_VALUE"""),"西山宏太朗")</f>
        <v>西山宏太朗</v>
      </c>
      <c r="C628" s="1" t="s">
        <v>129</v>
      </c>
      <c r="D628" s="1" t="str">
        <f>IF(C628="", "", IFERROR(VLOOKUP(C628, 作品一覧!A:B, 2, FALSE), "該当なし"))</f>
        <v>スタンドマイヒーローズ</v>
      </c>
      <c r="E628" s="1" t="str">
        <f ca="1">IFERROR(__xludf.DUMMYFUNCTION("""COMPUTED_VALUE"""),"都築京介")</f>
        <v>都築京介</v>
      </c>
      <c r="F628" s="6" t="s">
        <v>1446</v>
      </c>
    </row>
    <row r="629" spans="1:6" ht="13.8">
      <c r="A629" s="1" t="str">
        <f t="array" aca="1" ref="A629" ca="1">IF(B629="", "", IFERROR(INDEX(声優一覧!A:A, MATCH(B629, 声優一覧!B:B, 0)), "該当なし"))</f>
        <v>va_112</v>
      </c>
      <c r="B629" s="1" t="str">
        <f ca="1">IFERROR(__xludf.DUMMYFUNCTION("""COMPUTED_VALUE"""),"武内駿輔")</f>
        <v>武内駿輔</v>
      </c>
      <c r="C629" s="1" t="s">
        <v>129</v>
      </c>
      <c r="D629" s="1" t="str">
        <f>IF(C629="", "", IFERROR(VLOOKUP(C629, 作品一覧!A:B, 2, FALSE), "該当なし"))</f>
        <v>スタンドマイヒーローズ</v>
      </c>
      <c r="E629" s="1" t="str">
        <f ca="1">IFERROR(__xludf.DUMMYFUNCTION("""COMPUTED_VALUE"""),"都築誠")</f>
        <v>都築誠</v>
      </c>
      <c r="F629" s="6" t="s">
        <v>1447</v>
      </c>
    </row>
    <row r="630" spans="1:6" ht="13.8">
      <c r="A630" s="1" t="str">
        <f t="array" aca="1" ref="A630" ca="1">IF(B630="", "", IFERROR(INDEX(声優一覧!A:A, MATCH(B630, 声優一覧!B:B, 0)), "該当なし"))</f>
        <v>va_193</v>
      </c>
      <c r="B630" s="1" t="str">
        <f ca="1">IFERROR(__xludf.DUMMYFUNCTION("""COMPUTED_VALUE"""),"山下大輝")</f>
        <v>山下大輝</v>
      </c>
      <c r="C630" s="1" t="s">
        <v>129</v>
      </c>
      <c r="D630" s="1" t="str">
        <f>IF(C630="", "", IFERROR(VLOOKUP(C630, 作品一覧!A:B, 2, FALSE), "該当なし"))</f>
        <v>スタンドマイヒーローズ</v>
      </c>
      <c r="E630" s="1" t="str">
        <f ca="1">IFERROR(__xludf.DUMMYFUNCTION("""COMPUTED_VALUE"""),"山崎カナメ")</f>
        <v>山崎カナメ</v>
      </c>
      <c r="F630" s="6" t="s">
        <v>1448</v>
      </c>
    </row>
    <row r="631" spans="1:6" ht="13.8">
      <c r="A631" s="1" t="str">
        <f t="array" aca="1" ref="A631" ca="1">IF(B631="", "", IFERROR(INDEX(声優一覧!A:A, MATCH(B631, 声優一覧!B:B, 0)), "該当なし"))</f>
        <v>va_134</v>
      </c>
      <c r="B631" s="1" t="str">
        <f ca="1">IFERROR(__xludf.DUMMYFUNCTION("""COMPUTED_VALUE"""),"中島ヨシキ")</f>
        <v>中島ヨシキ</v>
      </c>
      <c r="C631" s="1" t="s">
        <v>129</v>
      </c>
      <c r="D631" s="1" t="str">
        <f>IF(C631="", "", IFERROR(VLOOKUP(C631, 作品一覧!A:B, 2, FALSE), "該当なし"))</f>
        <v>スタンドマイヒーローズ</v>
      </c>
      <c r="E631" s="1" t="str">
        <f ca="1">IFERROR(__xludf.DUMMYFUNCTION("""COMPUTED_VALUE"""),"桐嶋宏弥")</f>
        <v>桐嶋宏弥</v>
      </c>
      <c r="F631" s="6" t="s">
        <v>1449</v>
      </c>
    </row>
    <row r="632" spans="1:6" ht="13.8">
      <c r="A632" s="1" t="str">
        <f t="array" aca="1" ref="A632" ca="1">IF(B632="", "", IFERROR(INDEX(声優一覧!A:A, MATCH(B632, 声優一覧!B:B, 0)), "該当なし"))</f>
        <v>va_092</v>
      </c>
      <c r="B632" s="1" t="str">
        <f ca="1">IFERROR(__xludf.DUMMYFUNCTION("""COMPUTED_VALUE"""),"沢城千春")</f>
        <v>沢城千春</v>
      </c>
      <c r="C632" s="1" t="s">
        <v>129</v>
      </c>
      <c r="D632" s="1" t="str">
        <f>IF(C632="", "", IFERROR(VLOOKUP(C632, 作品一覧!A:B, 2, FALSE), "該当なし"))</f>
        <v>スタンドマイヒーローズ</v>
      </c>
      <c r="E632" s="1" t="str">
        <f ca="1">IFERROR(__xludf.DUMMYFUNCTION("""COMPUTED_VALUE"""),"九条壮馬")</f>
        <v>九条壮馬</v>
      </c>
      <c r="F632" s="6" t="s">
        <v>1450</v>
      </c>
    </row>
    <row r="633" spans="1:6" ht="13.8">
      <c r="A633" s="1" t="str">
        <f t="array" aca="1" ref="A633" ca="1">IF(B633="", "", IFERROR(INDEX(声優一覧!A:A, MATCH(B633, 声優一覧!B:B, 0)), "該当なし"))</f>
        <v>va_033</v>
      </c>
      <c r="B633" s="1" t="str">
        <f ca="1">IFERROR(__xludf.DUMMYFUNCTION("""COMPUTED_VALUE"""),"梅原裕一郎")</f>
        <v>梅原裕一郎</v>
      </c>
      <c r="C633" s="1" t="s">
        <v>129</v>
      </c>
      <c r="D633" s="1" t="str">
        <f>IF(C633="", "", IFERROR(VLOOKUP(C633, 作品一覧!A:B, 2, FALSE), "該当なし"))</f>
        <v>スタンドマイヒーローズ</v>
      </c>
      <c r="E633" s="1" t="str">
        <f ca="1">IFERROR(__xludf.DUMMYFUNCTION("""COMPUTED_VALUE"""),"宮瀬豪")</f>
        <v>宮瀬豪</v>
      </c>
      <c r="F633" s="6" t="s">
        <v>1451</v>
      </c>
    </row>
    <row r="634" spans="1:6" ht="13.8">
      <c r="A634" s="1" t="str">
        <f t="array" aca="1" ref="A634" ca="1">IF(B634="", "", IFERROR(INDEX(声優一覧!A:A, MATCH(B634, 声優一覧!B:B, 0)), "該当なし"))</f>
        <v>va_172</v>
      </c>
      <c r="B634" s="1" t="str">
        <f ca="1">IFERROR(__xludf.DUMMYFUNCTION("""COMPUTED_VALUE"""),"増田俊樹")</f>
        <v>増田俊樹</v>
      </c>
      <c r="C634" s="1" t="s">
        <v>129</v>
      </c>
      <c r="D634" s="1" t="str">
        <f>IF(C634="", "", IFERROR(VLOOKUP(C634, 作品一覧!A:B, 2, FALSE), "該当なし"))</f>
        <v>スタンドマイヒーローズ</v>
      </c>
      <c r="E634" s="1" t="str">
        <f ca="1">IFERROR(__xludf.DUMMYFUNCTION("""COMPUTED_VALUE"""),"新堂清志")</f>
        <v>新堂清志</v>
      </c>
      <c r="F634" s="6" t="s">
        <v>1452</v>
      </c>
    </row>
    <row r="635" spans="1:6" ht="13.8">
      <c r="A635" s="1" t="str">
        <f t="array" aca="1" ref="A635" ca="1">IF(B635="", "", IFERROR(INDEX(声優一覧!A:A, MATCH(B635, 声優一覧!B:B, 0)), "該当なし"))</f>
        <v>va_095</v>
      </c>
      <c r="B635" s="1" t="str">
        <f ca="1">IFERROR(__xludf.DUMMYFUNCTION("""COMPUTED_VALUE"""),"下野紘")</f>
        <v>下野紘</v>
      </c>
      <c r="C635" s="1" t="s">
        <v>129</v>
      </c>
      <c r="D635" s="1" t="str">
        <f>IF(C635="", "", IFERROR(VLOOKUP(C635, 作品一覧!A:B, 2, FALSE), "該当なし"))</f>
        <v>スタンドマイヒーローズ</v>
      </c>
      <c r="E635" s="1" t="str">
        <f ca="1">IFERROR(__xludf.DUMMYFUNCTION("""COMPUTED_VALUE"""),"可愛ひかる")</f>
        <v>可愛ひかる</v>
      </c>
      <c r="F635" s="6" t="s">
        <v>1453</v>
      </c>
    </row>
    <row r="636" spans="1:6" ht="13.8">
      <c r="A636" s="1" t="str">
        <f t="array" aca="1" ref="A636" ca="1">IF(B636="", "", IFERROR(INDEX(声優一覧!A:A, MATCH(B636, 声優一覧!B:B, 0)), "該当なし"))</f>
        <v>va_083</v>
      </c>
      <c r="B636" s="1" t="str">
        <f ca="1">IFERROR(__xludf.DUMMYFUNCTION("""COMPUTED_VALUE"""),"斉藤壮馬")</f>
        <v>斉藤壮馬</v>
      </c>
      <c r="C636" s="1" t="s">
        <v>129</v>
      </c>
      <c r="D636" s="1" t="str">
        <f>IF(C636="", "", IFERROR(VLOOKUP(C636, 作品一覧!A:B, 2, FALSE), "該当なし"))</f>
        <v>スタンドマイヒーローズ</v>
      </c>
      <c r="E636" s="1" t="str">
        <f ca="1">IFERROR(__xludf.DUMMYFUNCTION("""COMPUTED_VALUE"""),"宝生潔")</f>
        <v>宝生潔</v>
      </c>
      <c r="F636" s="6" t="s">
        <v>1454</v>
      </c>
    </row>
    <row r="637" spans="1:6" ht="13.8">
      <c r="A637" s="1" t="str">
        <f t="array" aca="1" ref="A637" ca="1">IF(B637="", "", IFERROR(INDEX(声優一覧!A:A, MATCH(B637, 声優一覧!B:B, 0)), "該当なし"))</f>
        <v>va_200</v>
      </c>
      <c r="B637" s="1" t="str">
        <f ca="1">IFERROR(__xludf.DUMMYFUNCTION("""COMPUTED_VALUE"""),"KENN")</f>
        <v>KENN</v>
      </c>
      <c r="C637" s="1" t="s">
        <v>129</v>
      </c>
      <c r="D637" s="1" t="str">
        <f>IF(C637="", "", IFERROR(VLOOKUP(C637, 作品一覧!A:B, 2, FALSE), "該当なし"))</f>
        <v>スタンドマイヒーローズ</v>
      </c>
      <c r="E637" s="1" t="str">
        <f ca="1">IFERROR(__xludf.DUMMYFUNCTION("""COMPUTED_VALUE"""),"日向志音")</f>
        <v>日向志音</v>
      </c>
      <c r="F637" s="6" t="s">
        <v>1455</v>
      </c>
    </row>
    <row r="638" spans="1:6" ht="13.8">
      <c r="A638" s="1" t="str">
        <f t="array" aca="1" ref="A638" ca="1">IF(B638="", "", IFERROR(INDEX(声優一覧!A:A, MATCH(B638, 声優一覧!B:B, 0)), "該当なし"))</f>
        <v>va_164</v>
      </c>
      <c r="B638" s="1" t="str">
        <f ca="1">IFERROR(__xludf.DUMMYFUNCTION("""COMPUTED_VALUE"""),"細谷佳正")</f>
        <v>細谷佳正</v>
      </c>
      <c r="C638" s="1" t="s">
        <v>129</v>
      </c>
      <c r="D638" s="1" t="str">
        <f>IF(C638="", "", IFERROR(VLOOKUP(C638, 作品一覧!A:B, 2, FALSE), "該当なし"))</f>
        <v>スタンドマイヒーローズ</v>
      </c>
      <c r="E638" s="1" t="str">
        <f ca="1">IFERROR(__xludf.DUMMYFUNCTION("""COMPUTED_VALUE"""),"早乙女郁人")</f>
        <v>早乙女郁人</v>
      </c>
      <c r="F638" s="6" t="s">
        <v>1456</v>
      </c>
    </row>
    <row r="639" spans="1:6" ht="13.8">
      <c r="A639" s="1" t="str">
        <f t="array" aca="1" ref="A639" ca="1">IF(B639="", "", IFERROR(INDEX(声優一覧!A:A, MATCH(B639, 声優一覧!B:B, 0)), "該当なし"))</f>
        <v>va_080</v>
      </c>
      <c r="B639" s="1" t="str">
        <f ca="1">IFERROR(__xludf.DUMMYFUNCTION("""COMPUTED_VALUE"""),"子安武人")</f>
        <v>子安武人</v>
      </c>
      <c r="C639" s="1" t="s">
        <v>129</v>
      </c>
      <c r="D639" s="1" t="str">
        <f>IF(C639="", "", IFERROR(VLOOKUP(C639, 作品一覧!A:B, 2, FALSE), "該当なし"))</f>
        <v>スタンドマイヒーローズ</v>
      </c>
      <c r="E639" s="1" t="str">
        <f ca="1">IFERROR(__xludf.DUMMYFUNCTION("""COMPUTED_VALUE"""),"瀬尾鳴海")</f>
        <v>瀬尾鳴海</v>
      </c>
      <c r="F639" s="6" t="s">
        <v>1457</v>
      </c>
    </row>
    <row r="640" spans="1:6" ht="13.8">
      <c r="A640" s="1" t="str">
        <f t="array" aca="1" ref="A640" ca="1">IF(B640="", "", IFERROR(INDEX(声優一覧!A:A, MATCH(B640, 声優一覧!B:B, 0)), "該当なし"))</f>
        <v>va_125</v>
      </c>
      <c r="B640" s="1" t="str">
        <f ca="1">IFERROR(__xludf.DUMMYFUNCTION("""COMPUTED_VALUE"""),"寺島拓篤")</f>
        <v>寺島拓篤</v>
      </c>
      <c r="C640" s="1" t="s">
        <v>20</v>
      </c>
      <c r="D640" s="1" t="str">
        <f>IF(C640="", "", IFERROR(VLOOKUP(C640, 作品一覧!A:B, 2, FALSE), "該当なし"))</f>
        <v>アイドルマスター SideM</v>
      </c>
      <c r="E640" s="1" t="str">
        <f ca="1">IFERROR(__xludf.DUMMYFUNCTION("""COMPUTED_VALUE"""),"天ヶ瀬冬馬")</f>
        <v>天ヶ瀬冬馬</v>
      </c>
      <c r="F640" s="8" t="s">
        <v>1458</v>
      </c>
    </row>
    <row r="641" spans="1:6" ht="13.8">
      <c r="A641" s="1" t="str">
        <f t="array" aca="1" ref="A641" ca="1">IF(B641="", "", IFERROR(INDEX(声優一覧!A:A, MATCH(B641, 声優一覧!B:B, 0)), "該当なし"))</f>
        <v>va_055</v>
      </c>
      <c r="B641" s="1" t="str">
        <f ca="1">IFERROR(__xludf.DUMMYFUNCTION("""COMPUTED_VALUE"""),"神原大地")</f>
        <v>神原大地</v>
      </c>
      <c r="C641" s="1" t="s">
        <v>20</v>
      </c>
      <c r="D641" s="1" t="str">
        <f>IF(C641="", "", IFERROR(VLOOKUP(C641, 作品一覧!A:B, 2, FALSE), "該当なし"))</f>
        <v>アイドルマスター SideM</v>
      </c>
      <c r="E641" s="1" t="str">
        <f ca="1">IFERROR(__xludf.DUMMYFUNCTION("""COMPUTED_VALUE"""),"伊集院北斗")</f>
        <v>伊集院北斗</v>
      </c>
      <c r="F641" s="8" t="s">
        <v>1459</v>
      </c>
    </row>
    <row r="642" spans="1:6" ht="13.8">
      <c r="A642" s="1" t="str">
        <f t="array" aca="1" ref="A642" ca="1">IF(B642="", "", IFERROR(INDEX(声優一覧!A:A, MATCH(B642, 声優一覧!B:B, 0)), "該当なし"))</f>
        <v>va_173</v>
      </c>
      <c r="B642" s="1" t="str">
        <f ca="1">IFERROR(__xludf.DUMMYFUNCTION("""COMPUTED_VALUE"""),"松岡禎丞")</f>
        <v>松岡禎丞</v>
      </c>
      <c r="C642" s="1" t="s">
        <v>20</v>
      </c>
      <c r="D642" s="1" t="str">
        <f>IF(C642="", "", IFERROR(VLOOKUP(C642, 作品一覧!A:B, 2, FALSE), "該当なし"))</f>
        <v>アイドルマスター SideM</v>
      </c>
      <c r="E642" s="1" t="str">
        <f ca="1">IFERROR(__xludf.DUMMYFUNCTION("""COMPUTED_VALUE"""),"御手洗翔太")</f>
        <v>御手洗翔太</v>
      </c>
      <c r="F642" s="8" t="s">
        <v>1460</v>
      </c>
    </row>
    <row r="643" spans="1:6" ht="13.8">
      <c r="A643" s="1" t="str">
        <f t="array" aca="1" ref="A643" ca="1">IF(B643="", "", IFERROR(INDEX(声優一覧!A:A, MATCH(B643, 声優一覧!B:B, 0)), "該当なし"))</f>
        <v>va_135</v>
      </c>
      <c r="B643" s="1" t="str">
        <f ca="1">IFERROR(__xludf.DUMMYFUNCTION("""COMPUTED_VALUE"""),"仲村宗悟")</f>
        <v>仲村宗悟</v>
      </c>
      <c r="C643" s="1" t="s">
        <v>20</v>
      </c>
      <c r="D643" s="1" t="str">
        <f>IF(C643="", "", IFERROR(VLOOKUP(C643, 作品一覧!A:B, 2, FALSE), "該当なし"))</f>
        <v>アイドルマスター SideM</v>
      </c>
      <c r="E643" s="1" t="str">
        <f ca="1">IFERROR(__xludf.DUMMYFUNCTION("""COMPUTED_VALUE"""),"天道輝")</f>
        <v>天道輝</v>
      </c>
      <c r="F643" s="8" t="s">
        <v>1461</v>
      </c>
    </row>
    <row r="644" spans="1:6" ht="13.8">
      <c r="A644" s="1" t="str">
        <f t="array" aca="1" ref="A644" ca="1">IF(B644="", "", IFERROR(INDEX(声優一覧!A:A, MATCH(B644, 声優一覧!B:B, 0)), "該当なし"))</f>
        <v>va_030</v>
      </c>
      <c r="B644" s="1" t="str">
        <f ca="1">IFERROR(__xludf.DUMMYFUNCTION("""COMPUTED_VALUE"""),"内田雄馬")</f>
        <v>内田雄馬</v>
      </c>
      <c r="C644" s="1" t="s">
        <v>20</v>
      </c>
      <c r="D644" s="1" t="str">
        <f>IF(C644="", "", IFERROR(VLOOKUP(C644, 作品一覧!A:B, 2, FALSE), "該当なし"))</f>
        <v>アイドルマスター SideM</v>
      </c>
      <c r="E644" s="1" t="str">
        <f ca="1">IFERROR(__xludf.DUMMYFUNCTION("""COMPUTED_VALUE"""),"桜庭薫")</f>
        <v>桜庭薫</v>
      </c>
      <c r="F644" s="8" t="s">
        <v>1462</v>
      </c>
    </row>
    <row r="645" spans="1:6" ht="13.8">
      <c r="A645" s="1" t="str">
        <f t="array" aca="1" ref="A645" ca="1">IF(B645="", "", IFERROR(INDEX(声優一覧!A:A, MATCH(B645, 声優一覧!B:B, 0)), "該当なし"))</f>
        <v>va_188</v>
      </c>
      <c r="B645" s="1" t="str">
        <f ca="1">IFERROR(__xludf.DUMMYFUNCTION("""COMPUTED_VALUE"""),"八代拓")</f>
        <v>八代拓</v>
      </c>
      <c r="C645" s="1" t="s">
        <v>20</v>
      </c>
      <c r="D645" s="1" t="str">
        <f>IF(C645="", "", IFERROR(VLOOKUP(C645, 作品一覧!A:B, 2, FALSE), "該当なし"))</f>
        <v>アイドルマスター SideM</v>
      </c>
      <c r="E645" s="1" t="str">
        <f ca="1">IFERROR(__xludf.DUMMYFUNCTION("""COMPUTED_VALUE"""),"柏木翼")</f>
        <v>柏木翼</v>
      </c>
      <c r="F645" s="8" t="s">
        <v>1463</v>
      </c>
    </row>
    <row r="646" spans="1:6" ht="13.8">
      <c r="A646" s="1" t="str">
        <f t="array" aca="1" ref="A646" ca="1">IF(B646="", "", IFERROR(INDEX(声優一覧!A:A, MATCH(B646, 声優一覧!B:B, 0)), "該当なし"))</f>
        <v>va_033</v>
      </c>
      <c r="B646" s="1" t="str">
        <f ca="1">IFERROR(__xludf.DUMMYFUNCTION("""COMPUTED_VALUE"""),"梅原裕一郎")</f>
        <v>梅原裕一郎</v>
      </c>
      <c r="C646" s="1" t="s">
        <v>20</v>
      </c>
      <c r="D646" s="1" t="str">
        <f>IF(C646="", "", IFERROR(VLOOKUP(C646, 作品一覧!A:B, 2, FALSE), "該当なし"))</f>
        <v>アイドルマスター SideM</v>
      </c>
      <c r="E646" s="1" t="str">
        <f ca="1">IFERROR(__xludf.DUMMYFUNCTION("""COMPUTED_VALUE"""),"鷹城恭二")</f>
        <v>鷹城恭二</v>
      </c>
      <c r="F646" s="8" t="s">
        <v>1464</v>
      </c>
    </row>
    <row r="647" spans="1:6" ht="13.8">
      <c r="A647" s="1" t="str">
        <f t="array" aca="1" ref="A647" ca="1">IF(B647="", "", IFERROR(INDEX(声優一覧!A:A, MATCH(B647, 声優一覧!B:B, 0)), "該当なし"))</f>
        <v>va_166</v>
      </c>
      <c r="B647" s="1" t="str">
        <f ca="1">IFERROR(__xludf.DUMMYFUNCTION("""COMPUTED_VALUE"""),"堀江瞬")</f>
        <v>堀江瞬</v>
      </c>
      <c r="C647" s="1" t="s">
        <v>20</v>
      </c>
      <c r="D647" s="1" t="str">
        <f>IF(C647="", "", IFERROR(VLOOKUP(C647, 作品一覧!A:B, 2, FALSE), "該当なし"))</f>
        <v>アイドルマスター SideM</v>
      </c>
      <c r="E647" s="1" t="str">
        <f ca="1">IFERROR(__xludf.DUMMYFUNCTION("""COMPUTED_VALUE"""),"ピエール")</f>
        <v>ピエール</v>
      </c>
      <c r="F647" s="8" t="s">
        <v>1465</v>
      </c>
    </row>
    <row r="648" spans="1:6" ht="13.8">
      <c r="A648" s="1" t="str">
        <f t="array" aca="1" ref="A648" ca="1">IF(B648="", "", IFERROR(INDEX(声優一覧!A:A, MATCH(B648, 声優一覧!B:B, 0)), "該当なし"))</f>
        <v>va_107</v>
      </c>
      <c r="B648" s="1" t="str">
        <f ca="1">IFERROR(__xludf.DUMMYFUNCTION("""COMPUTED_VALUE"""),"高塚智人")</f>
        <v>高塚智人</v>
      </c>
      <c r="C648" s="1" t="s">
        <v>20</v>
      </c>
      <c r="D648" s="1" t="str">
        <f>IF(C648="", "", IFERROR(VLOOKUP(C648, 作品一覧!A:B, 2, FALSE), "該当なし"))</f>
        <v>アイドルマスター SideM</v>
      </c>
      <c r="E648" s="1" t="str">
        <f ca="1">IFERROR(__xludf.DUMMYFUNCTION("""COMPUTED_VALUE"""),"渡辺みのり")</f>
        <v>渡辺みのり</v>
      </c>
      <c r="F648" s="8" t="s">
        <v>1466</v>
      </c>
    </row>
    <row r="649" spans="1:6" ht="13.8">
      <c r="A649" s="1" t="str">
        <f t="array" aca="1" ref="A649" ca="1">IF(B649="", "", IFERROR(INDEX(声優一覧!A:A, MATCH(B649, 声優一覧!B:B, 0)), "該当なし"))</f>
        <v>va_142</v>
      </c>
      <c r="B649" s="1" t="str">
        <f ca="1">IFERROR(__xludf.DUMMYFUNCTION("""COMPUTED_VALUE"""),"野上翔")</f>
        <v>野上翔</v>
      </c>
      <c r="C649" s="1" t="s">
        <v>20</v>
      </c>
      <c r="D649" s="1" t="str">
        <f>IF(C649="", "", IFERROR(VLOOKUP(C649, 作品一覧!A:B, 2, FALSE), "該当なし"))</f>
        <v>アイドルマスター SideM</v>
      </c>
      <c r="E649" s="1" t="str">
        <f ca="1">IFERROR(__xludf.DUMMYFUNCTION("""COMPUTED_VALUE"""),"伊瀬谷四季")</f>
        <v>伊瀬谷四季</v>
      </c>
      <c r="F649" s="8" t="s">
        <v>1467</v>
      </c>
    </row>
    <row r="650" spans="1:6" ht="13.8">
      <c r="A650" s="1" t="str">
        <f t="array" aca="1" ref="A650" ca="1">IF(B650="", "", IFERROR(INDEX(声優一覧!A:A, MATCH(B650, 声優一覧!B:B, 0)), "該当なし"))</f>
        <v>va_119</v>
      </c>
      <c r="B650" s="1" t="str">
        <f ca="1">IFERROR(__xludf.DUMMYFUNCTION("""COMPUTED_VALUE"""),"千葉翔也")</f>
        <v>千葉翔也</v>
      </c>
      <c r="C650" s="1" t="s">
        <v>20</v>
      </c>
      <c r="D650" s="1" t="str">
        <f>IF(C650="", "", IFERROR(VLOOKUP(C650, 作品一覧!A:B, 2, FALSE), "該当なし"))</f>
        <v>アイドルマスター SideM</v>
      </c>
      <c r="E650" s="1" t="str">
        <f ca="1">IFERROR(__xludf.DUMMYFUNCTION("""COMPUTED_VALUE"""),"秋山隼人")</f>
        <v>秋山隼人</v>
      </c>
      <c r="F650" s="8" t="s">
        <v>1468</v>
      </c>
    </row>
    <row r="651" spans="1:6" ht="13.8">
      <c r="A651" s="1" t="str">
        <f t="array" aca="1" ref="A651" ca="1">IF(B651="", "", IFERROR(INDEX(声優一覧!A:A, MATCH(B651, 声優一覧!B:B, 0)), "該当なし"))</f>
        <v>va_096</v>
      </c>
      <c r="B651" s="1" t="str">
        <f ca="1">IFERROR(__xludf.DUMMYFUNCTION("""COMPUTED_VALUE"""),"白井悠介")</f>
        <v>白井悠介</v>
      </c>
      <c r="C651" s="1" t="s">
        <v>20</v>
      </c>
      <c r="D651" s="1" t="str">
        <f>IF(C651="", "", IFERROR(VLOOKUP(C651, 作品一覧!A:B, 2, FALSE), "該当なし"))</f>
        <v>アイドルマスター SideM</v>
      </c>
      <c r="E651" s="1" t="str">
        <f ca="1">IFERROR(__xludf.DUMMYFUNCTION("""COMPUTED_VALUE"""),"若里春名")</f>
        <v>若里春名</v>
      </c>
      <c r="F651" s="8" t="s">
        <v>1469</v>
      </c>
    </row>
    <row r="652" spans="1:6" ht="13.8">
      <c r="A652" s="1" t="str">
        <f t="array" aca="1" ref="A652" ca="1">IF(B652="", "", IFERROR(INDEX(声優一覧!A:A, MATCH(B652, 声優一覧!B:B, 0)), "該当なし"))</f>
        <v>va_250</v>
      </c>
      <c r="B652" s="1" t="str">
        <f ca="1">IFERROR(__xludf.DUMMYFUNCTION("""COMPUTED_VALUE"""),"永塚拓馬")</f>
        <v>永塚拓馬</v>
      </c>
      <c r="C652" s="1" t="s">
        <v>20</v>
      </c>
      <c r="D652" s="1" t="str">
        <f>IF(C652="", "", IFERROR(VLOOKUP(C652, 作品一覧!A:B, 2, FALSE), "該当なし"))</f>
        <v>アイドルマスター SideM</v>
      </c>
      <c r="E652" s="1" t="str">
        <f ca="1">IFERROR(__xludf.DUMMYFUNCTION("""COMPUTED_VALUE"""),"冬美旬")</f>
        <v>冬美旬</v>
      </c>
      <c r="F652" s="8" t="s">
        <v>1470</v>
      </c>
    </row>
    <row r="653" spans="1:6" ht="13.8">
      <c r="A653" s="1" t="str">
        <f t="array" aca="1" ref="A653" ca="1">IF(B653="", "", IFERROR(INDEX(声優一覧!A:A, MATCH(B653, 声優一覧!B:B, 0)), "該当なし"))</f>
        <v>va_251</v>
      </c>
      <c r="B653" s="1" t="str">
        <f ca="1">IFERROR(__xludf.DUMMYFUNCTION("""COMPUTED_VALUE"""),"渡辺紘")</f>
        <v>渡辺紘</v>
      </c>
      <c r="C653" s="1" t="s">
        <v>20</v>
      </c>
      <c r="D653" s="1" t="str">
        <f>IF(C653="", "", IFERROR(VLOOKUP(C653, 作品一覧!A:B, 2, FALSE), "該当なし"))</f>
        <v>アイドルマスター SideM</v>
      </c>
      <c r="E653" s="1" t="str">
        <f ca="1">IFERROR(__xludf.DUMMYFUNCTION("""COMPUTED_VALUE"""),"榊夏来")</f>
        <v>榊夏来</v>
      </c>
      <c r="F653" s="8" t="s">
        <v>1471</v>
      </c>
    </row>
    <row r="654" spans="1:6" ht="13.8">
      <c r="A654" s="1" t="str">
        <f t="array" aca="1" ref="A654" ca="1">IF(B654="", "", IFERROR(INDEX(声優一覧!A:A, MATCH(B654, 声優一覧!B:B, 0)), "該当なし"))</f>
        <v>va_196</v>
      </c>
      <c r="B654" s="1" t="str">
        <f ca="1">IFERROR(__xludf.DUMMYFUNCTION("""COMPUTED_VALUE"""),"山谷祥生")</f>
        <v>山谷祥生</v>
      </c>
      <c r="C654" s="1" t="s">
        <v>20</v>
      </c>
      <c r="D654" s="1" t="str">
        <f>IF(C654="", "", IFERROR(VLOOKUP(C654, 作品一覧!A:B, 2, FALSE), "該当なし"))</f>
        <v>アイドルマスター SideM</v>
      </c>
      <c r="E654" s="1" t="str">
        <f ca="1">IFERROR(__xludf.DUMMYFUNCTION("""COMPUTED_VALUE"""),"蒼井享介")</f>
        <v>蒼井享介</v>
      </c>
      <c r="F654" s="8" t="s">
        <v>1472</v>
      </c>
    </row>
    <row r="655" spans="1:6" ht="13.8">
      <c r="A655" s="1" t="str">
        <f t="array" aca="1" ref="A655" ca="1">IF(B655="", "", IFERROR(INDEX(声優一覧!A:A, MATCH(B655, 声優一覧!B:B, 0)), "該当なし"))</f>
        <v>va_252</v>
      </c>
      <c r="B655" s="1" t="str">
        <f ca="1">IFERROR(__xludf.DUMMYFUNCTION("""COMPUTED_VALUE"""),"菊池勇成")</f>
        <v>菊池勇成</v>
      </c>
      <c r="C655" s="1" t="s">
        <v>20</v>
      </c>
      <c r="D655" s="1" t="str">
        <f>IF(C655="", "", IFERROR(VLOOKUP(C655, 作品一覧!A:B, 2, FALSE), "該当なし"))</f>
        <v>アイドルマスター SideM</v>
      </c>
      <c r="E655" s="1" t="str">
        <f ca="1">IFERROR(__xludf.DUMMYFUNCTION("""COMPUTED_VALUE"""),"蒼井悠介")</f>
        <v>蒼井悠介</v>
      </c>
      <c r="F655" s="8" t="s">
        <v>1473</v>
      </c>
    </row>
    <row r="656" spans="1:6" ht="13.8">
      <c r="A656" s="1" t="str">
        <f t="array" aca="1" ref="A656" ca="1">IF(B656="", "", IFERROR(INDEX(声優一覧!A:A, MATCH(B656, 声優一覧!B:B, 0)), "該当なし"))</f>
        <v>va_019</v>
      </c>
      <c r="B656" s="1" t="str">
        <f ca="1">IFERROR(__xludf.DUMMYFUNCTION("""COMPUTED_VALUE"""),"伊東健人")</f>
        <v>伊東健人</v>
      </c>
      <c r="C656" s="1" t="s">
        <v>20</v>
      </c>
      <c r="D656" s="1" t="str">
        <f>IF(C656="", "", IFERROR(VLOOKUP(C656, 作品一覧!A:B, 2, FALSE), "該当なし"))</f>
        <v>アイドルマスター SideM</v>
      </c>
      <c r="E656" s="1" t="str">
        <f ca="1">IFERROR(__xludf.DUMMYFUNCTION("""COMPUTED_VALUE"""),"硲道夫")</f>
        <v>硲道夫</v>
      </c>
      <c r="F656" s="8" t="s">
        <v>1474</v>
      </c>
    </row>
    <row r="657" spans="1:6" ht="13.8">
      <c r="A657" s="1" t="str">
        <f t="array" aca="1" ref="A657" ca="1">IF(B657="", "", IFERROR(INDEX(声優一覧!A:A, MATCH(B657, 声優一覧!B:B, 0)), "該当なし"))</f>
        <v>va_036</v>
      </c>
      <c r="B657" s="1" t="str">
        <f ca="1">IFERROR(__xludf.DUMMYFUNCTION("""COMPUTED_VALUE"""),"榎木淳弥")</f>
        <v>榎木淳弥</v>
      </c>
      <c r="C657" s="1" t="s">
        <v>20</v>
      </c>
      <c r="D657" s="1" t="str">
        <f>IF(C657="", "", IFERROR(VLOOKUP(C657, 作品一覧!A:B, 2, FALSE), "該当なし"))</f>
        <v>アイドルマスター SideM</v>
      </c>
      <c r="E657" s="1" t="str">
        <f ca="1">IFERROR(__xludf.DUMMYFUNCTION("""COMPUTED_VALUE"""),"舞田類")</f>
        <v>舞田類</v>
      </c>
      <c r="F657" s="8" t="s">
        <v>1475</v>
      </c>
    </row>
    <row r="658" spans="1:6" ht="13.8">
      <c r="A658" s="1" t="str">
        <f t="array" aca="1" ref="A658" ca="1">IF(B658="", "", IFERROR(INDEX(声優一覧!A:A, MATCH(B658, 声優一覧!B:B, 0)), "該当なし"))</f>
        <v>va_134</v>
      </c>
      <c r="B658" s="1" t="str">
        <f ca="1">IFERROR(__xludf.DUMMYFUNCTION("""COMPUTED_VALUE"""),"中島ヨシキ")</f>
        <v>中島ヨシキ</v>
      </c>
      <c r="C658" s="1" t="s">
        <v>20</v>
      </c>
      <c r="D658" s="1" t="str">
        <f>IF(C658="", "", IFERROR(VLOOKUP(C658, 作品一覧!A:B, 2, FALSE), "該当なし"))</f>
        <v>アイドルマスター SideM</v>
      </c>
      <c r="E658" s="1" t="str">
        <f ca="1">IFERROR(__xludf.DUMMYFUNCTION("""COMPUTED_VALUE"""),"山下次郎")</f>
        <v>山下次郎</v>
      </c>
      <c r="F658" s="8" t="s">
        <v>1476</v>
      </c>
    </row>
    <row r="659" spans="1:6" ht="13.8">
      <c r="A659" s="1" t="str">
        <f t="array" aca="1" ref="A659" ca="1">IF(B659="", "", IFERROR(INDEX(声優一覧!A:A, MATCH(B659, 声優一覧!B:B, 0)), "該当なし"))</f>
        <v>va_253</v>
      </c>
      <c r="B659" s="1" t="str">
        <f ca="1">IFERROR(__xludf.DUMMYFUNCTION("""COMPUTED_VALUE"""),"バレッタ裕")</f>
        <v>バレッタ裕</v>
      </c>
      <c r="C659" s="1" t="s">
        <v>20</v>
      </c>
      <c r="D659" s="1" t="str">
        <f>IF(C659="", "", IFERROR(VLOOKUP(C659, 作品一覧!A:B, 2, FALSE), "該当なし"))</f>
        <v>アイドルマスター SideM</v>
      </c>
      <c r="E659" s="1" t="str">
        <f ca="1">IFERROR(__xludf.DUMMYFUNCTION("""COMPUTED_VALUE"""),"華村翔真")</f>
        <v>華村翔真</v>
      </c>
      <c r="F659" s="8" t="s">
        <v>1477</v>
      </c>
    </row>
    <row r="660" spans="1:6" ht="13.8">
      <c r="A660" s="1" t="str">
        <f t="array" aca="1" ref="A660" ca="1">IF(B660="", "", IFERROR(INDEX(声優一覧!A:A, MATCH(B660, 声優一覧!B:B, 0)), "該当なし"))</f>
        <v>va_193</v>
      </c>
      <c r="B660" s="1" t="str">
        <f ca="1">IFERROR(__xludf.DUMMYFUNCTION("""COMPUTED_VALUE"""),"山下大輝")</f>
        <v>山下大輝</v>
      </c>
      <c r="C660" s="1" t="s">
        <v>20</v>
      </c>
      <c r="D660" s="1" t="str">
        <f>IF(C660="", "", IFERROR(VLOOKUP(C660, 作品一覧!A:B, 2, FALSE), "該当なし"))</f>
        <v>アイドルマスター SideM</v>
      </c>
      <c r="E660" s="1" t="str">
        <f ca="1">IFERROR(__xludf.DUMMYFUNCTION("""COMPUTED_VALUE"""),"猫柳キリオ")</f>
        <v>猫柳キリオ</v>
      </c>
      <c r="F660" s="8" t="s">
        <v>1478</v>
      </c>
    </row>
    <row r="661" spans="1:6" ht="13.8">
      <c r="A661" s="1" t="str">
        <f t="array" aca="1" ref="A661" ca="1">IF(B661="", "", IFERROR(INDEX(声優一覧!A:A, MATCH(B661, 声優一覧!B:B, 0)), "該当なし"))</f>
        <v>va_254</v>
      </c>
      <c r="B661" s="1" t="str">
        <f ca="1">IFERROR(__xludf.DUMMYFUNCTION("""COMPUTED_VALUE"""),"中田祐矢")</f>
        <v>中田祐矢</v>
      </c>
      <c r="C661" s="1" t="s">
        <v>20</v>
      </c>
      <c r="D661" s="1" t="str">
        <f>IF(C661="", "", IFERROR(VLOOKUP(C661, 作品一覧!A:B, 2, FALSE), "該当なし"))</f>
        <v>アイドルマスター SideM</v>
      </c>
      <c r="E661" s="1" t="str">
        <f ca="1">IFERROR(__xludf.DUMMYFUNCTION("""COMPUTED_VALUE"""),"清澄九郎")</f>
        <v>清澄九郎</v>
      </c>
      <c r="F661" s="8" t="s">
        <v>1479</v>
      </c>
    </row>
    <row r="662" spans="1:6" ht="13.8">
      <c r="A662" s="1" t="str">
        <f t="array" aca="1" ref="A662" ca="1">IF(B662="", "", IFERROR(INDEX(声優一覧!A:A, MATCH(B662, 声優一覧!B:B, 0)), "該当なし"))</f>
        <v>va_069</v>
      </c>
      <c r="B662" s="1" t="str">
        <f ca="1">IFERROR(__xludf.DUMMYFUNCTION("""COMPUTED_VALUE"""),"熊谷健太郎")</f>
        <v>熊谷健太郎</v>
      </c>
      <c r="C662" s="1" t="s">
        <v>20</v>
      </c>
      <c r="D662" s="1" t="str">
        <f>IF(C662="", "", IFERROR(VLOOKUP(C662, 作品一覧!A:B, 2, FALSE), "該当なし"))</f>
        <v>アイドルマスター SideM</v>
      </c>
      <c r="E662" s="1" t="str">
        <f ca="1">IFERROR(__xludf.DUMMYFUNCTION("""COMPUTED_VALUE"""),"握野英雄")</f>
        <v>握野英雄</v>
      </c>
      <c r="F662" s="8" t="s">
        <v>1480</v>
      </c>
    </row>
    <row r="663" spans="1:6" ht="13.8">
      <c r="A663" s="1" t="str">
        <f t="array" aca="1" ref="A663" ca="1">IF(B663="", "", IFERROR(INDEX(声優一覧!A:A, MATCH(B663, 声優一覧!B:B, 0)), "該当なし"))</f>
        <v>va_151</v>
      </c>
      <c r="B663" s="1" t="str">
        <f ca="1">IFERROR(__xludf.DUMMYFUNCTION("""COMPUTED_VALUE"""),"濱健人")</f>
        <v>濱健人</v>
      </c>
      <c r="C663" s="1" t="s">
        <v>20</v>
      </c>
      <c r="D663" s="1" t="str">
        <f>IF(C663="", "", IFERROR(VLOOKUP(C663, 作品一覧!A:B, 2, FALSE), "該当なし"))</f>
        <v>アイドルマスター SideM</v>
      </c>
      <c r="E663" s="1" t="str">
        <f ca="1">IFERROR(__xludf.DUMMYFUNCTION("""COMPUTED_VALUE"""),"木村龍")</f>
        <v>木村龍</v>
      </c>
      <c r="F663" s="8" t="s">
        <v>1481</v>
      </c>
    </row>
    <row r="664" spans="1:6" ht="13.8">
      <c r="A664" s="1" t="str">
        <f t="array" aca="1" ref="A664" ca="1">IF(B664="", "", IFERROR(INDEX(声優一覧!A:A, MATCH(B664, 声優一覧!B:B, 0)), "該当なし"))</f>
        <v>va_211</v>
      </c>
      <c r="B664" s="1" t="str">
        <f ca="1">IFERROR(__xludf.DUMMYFUNCTION("""COMPUTED_VALUE"""),"増元拓也")</f>
        <v>増元拓也</v>
      </c>
      <c r="C664" s="1" t="s">
        <v>20</v>
      </c>
      <c r="D664" s="1" t="str">
        <f>IF(C664="", "", IFERROR(VLOOKUP(C664, 作品一覧!A:B, 2, FALSE), "該当なし"))</f>
        <v>アイドルマスター SideM</v>
      </c>
      <c r="E664" s="1" t="str">
        <f ca="1">IFERROR(__xludf.DUMMYFUNCTION("""COMPUTED_VALUE"""),"信玄誠司")</f>
        <v>信玄誠司</v>
      </c>
      <c r="F664" s="8" t="s">
        <v>1482</v>
      </c>
    </row>
    <row r="665" spans="1:6" ht="13.8">
      <c r="A665" s="1" t="str">
        <f t="array" aca="1" ref="A665" ca="1">IF(B665="", "", IFERROR(INDEX(声優一覧!A:A, MATCH(B665, 声優一覧!B:B, 0)), "該当なし"))</f>
        <v>va_170</v>
      </c>
      <c r="B665" s="1" t="str">
        <f ca="1">IFERROR(__xludf.DUMMYFUNCTION("""COMPUTED_VALUE"""),"益山武明")</f>
        <v>益山武明</v>
      </c>
      <c r="C665" s="1" t="s">
        <v>20</v>
      </c>
      <c r="D665" s="1" t="str">
        <f>IF(C665="", "", IFERROR(VLOOKUP(C665, 作品一覧!A:B, 2, FALSE), "該当なし"))</f>
        <v>アイドルマスター SideM</v>
      </c>
      <c r="E665" s="1" t="str">
        <f ca="1">IFERROR(__xludf.DUMMYFUNCTION("""COMPUTED_VALUE"""),"紅井朱雀")</f>
        <v>紅井朱雀</v>
      </c>
      <c r="F665" s="8" t="s">
        <v>1483</v>
      </c>
    </row>
    <row r="666" spans="1:6" ht="13.8">
      <c r="A666" s="1" t="str">
        <f t="array" aca="1" ref="A666" ca="1">IF(B666="", "", IFERROR(INDEX(声優一覧!A:A, MATCH(B666, 声優一覧!B:B, 0)), "該当なし"))</f>
        <v>va_158</v>
      </c>
      <c r="B666" s="1" t="str">
        <f ca="1">IFERROR(__xludf.DUMMYFUNCTION("""COMPUTED_VALUE"""),"深町寿成")</f>
        <v>深町寿成</v>
      </c>
      <c r="C666" s="1" t="s">
        <v>20</v>
      </c>
      <c r="D666" s="1" t="str">
        <f>IF(C666="", "", IFERROR(VLOOKUP(C666, 作品一覧!A:B, 2, FALSE), "該当なし"))</f>
        <v>アイドルマスター SideM</v>
      </c>
      <c r="E666" s="1" t="str">
        <f ca="1">IFERROR(__xludf.DUMMYFUNCTION("""COMPUTED_VALUE"""),"黒野玄武")</f>
        <v>黒野玄武</v>
      </c>
      <c r="F666" s="8" t="s">
        <v>1484</v>
      </c>
    </row>
    <row r="667" spans="1:6" ht="13.8">
      <c r="A667" s="1" t="str">
        <f t="array" aca="1" ref="A667" ca="1">IF(B667="", "", IFERROR(INDEX(声優一覧!A:A, MATCH(B667, 声優一覧!B:B, 0)), "該当なし"))</f>
        <v>va_056</v>
      </c>
      <c r="B667" s="1" t="str">
        <f ca="1">IFERROR(__xludf.DUMMYFUNCTION("""COMPUTED_VALUE"""),"狩野翔")</f>
        <v>狩野翔</v>
      </c>
      <c r="C667" s="1" t="s">
        <v>20</v>
      </c>
      <c r="D667" s="1" t="str">
        <f>IF(C667="", "", IFERROR(VLOOKUP(C667, 作品一覧!A:B, 2, FALSE), "該当なし"))</f>
        <v>アイドルマスター SideM</v>
      </c>
      <c r="E667" s="1" t="str">
        <f ca="1">IFERROR(__xludf.DUMMYFUNCTION("""COMPUTED_VALUE"""),"神谷幸広")</f>
        <v>神谷幸広</v>
      </c>
      <c r="F667" s="8" t="s">
        <v>1485</v>
      </c>
    </row>
    <row r="668" spans="1:6" ht="13.8">
      <c r="A668" s="1" t="str">
        <f t="array" aca="1" ref="A668" ca="1">IF(B668="", "", IFERROR(INDEX(声優一覧!A:A, MATCH(B668, 声優一覧!B:B, 0)), "該当なし"))</f>
        <v>va_007</v>
      </c>
      <c r="B668" s="1" t="str">
        <f ca="1">IFERROR(__xludf.DUMMYFUNCTION("""COMPUTED_VALUE"""),"天﨑滉平")</f>
        <v>天﨑滉平</v>
      </c>
      <c r="C668" s="1" t="s">
        <v>20</v>
      </c>
      <c r="D668" s="1" t="str">
        <f>IF(C668="", "", IFERROR(VLOOKUP(C668, 作品一覧!A:B, 2, FALSE), "該当なし"))</f>
        <v>アイドルマスター SideM</v>
      </c>
      <c r="E668" s="1" t="str">
        <f ca="1">IFERROR(__xludf.DUMMYFUNCTION("""COMPUTED_VALUE"""),"東雲荘一郎")</f>
        <v>東雲荘一郎</v>
      </c>
      <c r="F668" s="8" t="s">
        <v>1486</v>
      </c>
    </row>
    <row r="669" spans="1:6" ht="13.8">
      <c r="A669" s="1" t="str">
        <f t="array" aca="1" ref="A669" ca="1">IF(B669="", "", IFERROR(INDEX(声優一覧!A:A, MATCH(B669, 声優一覧!B:B, 0)), "該当なし"))</f>
        <v>va_161</v>
      </c>
      <c r="B669" s="1" t="str">
        <f ca="1">IFERROR(__xludf.DUMMYFUNCTION("""COMPUTED_VALUE"""),"古川慎")</f>
        <v>古川慎</v>
      </c>
      <c r="C669" s="1" t="s">
        <v>20</v>
      </c>
      <c r="D669" s="1" t="str">
        <f>IF(C669="", "", IFERROR(VLOOKUP(C669, 作品一覧!A:B, 2, FALSE), "該当なし"))</f>
        <v>アイドルマスター SideM</v>
      </c>
      <c r="E669" s="1" t="str">
        <f ca="1">IFERROR(__xludf.DUMMYFUNCTION("""COMPUTED_VALUE"""),"アスラン=ベルゼビュートII世")</f>
        <v>アスラン=ベルゼビュートII世</v>
      </c>
      <c r="F669" s="8" t="s">
        <v>1487</v>
      </c>
    </row>
    <row r="670" spans="1:6" ht="13.8">
      <c r="A670" s="1" t="str">
        <f t="array" aca="1" ref="A670" ca="1">IF(B670="", "", IFERROR(INDEX(声優一覧!A:A, MATCH(B670, 声優一覧!B:B, 0)), "該当なし"))</f>
        <v>va_255</v>
      </c>
      <c r="B670" s="1" t="str">
        <f ca="1">IFERROR(__xludf.DUMMYFUNCTION("""COMPUTED_VALUE"""),"児玉卓也")</f>
        <v>児玉卓也</v>
      </c>
      <c r="C670" s="1" t="s">
        <v>20</v>
      </c>
      <c r="D670" s="1" t="str">
        <f>IF(C670="", "", IFERROR(VLOOKUP(C670, 作品一覧!A:B, 2, FALSE), "該当なし"))</f>
        <v>アイドルマスター SideM</v>
      </c>
      <c r="E670" s="1" t="str">
        <f ca="1">IFERROR(__xludf.DUMMYFUNCTION("""COMPUTED_VALUE"""),"卯月巻緒")</f>
        <v>卯月巻緒</v>
      </c>
      <c r="F670" s="8" t="s">
        <v>1488</v>
      </c>
    </row>
    <row r="671" spans="1:6" ht="13.8">
      <c r="A671" s="1" t="str">
        <f t="array" aca="1" ref="A671" ca="1">IF(B671="", "", IFERROR(INDEX(声優一覧!A:A, MATCH(B671, 声優一覧!B:B, 0)), "該当なし"))</f>
        <v>va_071</v>
      </c>
      <c r="B671" s="1" t="str">
        <f ca="1">IFERROR(__xludf.DUMMYFUNCTION("""COMPUTED_VALUE"""),"小林大紀")</f>
        <v>小林大紀</v>
      </c>
      <c r="C671" s="1" t="s">
        <v>20</v>
      </c>
      <c r="D671" s="1" t="str">
        <f>IF(C671="", "", IFERROR(VLOOKUP(C671, 作品一覧!A:B, 2, FALSE), "該当なし"))</f>
        <v>アイドルマスター SideM</v>
      </c>
      <c r="E671" s="1" t="str">
        <f ca="1">IFERROR(__xludf.DUMMYFUNCTION("""COMPUTED_VALUE"""),"水嶋咲")</f>
        <v>水嶋咲</v>
      </c>
      <c r="F671" s="8" t="s">
        <v>1489</v>
      </c>
    </row>
    <row r="672" spans="1:6" ht="13.8">
      <c r="A672" s="1" t="str">
        <f t="array" aca="1" ref="A672" ca="1">IF(B672="", "", IFERROR(INDEX(声優一覧!A:A, MATCH(B672, 声優一覧!B:B, 0)), "該当なし"))</f>
        <v>va_203</v>
      </c>
      <c r="B672" s="1" t="str">
        <f ca="1">IFERROR(__xludf.DUMMYFUNCTION("""COMPUTED_VALUE"""),"永野由祐")</f>
        <v>永野由祐</v>
      </c>
      <c r="C672" s="1" t="s">
        <v>20</v>
      </c>
      <c r="D672" s="1" t="str">
        <f>IF(C672="", "", IFERROR(VLOOKUP(C672, 作品一覧!A:B, 2, FALSE), "該当なし"))</f>
        <v>アイドルマスター SideM</v>
      </c>
      <c r="E672" s="1" t="str">
        <f ca="1">IFERROR(__xludf.DUMMYFUNCTION("""COMPUTED_VALUE"""),"神楽麗")</f>
        <v>神楽麗</v>
      </c>
      <c r="F672" s="8" t="s">
        <v>1490</v>
      </c>
    </row>
    <row r="673" spans="1:6" ht="13.8">
      <c r="A673" s="1" t="str">
        <f t="array" aca="1" ref="A673" ca="1">IF(B673="", "", IFERROR(INDEX(声優一覧!A:A, MATCH(B673, 声優一覧!B:B, 0)), "該当なし"))</f>
        <v>va_129</v>
      </c>
      <c r="B673" s="1" t="str">
        <f ca="1">IFERROR(__xludf.DUMMYFUNCTION("""COMPUTED_VALUE"""),"土岐隼一")</f>
        <v>土岐隼一</v>
      </c>
      <c r="C673" s="1" t="s">
        <v>20</v>
      </c>
      <c r="D673" s="1" t="str">
        <f>IF(C673="", "", IFERROR(VLOOKUP(C673, 作品一覧!A:B, 2, FALSE), "該当なし"))</f>
        <v>アイドルマスター SideM</v>
      </c>
      <c r="E673" s="1" t="str">
        <f ca="1">IFERROR(__xludf.DUMMYFUNCTION("""COMPUTED_VALUE"""),"都築圭")</f>
        <v>都築圭</v>
      </c>
      <c r="F673" s="8" t="s">
        <v>1491</v>
      </c>
    </row>
    <row r="674" spans="1:6" ht="13.8">
      <c r="A674" s="1" t="str">
        <f t="array" aca="1" ref="A674" ca="1">IF(B674="", "", IFERROR(INDEX(声優一覧!A:A, MATCH(B674, 声優一覧!B:B, 0)), "該当なし"))</f>
        <v>va_124</v>
      </c>
      <c r="B674" s="1" t="str">
        <f ca="1">IFERROR(__xludf.DUMMYFUNCTION("""COMPUTED_VALUE"""),"寺島惇太")</f>
        <v>寺島惇太</v>
      </c>
      <c r="C674" s="1" t="s">
        <v>20</v>
      </c>
      <c r="D674" s="1" t="str">
        <f>IF(C674="", "", IFERROR(VLOOKUP(C674, 作品一覧!A:B, 2, FALSE), "該当なし"))</f>
        <v>アイドルマスター SideM</v>
      </c>
      <c r="E674" s="1" t="str">
        <f ca="1">IFERROR(__xludf.DUMMYFUNCTION("""COMPUTED_VALUE"""),"大河タケル")</f>
        <v>大河タケル</v>
      </c>
      <c r="F674" s="8" t="s">
        <v>1492</v>
      </c>
    </row>
    <row r="675" spans="1:6" ht="13.8">
      <c r="A675" s="1" t="str">
        <f t="array" aca="1" ref="A675" ca="1">IF(B675="", "", IFERROR(INDEX(声優一覧!A:A, MATCH(B675, 声優一覧!B:B, 0)), "該当なし"))</f>
        <v>va_076</v>
      </c>
      <c r="B675" s="1" t="str">
        <f ca="1">IFERROR(__xludf.DUMMYFUNCTION("""COMPUTED_VALUE"""),"小松昌平")</f>
        <v>小松昌平</v>
      </c>
      <c r="C675" s="1" t="s">
        <v>20</v>
      </c>
      <c r="D675" s="1" t="str">
        <f>IF(C675="", "", IFERROR(VLOOKUP(C675, 作品一覧!A:B, 2, FALSE), "該当なし"))</f>
        <v>アイドルマスター SideM</v>
      </c>
      <c r="E675" s="1" t="str">
        <f ca="1">IFERROR(__xludf.DUMMYFUNCTION("""COMPUTED_VALUE"""),"牙崎漣")</f>
        <v>牙崎漣</v>
      </c>
      <c r="F675" s="8" t="s">
        <v>1493</v>
      </c>
    </row>
    <row r="676" spans="1:6" ht="13.8">
      <c r="A676" s="1" t="str">
        <f t="array" aca="1" ref="A676" ca="1">IF(B676="", "", IFERROR(INDEX(声優一覧!A:A, MATCH(B676, 声優一覧!B:B, 0)), "該当なし"))</f>
        <v>va_210</v>
      </c>
      <c r="B676" s="1" t="str">
        <f ca="1">IFERROR(__xludf.DUMMYFUNCTION("""COMPUTED_VALUE"""),"濱野大輝")</f>
        <v>濱野大輝</v>
      </c>
      <c r="C676" s="1" t="s">
        <v>20</v>
      </c>
      <c r="D676" s="1" t="str">
        <f>IF(C676="", "", IFERROR(VLOOKUP(C676, 作品一覧!A:B, 2, FALSE), "該当なし"))</f>
        <v>アイドルマスター SideM</v>
      </c>
      <c r="E676" s="1" t="str">
        <f ca="1">IFERROR(__xludf.DUMMYFUNCTION("""COMPUTED_VALUE"""),"円城寺道流")</f>
        <v>円城寺道流</v>
      </c>
      <c r="F676" s="8" t="s">
        <v>1494</v>
      </c>
    </row>
    <row r="677" spans="1:6" ht="13.8">
      <c r="A677" s="1" t="str">
        <f t="array" aca="1" ref="A677" ca="1">IF(B677="", "", IFERROR(INDEX(声優一覧!A:A, MATCH(B677, 声優一覧!B:B, 0)), "該当なし"))</f>
        <v>va_221</v>
      </c>
      <c r="B677" s="1" t="str">
        <f ca="1">IFERROR(__xludf.DUMMYFUNCTION("""COMPUTED_VALUE"""),"矢野奨吾")</f>
        <v>矢野奨吾</v>
      </c>
      <c r="C677" s="1" t="s">
        <v>20</v>
      </c>
      <c r="D677" s="1" t="str">
        <f>IF(C677="", "", IFERROR(VLOOKUP(C677, 作品一覧!A:B, 2, FALSE), "該当なし"))</f>
        <v>アイドルマスター SideM</v>
      </c>
      <c r="E677" s="1" t="str">
        <f ca="1">IFERROR(__xludf.DUMMYFUNCTION("""COMPUTED_VALUE"""),"岡村直央")</f>
        <v>岡村直央</v>
      </c>
      <c r="F677" s="8" t="s">
        <v>1495</v>
      </c>
    </row>
    <row r="678" spans="1:6" ht="13.8">
      <c r="A678" s="1" t="str">
        <f t="array" aca="1" ref="A678" ca="1">IF(B678="", "", IFERROR(INDEX(声優一覧!A:A, MATCH(B678, 声優一覧!B:B, 0)), "該当なし"))</f>
        <v>va_256</v>
      </c>
      <c r="B678" s="1" t="str">
        <f ca="1">IFERROR(__xludf.DUMMYFUNCTION("""COMPUTED_VALUE"""),"古畑恵介")</f>
        <v>古畑恵介</v>
      </c>
      <c r="C678" s="1" t="s">
        <v>20</v>
      </c>
      <c r="D678" s="1" t="str">
        <f>IF(C678="", "", IFERROR(VLOOKUP(C678, 作品一覧!A:B, 2, FALSE), "該当なし"))</f>
        <v>アイドルマスター SideM</v>
      </c>
      <c r="E678" s="1" t="str">
        <f ca="1">IFERROR(__xludf.DUMMYFUNCTION("""COMPUTED_VALUE"""),"橘志狼")</f>
        <v>橘志狼</v>
      </c>
      <c r="F678" s="8" t="s">
        <v>1496</v>
      </c>
    </row>
    <row r="679" spans="1:6" ht="13.8">
      <c r="A679" s="1" t="str">
        <f t="array" aca="1" ref="A679" ca="1">IF(B679="", "", IFERROR(INDEX(声優一覧!A:A, MATCH(B679, 声優一覧!B:B, 0)), "該当なし"))</f>
        <v>va_257</v>
      </c>
      <c r="B679" s="1" t="str">
        <f ca="1">IFERROR(__xludf.DUMMYFUNCTION("""COMPUTED_VALUE"""),"伊能幸輝")</f>
        <v>伊能幸輝</v>
      </c>
      <c r="C679" s="1" t="s">
        <v>20</v>
      </c>
      <c r="D679" s="1" t="str">
        <f>IF(C679="", "", IFERROR(VLOOKUP(C679, 作品一覧!A:B, 2, FALSE), "該当なし"))</f>
        <v>アイドルマスター SideM</v>
      </c>
      <c r="E679" s="1" t="str">
        <f ca="1">IFERROR(__xludf.DUMMYFUNCTION("""COMPUTED_VALUE"""),"姫野かのん")</f>
        <v>姫野かのん</v>
      </c>
      <c r="F679" s="8" t="s">
        <v>1497</v>
      </c>
    </row>
    <row r="680" spans="1:6" ht="13.8">
      <c r="A680" s="1" t="str">
        <f t="array" aca="1" ref="A680" ca="1">IF(B680="", "", IFERROR(INDEX(声優一覧!A:A, MATCH(B680, 声優一覧!B:B, 0)), "該当なし"))</f>
        <v>va_153</v>
      </c>
      <c r="B680" s="1" t="str">
        <f ca="1">IFERROR(__xludf.DUMMYFUNCTION("""COMPUTED_VALUE"""),"比留間俊哉")</f>
        <v>比留間俊哉</v>
      </c>
      <c r="C680" s="1" t="s">
        <v>20</v>
      </c>
      <c r="D680" s="1" t="str">
        <f>IF(C680="", "", IFERROR(VLOOKUP(C680, 作品一覧!A:B, 2, FALSE), "該当なし"))</f>
        <v>アイドルマスター SideM</v>
      </c>
      <c r="E680" s="1" t="str">
        <f ca="1">IFERROR(__xludf.DUMMYFUNCTION("""COMPUTED_VALUE"""),"九十九一希")</f>
        <v>九十九一希</v>
      </c>
      <c r="F680" s="8" t="s">
        <v>1498</v>
      </c>
    </row>
    <row r="681" spans="1:6" ht="13.8">
      <c r="A681" s="1" t="str">
        <f t="array" aca="1" ref="A681" ca="1">IF(B681="", "", IFERROR(INDEX(声優一覧!A:A, MATCH(B681, 声優一覧!B:B, 0)), "該当なし"))</f>
        <v>va_258</v>
      </c>
      <c r="B681" s="1" t="str">
        <f ca="1">IFERROR(__xludf.DUMMYFUNCTION("""COMPUTED_VALUE"""),"浦尾岳大")</f>
        <v>浦尾岳大</v>
      </c>
      <c r="C681" s="1" t="s">
        <v>20</v>
      </c>
      <c r="D681" s="1" t="str">
        <f>IF(C681="", "", IFERROR(VLOOKUP(C681, 作品一覧!A:B, 2, FALSE), "該当なし"))</f>
        <v>アイドルマスター SideM</v>
      </c>
      <c r="E681" s="1" t="str">
        <f ca="1">IFERROR(__xludf.DUMMYFUNCTION("""COMPUTED_VALUE"""),"兜大吾")</f>
        <v>兜大吾</v>
      </c>
      <c r="F681" s="8" t="s">
        <v>1499</v>
      </c>
    </row>
    <row r="682" spans="1:6" ht="13.8">
      <c r="A682" s="1" t="str">
        <f t="array" aca="1" ref="A682" ca="1">IF(B682="", "", IFERROR(INDEX(声優一覧!A:A, MATCH(B682, 声優一覧!B:B, 0)), "該当なし"))</f>
        <v>va_050</v>
      </c>
      <c r="B682" s="1" t="str">
        <f ca="1">IFERROR(__xludf.DUMMYFUNCTION("""COMPUTED_VALUE"""),"笠間淳")</f>
        <v>笠間淳</v>
      </c>
      <c r="C682" s="1" t="s">
        <v>20</v>
      </c>
      <c r="D682" s="1" t="str">
        <f>IF(C682="", "", IFERROR(VLOOKUP(C682, 作品一覧!A:B, 2, FALSE), "該当なし"))</f>
        <v>アイドルマスター SideM</v>
      </c>
      <c r="E682" s="1" t="str">
        <f ca="1">IFERROR(__xludf.DUMMYFUNCTION("""COMPUTED_VALUE"""),"葛之葉雨彦")</f>
        <v>葛之葉雨彦</v>
      </c>
      <c r="F682" s="8" t="s">
        <v>1500</v>
      </c>
    </row>
    <row r="683" spans="1:6" ht="13.8">
      <c r="A683" s="1" t="str">
        <f t="array" aca="1" ref="A683" ca="1">IF(B683="", "", IFERROR(INDEX(声優一覧!A:A, MATCH(B683, 声優一覧!B:B, 0)), "該当なし"))</f>
        <v>va_259</v>
      </c>
      <c r="B683" s="1" t="str">
        <f ca="1">IFERROR(__xludf.DUMMYFUNCTION("""COMPUTED_VALUE"""),"汐谷文康")</f>
        <v>汐谷文康</v>
      </c>
      <c r="C683" s="1" t="s">
        <v>20</v>
      </c>
      <c r="D683" s="1" t="str">
        <f>IF(C683="", "", IFERROR(VLOOKUP(C683, 作品一覧!A:B, 2, FALSE), "該当なし"))</f>
        <v>アイドルマスター SideM</v>
      </c>
      <c r="E683" s="1" t="str">
        <f ca="1">IFERROR(__xludf.DUMMYFUNCTION("""COMPUTED_VALUE"""),"北村想楽")</f>
        <v>北村想楽</v>
      </c>
      <c r="F683" s="8" t="s">
        <v>1501</v>
      </c>
    </row>
    <row r="684" spans="1:6" ht="13.8">
      <c r="A684" s="1" t="str">
        <f t="array" aca="1" ref="A684" ca="1">IF(B684="", "", IFERROR(INDEX(声優一覧!A:A, MATCH(B684, 声優一覧!B:B, 0)), "該当なし"))</f>
        <v>va_077</v>
      </c>
      <c r="B684" s="1" t="str">
        <f ca="1">IFERROR(__xludf.DUMMYFUNCTION("""COMPUTED_VALUE"""),"駒田航")</f>
        <v>駒田航</v>
      </c>
      <c r="C684" s="1" t="s">
        <v>20</v>
      </c>
      <c r="D684" s="1" t="str">
        <f>IF(C684="", "", IFERROR(VLOOKUP(C684, 作品一覧!A:B, 2, FALSE), "該当なし"))</f>
        <v>アイドルマスター SideM</v>
      </c>
      <c r="E684" s="1" t="str">
        <f ca="1">IFERROR(__xludf.DUMMYFUNCTION("""COMPUTED_VALUE"""),"古論クリス")</f>
        <v>古論クリス</v>
      </c>
      <c r="F684" s="8" t="s">
        <v>1502</v>
      </c>
    </row>
    <row r="685" spans="1:6" ht="13.8">
      <c r="A685" s="1" t="str">
        <f t="array" aca="1" ref="A685" ca="1">IF(B685="", "", IFERROR(INDEX(声優一覧!A:A, MATCH(B685, 声優一覧!B:B, 0)), "該当なし"))</f>
        <v>va_260</v>
      </c>
      <c r="B685" s="1" t="str">
        <f ca="1">IFERROR(__xludf.DUMMYFUNCTION("""COMPUTED_VALUE"""),"伊瀬結陸")</f>
        <v>伊瀬結陸</v>
      </c>
      <c r="C685" s="1" t="s">
        <v>20</v>
      </c>
      <c r="D685" s="1" t="str">
        <f>IF(C685="", "", IFERROR(VLOOKUP(C685, 作品一覧!A:B, 2, FALSE), "該当なし"))</f>
        <v>アイドルマスター SideM</v>
      </c>
      <c r="E685" s="1" t="str">
        <f ca="1">IFERROR(__xludf.DUMMYFUNCTION("""COMPUTED_VALUE"""),"天峰秀")</f>
        <v>天峰秀</v>
      </c>
      <c r="F685" s="8" t="s">
        <v>1503</v>
      </c>
    </row>
    <row r="686" spans="1:6" ht="13.8">
      <c r="A686" s="1" t="str">
        <f t="array" aca="1" ref="A686" ca="1">IF(B686="", "", IFERROR(INDEX(声優一覧!A:A, MATCH(B686, 声優一覧!B:B, 0)), "該当なし"))</f>
        <v>va_261</v>
      </c>
      <c r="B686" s="1" t="str">
        <f ca="1">IFERROR(__xludf.DUMMYFUNCTION("""COMPUTED_VALUE"""),"宮﨑雅也")</f>
        <v>宮﨑雅也</v>
      </c>
      <c r="C686" s="1" t="s">
        <v>20</v>
      </c>
      <c r="D686" s="1" t="str">
        <f>IF(C686="", "", IFERROR(VLOOKUP(C686, 作品一覧!A:B, 2, FALSE), "該当なし"))</f>
        <v>アイドルマスター SideM</v>
      </c>
      <c r="E686" s="1" t="str">
        <f ca="1">IFERROR(__xludf.DUMMYFUNCTION("""COMPUTED_VALUE"""),"花園百々人")</f>
        <v>花園百々人</v>
      </c>
      <c r="F686" s="8" t="s">
        <v>1504</v>
      </c>
    </row>
    <row r="687" spans="1:6" ht="13.8">
      <c r="A687" s="1" t="str">
        <f t="array" aca="1" ref="A687" ca="1">IF(B687="", "", IFERROR(INDEX(声優一覧!A:A, MATCH(B687, 声優一覧!B:B, 0)), "該当なし"))</f>
        <v>va_041</v>
      </c>
      <c r="B687" s="1" t="str">
        <f ca="1">IFERROR(__xludf.DUMMYFUNCTION("""COMPUTED_VALUE"""),"大塚剛央")</f>
        <v>大塚剛央</v>
      </c>
      <c r="C687" s="1" t="s">
        <v>20</v>
      </c>
      <c r="D687" s="1" t="str">
        <f>IF(C687="", "", IFERROR(VLOOKUP(C687, 作品一覧!A:B, 2, FALSE), "該当なし"))</f>
        <v>アイドルマスター SideM</v>
      </c>
      <c r="E687" s="1" t="str">
        <f ca="1">IFERROR(__xludf.DUMMYFUNCTION("""COMPUTED_VALUE"""),"眉見鋭心")</f>
        <v>眉見鋭心</v>
      </c>
      <c r="F687" s="8" t="s">
        <v>1505</v>
      </c>
    </row>
    <row r="688" spans="1:6" ht="13.8">
      <c r="A688" s="1" t="str">
        <f t="array" aca="1" ref="A688" ca="1">IF(B688="", "", IFERROR(INDEX(声優一覧!A:A, MATCH(B688, 声優一覧!B:B, 0)), "該当なし"))</f>
        <v>va_124</v>
      </c>
      <c r="B688" s="1" t="str">
        <f ca="1">IFERROR(__xludf.DUMMYFUNCTION("""COMPUTED_VALUE"""),"寺島惇太")</f>
        <v>寺島惇太</v>
      </c>
      <c r="C688" s="1" t="s">
        <v>86</v>
      </c>
      <c r="D688" s="1" t="str">
        <f>IF(C688="", "", IFERROR(VLOOKUP(C688, 作品一覧!A:B, 2, FALSE), "該当なし"))</f>
        <v>KING OF PRISM-Your Endless Call-み～んなきらめけ！プリズム☆ツアーズ</v>
      </c>
      <c r="E688" s="1" t="str">
        <f ca="1">IFERROR(__xludf.DUMMYFUNCTION("""COMPUTED_VALUE"""),"一条シン")</f>
        <v>一条シン</v>
      </c>
      <c r="F688" s="8" t="s">
        <v>1506</v>
      </c>
    </row>
    <row r="689" spans="1:6" ht="13.8">
      <c r="A689" s="1" t="str">
        <f t="array" aca="1" ref="A689" ca="1">IF(B689="", "", IFERROR(INDEX(声優一覧!A:A, MATCH(B689, 声優一覧!B:B, 0)), "該当なし"))</f>
        <v>va_083</v>
      </c>
      <c r="B689" s="1" t="str">
        <f ca="1">IFERROR(__xludf.DUMMYFUNCTION("""COMPUTED_VALUE"""),"斉藤壮馬")</f>
        <v>斉藤壮馬</v>
      </c>
      <c r="C689" s="1" t="s">
        <v>86</v>
      </c>
      <c r="D689" s="1" t="str">
        <f>IF(C689="", "", IFERROR(VLOOKUP(C689, 作品一覧!A:B, 2, FALSE), "該当なし"))</f>
        <v>KING OF PRISM-Your Endless Call-み～んなきらめけ！プリズム☆ツアーズ</v>
      </c>
      <c r="E689" s="1" t="str">
        <f ca="1">IFERROR(__xludf.DUMMYFUNCTION("""COMPUTED_VALUE"""),"太刀花ユキノジョウ")</f>
        <v>太刀花ユキノジョウ</v>
      </c>
      <c r="F689" s="8" t="s">
        <v>1507</v>
      </c>
    </row>
    <row r="690" spans="1:6" ht="13.8">
      <c r="A690" s="1" t="str">
        <f t="array" aca="1" ref="A690" ca="1">IF(B690="", "", IFERROR(INDEX(声優一覧!A:A, MATCH(B690, 声優一覧!B:B, 0)), "該当なし"))</f>
        <v>va_147</v>
      </c>
      <c r="B690" s="1" t="str">
        <f ca="1">IFERROR(__xludf.DUMMYFUNCTION("""COMPUTED_VALUE"""),"畠中祐")</f>
        <v>畠中祐</v>
      </c>
      <c r="C690" s="1" t="s">
        <v>86</v>
      </c>
      <c r="D690" s="1" t="str">
        <f>IF(C690="", "", IFERROR(VLOOKUP(C690, 作品一覧!A:B, 2, FALSE), "該当なし"))</f>
        <v>KING OF PRISM-Your Endless Call-み～んなきらめけ！プリズム☆ツアーズ</v>
      </c>
      <c r="E690" s="1" t="str">
        <f ca="1">IFERROR(__xludf.DUMMYFUNCTION("""COMPUTED_VALUE"""),"香賀美タイガ")</f>
        <v>香賀美タイガ</v>
      </c>
      <c r="F690" s="8" t="s">
        <v>1508</v>
      </c>
    </row>
    <row r="691" spans="1:6" ht="13.8">
      <c r="A691" s="1" t="str">
        <f t="array" aca="1" ref="A691" ca="1">IF(B691="", "", IFERROR(INDEX(声優一覧!A:A, MATCH(B691, 声優一覧!B:B, 0)), "該当なし"))</f>
        <v>va_188</v>
      </c>
      <c r="B691" s="1" t="str">
        <f ca="1">IFERROR(__xludf.DUMMYFUNCTION("""COMPUTED_VALUE"""),"八代拓")</f>
        <v>八代拓</v>
      </c>
      <c r="C691" s="1" t="s">
        <v>86</v>
      </c>
      <c r="D691" s="1" t="str">
        <f>IF(C691="", "", IFERROR(VLOOKUP(C691, 作品一覧!A:B, 2, FALSE), "該当なし"))</f>
        <v>KING OF PRISM-Your Endless Call-み～んなきらめけ！プリズム☆ツアーズ</v>
      </c>
      <c r="E691" s="1" t="str">
        <f ca="1">IFERROR(__xludf.DUMMYFUNCTION("""COMPUTED_VALUE"""),"十王院カケル")</f>
        <v>十王院カケル</v>
      </c>
      <c r="F691" s="8" t="s">
        <v>1509</v>
      </c>
    </row>
    <row r="692" spans="1:6" ht="13.8">
      <c r="A692" s="1" t="str">
        <f t="array" aca="1" ref="A692" ca="1">IF(B692="", "", IFERROR(INDEX(声優一覧!A:A, MATCH(B692, 声優一覧!B:B, 0)), "該当なし"))</f>
        <v>va_011</v>
      </c>
      <c r="B692" s="1" t="str">
        <f ca="1">IFERROR(__xludf.DUMMYFUNCTION("""COMPUTED_VALUE"""),"五十嵐雅")</f>
        <v>五十嵐雅</v>
      </c>
      <c r="C692" s="1" t="s">
        <v>86</v>
      </c>
      <c r="D692" s="1" t="str">
        <f>IF(C692="", "", IFERROR(VLOOKUP(C692, 作品一覧!A:B, 2, FALSE), "該当なし"))</f>
        <v>KING OF PRISM-Your Endless Call-み～んなきらめけ！プリズム☆ツアーズ</v>
      </c>
      <c r="E692" s="1" t="str">
        <f ca="1">IFERROR(__xludf.DUMMYFUNCTION("""COMPUTED_VALUE"""),"鷹梁ミナト")</f>
        <v>鷹梁ミナト</v>
      </c>
      <c r="F692" s="8" t="s">
        <v>1510</v>
      </c>
    </row>
    <row r="693" spans="1:6" ht="13.8">
      <c r="A693" s="1" t="str">
        <f t="array" aca="1" ref="A693" ca="1">IF(B693="", "", IFERROR(INDEX(声優一覧!A:A, MATCH(B693, 声優一覧!B:B, 0)), "該当なし"))</f>
        <v>va_250</v>
      </c>
      <c r="B693" s="1" t="str">
        <f ca="1">IFERROR(__xludf.DUMMYFUNCTION("""COMPUTED_VALUE"""),"永塚拓馬")</f>
        <v>永塚拓馬</v>
      </c>
      <c r="C693" s="1" t="s">
        <v>86</v>
      </c>
      <c r="D693" s="1" t="str">
        <f>IF(C693="", "", IFERROR(VLOOKUP(C693, 作品一覧!A:B, 2, FALSE), "該当なし"))</f>
        <v>KING OF PRISM-Your Endless Call-み～んなきらめけ！プリズム☆ツアーズ</v>
      </c>
      <c r="E693" s="1" t="str">
        <f ca="1">IFERROR(__xludf.DUMMYFUNCTION("""COMPUTED_VALUE"""),"西園寺レオ")</f>
        <v>西園寺レオ</v>
      </c>
      <c r="F693" s="8" t="s">
        <v>1511</v>
      </c>
    </row>
    <row r="694" spans="1:6" ht="13.8">
      <c r="A694" s="1" t="str">
        <f t="array" aca="1" ref="A694" ca="1">IF(B694="", "", IFERROR(INDEX(声優一覧!A:A, MATCH(B694, 声優一覧!B:B, 0)), "該当なし"))</f>
        <v>va_030</v>
      </c>
      <c r="B694" s="1" t="str">
        <f ca="1">IFERROR(__xludf.DUMMYFUNCTION("""COMPUTED_VALUE"""),"内田雄馬")</f>
        <v>内田雄馬</v>
      </c>
      <c r="C694" s="1" t="s">
        <v>86</v>
      </c>
      <c r="D694" s="1" t="str">
        <f>IF(C694="", "", IFERROR(VLOOKUP(C694, 作品一覧!A:B, 2, FALSE), "該当なし"))</f>
        <v>KING OF PRISM-Your Endless Call-み～んなきらめけ！プリズム☆ツアーズ</v>
      </c>
      <c r="E694" s="1" t="str">
        <f ca="1">IFERROR(__xludf.DUMMYFUNCTION("""COMPUTED_VALUE"""),"涼野ユウ")</f>
        <v>涼野ユウ</v>
      </c>
      <c r="F694" s="8" t="s">
        <v>1512</v>
      </c>
    </row>
    <row r="695" spans="1:6" ht="13.8">
      <c r="A695" s="1" t="str">
        <f t="array" aca="1" ref="A695" ca="1">IF(B695="", "", IFERROR(INDEX(声優一覧!A:A, MATCH(B695, 声優一覧!B:B, 0)), "該当なし"))</f>
        <v>va_009</v>
      </c>
      <c r="B695" s="1" t="str">
        <f ca="1">IFERROR(__xludf.DUMMYFUNCTION("""COMPUTED_VALUE"""),"蒼井翔太")</f>
        <v>蒼井翔太</v>
      </c>
      <c r="C695" s="1" t="s">
        <v>86</v>
      </c>
      <c r="D695" s="1" t="str">
        <f>IF(C695="", "", IFERROR(VLOOKUP(C695, 作品一覧!A:B, 2, FALSE), "該当なし"))</f>
        <v>KING OF PRISM-Your Endless Call-み～んなきらめけ！プリズム☆ツアーズ</v>
      </c>
      <c r="E695" s="1" t="str">
        <f ca="1">IFERROR(__xludf.DUMMYFUNCTION("""COMPUTED_VALUE"""),"如月ルヰ")</f>
        <v>如月ルヰ</v>
      </c>
      <c r="F695" s="8" t="s">
        <v>1513</v>
      </c>
    </row>
    <row r="696" spans="1:6" ht="13.8">
      <c r="A696" s="1" t="str">
        <f t="array" aca="1" ref="A696" ca="1">IF(B696="", "", IFERROR(INDEX(声優一覧!A:A, MATCH(B696, 声優一覧!B:B, 0)), "該当なし"))</f>
        <v>va_112</v>
      </c>
      <c r="B696" s="1" t="str">
        <f ca="1">IFERROR(__xludf.DUMMYFUNCTION("""COMPUTED_VALUE"""),"武内駿輔")</f>
        <v>武内駿輔</v>
      </c>
      <c r="C696" s="1" t="s">
        <v>86</v>
      </c>
      <c r="D696" s="1" t="str">
        <f>IF(C696="", "", IFERROR(VLOOKUP(C696, 作品一覧!A:B, 2, FALSE), "該当なし"))</f>
        <v>KING OF PRISM-Your Endless Call-み～んなきらめけ！プリズム☆ツアーズ</v>
      </c>
      <c r="E696" s="1" t="str">
        <f ca="1">IFERROR(__xludf.DUMMYFUNCTION("""COMPUTED_VALUE"""),"大和アレクサンダー")</f>
        <v>大和アレクサンダー</v>
      </c>
      <c r="F696" s="8" t="s">
        <v>1514</v>
      </c>
    </row>
    <row r="697" spans="1:6" ht="13.8">
      <c r="A697" s="1" t="str">
        <f t="array" aca="1" ref="A697" ca="1">IF(B697="", "", IFERROR(INDEX(声優一覧!A:A, MATCH(B697, 声優一覧!B:B, 0)), "該当なし"))</f>
        <v>va_097</v>
      </c>
      <c r="B697" s="1" t="str">
        <f ca="1">IFERROR(__xludf.DUMMYFUNCTION("""COMPUTED_VALUE"""),"杉田智和")</f>
        <v>杉田智和</v>
      </c>
      <c r="C697" s="1" t="s">
        <v>86</v>
      </c>
      <c r="D697" s="1" t="str">
        <f>IF(C697="", "", IFERROR(VLOOKUP(C697, 作品一覧!A:B, 2, FALSE), "該当なし"))</f>
        <v>KING OF PRISM-Your Endless Call-み～んなきらめけ！プリズム☆ツアーズ</v>
      </c>
      <c r="E697" s="1" t="str">
        <f ca="1">IFERROR(__xludf.DUMMYFUNCTION("""COMPUTED_VALUE"""),"高田馬場ジョージ")</f>
        <v>高田馬場ジョージ</v>
      </c>
      <c r="F697" s="8" t="s">
        <v>1515</v>
      </c>
    </row>
    <row r="698" spans="1:6" ht="13.8">
      <c r="A698" s="1" t="str">
        <f t="array" aca="1" ref="A698" ca="1">IF(B698="", "", IFERROR(INDEX(声優一覧!A:A, MATCH(B698, 声優一覧!B:B, 0)), "該当なし"))</f>
        <v>va_048</v>
      </c>
      <c r="B698" s="1" t="str">
        <f ca="1">IFERROR(__xludf.DUMMYFUNCTION("""COMPUTED_VALUE"""),"柿原徹也")</f>
        <v>柿原徹也</v>
      </c>
      <c r="C698" s="1" t="s">
        <v>86</v>
      </c>
      <c r="D698" s="1" t="str">
        <f>IF(C698="", "", IFERROR(VLOOKUP(C698, 作品一覧!A:B, 2, FALSE), "該当なし"))</f>
        <v>KING OF PRISM-Your Endless Call-み～んなきらめけ！プリズム☆ツアーズ</v>
      </c>
      <c r="E698" s="1" t="str">
        <f ca="1">IFERROR(__xludf.DUMMYFUNCTION("""COMPUTED_VALUE"""),"神浜コウジ")</f>
        <v>神浜コウジ</v>
      </c>
      <c r="F698" s="8" t="s">
        <v>1516</v>
      </c>
    </row>
    <row r="699" spans="1:6" ht="13.8">
      <c r="A699" s="1" t="str">
        <f t="array" aca="1" ref="A699" ca="1">IF(B699="", "", IFERROR(INDEX(声優一覧!A:A, MATCH(B699, 声優一覧!B:B, 0)), "該当なし"))</f>
        <v>va_169</v>
      </c>
      <c r="B699" s="1" t="str">
        <f ca="1">IFERROR(__xludf.DUMMYFUNCTION("""COMPUTED_VALUE"""),"前野智昭")</f>
        <v>前野智昭</v>
      </c>
      <c r="C699" s="1" t="s">
        <v>86</v>
      </c>
      <c r="D699" s="1" t="str">
        <f>IF(C699="", "", IFERROR(VLOOKUP(C699, 作品一覧!A:B, 2, FALSE), "該当なし"))</f>
        <v>KING OF PRISM-Your Endless Call-み～んなきらめけ！プリズム☆ツアーズ</v>
      </c>
      <c r="E699" s="1" t="str">
        <f ca="1">IFERROR(__xludf.DUMMYFUNCTION("""COMPUTED_VALUE"""),"速水ヒロ")</f>
        <v>速水ヒロ</v>
      </c>
      <c r="F699" s="8" t="s">
        <v>1517</v>
      </c>
    </row>
    <row r="700" spans="1:6" ht="13.8">
      <c r="A700" s="1" t="str">
        <f t="array" aca="1" ref="A700" ca="1">IF(B700="", "", IFERROR(INDEX(声優一覧!A:A, MATCH(B700, 声優一覧!B:B, 0)), "該当なし"))</f>
        <v>va_172</v>
      </c>
      <c r="B700" s="1" t="str">
        <f ca="1">IFERROR(__xludf.DUMMYFUNCTION("""COMPUTED_VALUE"""),"増田俊樹")</f>
        <v>増田俊樹</v>
      </c>
      <c r="C700" s="1" t="s">
        <v>86</v>
      </c>
      <c r="D700" s="1" t="str">
        <f>IF(C700="", "", IFERROR(VLOOKUP(C700, 作品一覧!A:B, 2, FALSE), "該当なし"))</f>
        <v>KING OF PRISM-Your Endless Call-み～んなきらめけ！プリズム☆ツアーズ</v>
      </c>
      <c r="E700" s="1" t="str">
        <f ca="1">IFERROR(__xludf.DUMMYFUNCTION("""COMPUTED_VALUE"""),"仁科カヅキ")</f>
        <v>仁科カヅキ</v>
      </c>
      <c r="F700" s="8" t="s">
        <v>1518</v>
      </c>
    </row>
    <row r="701" spans="1:6" ht="13.8">
      <c r="A701" s="1" t="str">
        <f t="array" aca="1" ref="A701" ca="1">IF(B701="", "", IFERROR(INDEX(声優一覧!A:A, MATCH(B701, 声優一覧!B:B, 0)), "該当なし"))</f>
        <v>va_176</v>
      </c>
      <c r="B701" s="1" t="str">
        <f ca="1">IFERROR(__xludf.DUMMYFUNCTION("""COMPUTED_VALUE"""),"三木眞一郎")</f>
        <v>三木眞一郎</v>
      </c>
      <c r="C701" s="1" t="s">
        <v>86</v>
      </c>
      <c r="D701" s="1" t="str">
        <f>IF(C701="", "", IFERROR(VLOOKUP(C701, 作品一覧!A:B, 2, FALSE), "該当なし"))</f>
        <v>KING OF PRISM-Your Endless Call-み～んなきらめけ！プリズム☆ツアーズ</v>
      </c>
      <c r="E701" s="1" t="str">
        <f ca="1">IFERROR(__xludf.DUMMYFUNCTION("""COMPUTED_VALUE"""),"法月仁")</f>
        <v>法月仁</v>
      </c>
      <c r="F701" s="8" t="s">
        <v>1519</v>
      </c>
    </row>
    <row r="702" spans="1:6" ht="13.8">
      <c r="A702" s="1" t="str">
        <f t="array" aca="1" ref="A702" ca="1">IF(B702="", "", IFERROR(INDEX(声優一覧!A:A, MATCH(B702, 声優一覧!B:B, 0)), "該当なし"))</f>
        <v>va_103</v>
      </c>
      <c r="B702" s="1" t="str">
        <f ca="1">IFERROR(__xludf.DUMMYFUNCTION("""COMPUTED_VALUE"""),"関俊彦")</f>
        <v>関俊彦</v>
      </c>
      <c r="C702" s="1" t="s">
        <v>86</v>
      </c>
      <c r="D702" s="1" t="str">
        <f>IF(C702="", "", IFERROR(VLOOKUP(C702, 作品一覧!A:B, 2, FALSE), "該当なし"))</f>
        <v>KING OF PRISM-Your Endless Call-み～んなきらめけ！プリズム☆ツアーズ</v>
      </c>
      <c r="E702" s="1" t="str">
        <f ca="1">IFERROR(__xludf.DUMMYFUNCTION("""COMPUTED_VALUE"""),"氷室聖")</f>
        <v>氷室聖</v>
      </c>
      <c r="F702" s="8" t="s">
        <v>1520</v>
      </c>
    </row>
    <row r="703" spans="1:6" ht="13.8">
      <c r="A703" s="1" t="str">
        <f t="array" aca="1" ref="A703" ca="1">IF(B703="", "", IFERROR(INDEX(声優一覧!A:A, MATCH(B703, 声優一覧!B:B, 0)), "該当なし"))</f>
        <v>va_185</v>
      </c>
      <c r="B703" s="1" t="str">
        <f ca="1">IFERROR(__xludf.DUMMYFUNCTION("""COMPUTED_VALUE"""),"森久保祥太郎")</f>
        <v>森久保祥太郎</v>
      </c>
      <c r="C703" s="1" t="s">
        <v>86</v>
      </c>
      <c r="D703" s="1" t="str">
        <f>IF(C703="", "", IFERROR(VLOOKUP(C703, 作品一覧!A:B, 2, FALSE), "該当なし"))</f>
        <v>KING OF PRISM-Your Endless Call-み～んなきらめけ！プリズム☆ツアーズ</v>
      </c>
      <c r="E703" s="1" t="str">
        <f ca="1">IFERROR(__xludf.DUMMYFUNCTION("""COMPUTED_VALUE"""),"黒川冷")</f>
        <v>黒川冷</v>
      </c>
      <c r="F703" s="8" t="s">
        <v>1521</v>
      </c>
    </row>
    <row r="704" spans="1:6" ht="13.8">
      <c r="A704" s="1" t="str">
        <f t="array" aca="1" ref="A704" ca="1">IF(B704="", "", IFERROR(INDEX(声優一覧!A:A, MATCH(B704, 声優一覧!B:B, 0)), "該当なし"))</f>
        <v>va_138</v>
      </c>
      <c r="B704" s="1" t="str">
        <f ca="1">IFERROR(__xludf.DUMMYFUNCTION("""COMPUTED_VALUE"""),"浪川大輔")</f>
        <v>浪川大輔</v>
      </c>
      <c r="C704" s="1" t="s">
        <v>86</v>
      </c>
      <c r="D704" s="1" t="str">
        <f>IF(C704="", "", IFERROR(VLOOKUP(C704, 作品一覧!A:B, 2, FALSE), "該当なし"))</f>
        <v>KING OF PRISM-Your Endless Call-み～んなきらめけ！プリズム☆ツアーズ</v>
      </c>
      <c r="E704" s="1" t="str">
        <f ca="1">IFERROR(__xludf.DUMMYFUNCTION("""COMPUTED_VALUE"""),"山田リョウ")</f>
        <v>山田リョウ</v>
      </c>
      <c r="F704" s="8" t="s">
        <v>1522</v>
      </c>
    </row>
    <row r="705" spans="1:6" ht="13.8">
      <c r="A705" s="1" t="str">
        <f t="array" aca="1" ref="A705" ca="1">IF(B705="", "", IFERROR(INDEX(声優一覧!A:A, MATCH(B705, 声優一覧!B:B, 0)), "該当なし"))</f>
        <v>va_192</v>
      </c>
      <c r="B705" s="1" t="str">
        <f ca="1">IFERROR(__xludf.DUMMYFUNCTION("""COMPUTED_VALUE"""),"山下誠一郎")</f>
        <v>山下誠一郎</v>
      </c>
      <c r="C705" s="1" t="s">
        <v>86</v>
      </c>
      <c r="D705" s="1" t="str">
        <f>IF(C705="", "", IFERROR(VLOOKUP(C705, 作品一覧!A:B, 2, FALSE), "該当なし"))</f>
        <v>KING OF PRISM-Your Endless Call-み～んなきらめけ！プリズム☆ツアーズ</v>
      </c>
      <c r="E705" s="1" t="str">
        <f ca="1">IFERROR(__xludf.DUMMYFUNCTION("""COMPUTED_VALUE"""),"夢川ショウゴ")</f>
        <v>夢川ショウゴ</v>
      </c>
      <c r="F705" s="8" t="s">
        <v>1523</v>
      </c>
    </row>
    <row r="706" spans="1:6" ht="13.8">
      <c r="A706" s="1" t="str">
        <f t="array" aca="1" ref="A706" ca="1">IF(B706="", "", IFERROR(INDEX(声優一覧!A:A, MATCH(B706, 声優一覧!B:B, 0)), "該当なし"))</f>
        <v>va_074</v>
      </c>
      <c r="B706" s="1" t="str">
        <f ca="1">IFERROR(__xludf.DUMMYFUNCTION("""COMPUTED_VALUE"""),"小林竜之")</f>
        <v>小林竜之</v>
      </c>
      <c r="C706" s="1" t="s">
        <v>86</v>
      </c>
      <c r="D706" s="1" t="str">
        <f>IF(C706="", "", IFERROR(VLOOKUP(C706, 作品一覧!A:B, 2, FALSE), "該当なし"))</f>
        <v>KING OF PRISM-Your Endless Call-み～んなきらめけ！プリズム☆ツアーズ</v>
      </c>
      <c r="E706" s="1" t="str">
        <f ca="1">IFERROR(__xludf.DUMMYFUNCTION("""COMPUTED_VALUE"""),"三鷹アサヒ")</f>
        <v>三鷹アサヒ</v>
      </c>
      <c r="F706" s="8" t="s">
        <v>1524</v>
      </c>
    </row>
    <row r="707" spans="1:6" ht="13.8">
      <c r="A707" s="1" t="str">
        <f t="array" aca="1" ref="A707" ca="1">IF(B707="", "", IFERROR(INDEX(声優一覧!A:A, MATCH(B707, 声優一覧!B:B, 0)), "該当なし"))</f>
        <v>va_122</v>
      </c>
      <c r="B707" s="1" t="str">
        <f ca="1">IFERROR(__xludf.DUMMYFUNCTION("""COMPUTED_VALUE"""),"土田玲央")</f>
        <v>土田玲央</v>
      </c>
      <c r="C707" s="1" t="s">
        <v>86</v>
      </c>
      <c r="D707" s="1" t="str">
        <f>IF(C707="", "", IFERROR(VLOOKUP(C707, 作品一覧!A:B, 2, FALSE), "該当なし"))</f>
        <v>KING OF PRISM-Your Endless Call-み～んなきらめけ！プリズム☆ツアーズ</v>
      </c>
      <c r="E707" s="1" t="str">
        <f ca="1">IFERROR(__xludf.DUMMYFUNCTION("""COMPUTED_VALUE"""),"高瀬コヨイ")</f>
        <v>高瀬コヨイ</v>
      </c>
      <c r="F707" s="8" t="s">
        <v>1525</v>
      </c>
    </row>
    <row r="708" spans="1:6" ht="13.8">
      <c r="A708" s="1" t="str">
        <f t="array" aca="1" ref="A708" ca="1">IF(B708="", "", IFERROR(INDEX(声優一覧!A:A, MATCH(B708, 声優一覧!B:B, 0)), "該当なし"))</f>
        <v>va_262</v>
      </c>
      <c r="B708" s="1" t="str">
        <f ca="1">IFERROR(__xludf.DUMMYFUNCTION("""COMPUTED_VALUE"""),"河合健太郎")</f>
        <v>河合健太郎</v>
      </c>
      <c r="C708" s="1" t="s">
        <v>86</v>
      </c>
      <c r="D708" s="1" t="str">
        <f>IF(C708="", "", IFERROR(VLOOKUP(C708, 作品一覧!A:B, 2, FALSE), "該当なし"))</f>
        <v>KING OF PRISM-Your Endless Call-み～んなきらめけ！プリズム☆ツアーズ</v>
      </c>
      <c r="E708" s="1" t="str">
        <f ca="1">IFERROR(__xludf.DUMMYFUNCTION("""COMPUTED_VALUE"""),"大江戸シンヤ")</f>
        <v>大江戸シンヤ</v>
      </c>
      <c r="F708" s="8" t="s">
        <v>1526</v>
      </c>
    </row>
    <row r="709" spans="1:6" ht="13.8">
      <c r="A709" s="1" t="str">
        <f t="array" aca="1" ref="A709" ca="1">IF(B709="", "", IFERROR(INDEX(声優一覧!A:A, MATCH(B709, 声優一覧!B:B, 0)), "該当なし"))</f>
        <v>va_263</v>
      </c>
      <c r="B709" s="1" t="str">
        <f ca="1">IFERROR(__xludf.DUMMYFUNCTION("""COMPUTED_VALUE"""),"鵜澤正太郎")</f>
        <v>鵜澤正太郎</v>
      </c>
      <c r="C709" s="1" t="s">
        <v>86</v>
      </c>
      <c r="D709" s="1" t="str">
        <f>IF(C709="", "", IFERROR(VLOOKUP(C709, 作品一覧!A:B, 2, FALSE), "該当なし"))</f>
        <v>KING OF PRISM-Your Endless Call-み～んなきらめけ！プリズム☆ツアーズ</v>
      </c>
      <c r="E709" s="1" t="str">
        <f ca="1">IFERROR(__xludf.DUMMYFUNCTION("""COMPUTED_VALUE"""),"ウシミツ")</f>
        <v>ウシミツ</v>
      </c>
      <c r="F709" s="8" t="s">
        <v>1527</v>
      </c>
    </row>
    <row r="710" spans="1:6" ht="13.8">
      <c r="A710" s="1" t="str">
        <f t="array" aca="1" ref="A710" ca="1">IF(B710="", "", IFERROR(INDEX(声優一覧!A:A, MATCH(B710, 声優一覧!B:B, 0)), "該当なし"))</f>
        <v>va_264</v>
      </c>
      <c r="B710" s="1" t="str">
        <f ca="1">IFERROR(__xludf.DUMMYFUNCTION("""COMPUTED_VALUE"""),"橘龍丸")</f>
        <v>橘龍丸</v>
      </c>
      <c r="C710" s="1" t="s">
        <v>86</v>
      </c>
      <c r="D710" s="1" t="str">
        <f>IF(C710="", "", IFERROR(VLOOKUP(C710, 作品一覧!A:B, 2, FALSE), "該当なし"))</f>
        <v>KING OF PRISM-Your Endless Call-み～んなきらめけ！プリズム☆ツアーズ</v>
      </c>
      <c r="E710" s="1" t="str">
        <f ca="1">IFERROR(__xludf.DUMMYFUNCTION("""COMPUTED_VALUE"""),"マリオ")</f>
        <v>マリオ</v>
      </c>
      <c r="F710" s="8" t="s">
        <v>1528</v>
      </c>
    </row>
    <row r="711" spans="1:6" ht="13.8">
      <c r="A711" s="1" t="str">
        <f t="array" aca="1" ref="A711" ca="1">IF(B711="", "", IFERROR(INDEX(声優一覧!A:A, MATCH(B711, 声優一覧!B:B, 0)), "該当なし"))</f>
        <v>va_209</v>
      </c>
      <c r="B711" s="1" t="str">
        <f ca="1">IFERROR(__xludf.DUMMYFUNCTION("""COMPUTED_VALUE"""),"浦田わたる")</f>
        <v>浦田わたる</v>
      </c>
      <c r="C711" s="1" t="s">
        <v>86</v>
      </c>
      <c r="D711" s="1" t="str">
        <f>IF(C711="", "", IFERROR(VLOOKUP(C711, 作品一覧!A:B, 2, FALSE), "該当なし"))</f>
        <v>KING OF PRISM-Your Endless Call-み～んなきらめけ！プリズム☆ツアーズ</v>
      </c>
      <c r="E711" s="1" t="str">
        <f ca="1">IFERROR(__xludf.DUMMYFUNCTION("""COMPUTED_VALUE"""),"三枝タカヤ")</f>
        <v>三枝タカヤ</v>
      </c>
      <c r="F711" s="8" t="s">
        <v>1529</v>
      </c>
    </row>
    <row r="712" spans="1:6" ht="13.8">
      <c r="A712" s="1" t="str">
        <f t="array" aca="1" ref="A712" ca="1">IF(B712="", "", IFERROR(INDEX(声優一覧!A:A, MATCH(B712, 声優一覧!B:B, 0)), "該当なし"))</f>
        <v>va_008</v>
      </c>
      <c r="B712" s="1" t="str">
        <f ca="1">IFERROR(__xludf.DUMMYFUNCTION("""COMPUTED_VALUE"""),"天月")</f>
        <v>天月</v>
      </c>
      <c r="C712" s="1" t="s">
        <v>86</v>
      </c>
      <c r="D712" s="1" t="str">
        <f>IF(C712="", "", IFERROR(VLOOKUP(C712, 作品一覧!A:B, 2, FALSE), "該当なし"))</f>
        <v>KING OF PRISM-Your Endless Call-み～んなきらめけ！プリズム☆ツアーズ</v>
      </c>
      <c r="E712" s="1" t="str">
        <f ca="1">IFERROR(__xludf.DUMMYFUNCTION("""COMPUTED_VALUE"""),"花倉アユミ")</f>
        <v>花倉アユミ</v>
      </c>
      <c r="F712" s="8" t="s">
        <v>1530</v>
      </c>
    </row>
    <row r="713" spans="1:6" ht="13.8">
      <c r="A713" s="1" t="str">
        <f t="array" aca="1" ref="A713" ca="1">IF(B713="", "", IFERROR(INDEX(声優一覧!A:A, MATCH(B713, 声優一覧!B:B, 0)), "該当なし"))</f>
        <v>va_053</v>
      </c>
      <c r="B713" s="1" t="str">
        <f ca="1">IFERROR(__xludf.DUMMYFUNCTION("""COMPUTED_VALUE"""),"梶原岳人")</f>
        <v>梶原岳人</v>
      </c>
      <c r="C713" s="1" t="s">
        <v>86</v>
      </c>
      <c r="D713" s="1" t="str">
        <f>IF(C713="", "", IFERROR(VLOOKUP(C713, 作品一覧!A:B, 2, FALSE), "該当なし"))</f>
        <v>KING OF PRISM-Your Endless Call-み～んなきらめけ！プリズム☆ツアーズ</v>
      </c>
      <c r="E713" s="1" t="str">
        <f ca="1">IFERROR(__xludf.DUMMYFUNCTION("""COMPUTED_VALUE"""),"伊吹橙真")</f>
        <v>伊吹橙真</v>
      </c>
      <c r="F713" s="8" t="s">
        <v>1531</v>
      </c>
    </row>
    <row r="714" spans="1:6" ht="13.8">
      <c r="A714" s="1" t="str">
        <f t="array" aca="1" ref="A714" ca="1">IF(B714="", "", IFERROR(INDEX(声優一覧!A:A, MATCH(B714, 声優一覧!B:B, 0)), "該当なし"))</f>
        <v>va_117</v>
      </c>
      <c r="B714" s="1" t="str">
        <f ca="1">IFERROR(__xludf.DUMMYFUNCTION("""COMPUTED_VALUE"""),"田丸篤志")</f>
        <v>田丸篤志</v>
      </c>
      <c r="C714" s="1" t="s">
        <v>86</v>
      </c>
      <c r="D714" s="1" t="str">
        <f>IF(C714="", "", IFERROR(VLOOKUP(C714, 作品一覧!A:B, 2, FALSE), "該当なし"))</f>
        <v>KING OF PRISM-Your Endless Call-み～んなきらめけ！プリズム☆ツアーズ</v>
      </c>
      <c r="E714" s="1" t="str">
        <f ca="1">IFERROR(__xludf.DUMMYFUNCTION("""COMPUTED_VALUE"""),"ひゅーい")</f>
        <v>ひゅーい</v>
      </c>
      <c r="F714" s="8" t="s">
        <v>1532</v>
      </c>
    </row>
    <row r="715" spans="1:6" ht="13.8">
      <c r="A715" s="1" t="str">
        <f t="array" aca="1" ref="A715" ca="1">IF(B715="", "", IFERROR(INDEX(声優一覧!A:A, MATCH(B715, 声優一覧!B:B, 0)), "該当なし"))</f>
        <v>va_081</v>
      </c>
      <c r="B715" s="1" t="str">
        <f ca="1">IFERROR(__xludf.DUMMYFUNCTION("""COMPUTED_VALUE"""),"近藤隆")</f>
        <v>近藤隆</v>
      </c>
      <c r="C715" s="1" t="s">
        <v>86</v>
      </c>
      <c r="D715" s="1" t="str">
        <f>IF(C715="", "", IFERROR(VLOOKUP(C715, 作品一覧!A:B, 2, FALSE), "該当なし"))</f>
        <v>KING OF PRISM-Your Endless Call-み～んなきらめけ！プリズム☆ツアーズ</v>
      </c>
      <c r="E715" s="1" t="str">
        <f ca="1">IFERROR(__xludf.DUMMYFUNCTION("""COMPUTED_VALUE"""),"ショウ")</f>
        <v>ショウ</v>
      </c>
      <c r="F715" s="8" t="s">
        <v>1533</v>
      </c>
    </row>
    <row r="716" spans="1:6" ht="13.8">
      <c r="A716" s="1" t="str">
        <f t="array" aca="1" ref="A716" ca="1">IF(B716="", "", IFERROR(INDEX(声優一覧!A:A, MATCH(B716, 声優一覧!B:B, 0)), "該当なし"))</f>
        <v>va_200</v>
      </c>
      <c r="B716" s="1" t="str">
        <f ca="1">IFERROR(__xludf.DUMMYFUNCTION("""COMPUTED_VALUE"""),"KENN")</f>
        <v>KENN</v>
      </c>
      <c r="C716" s="1" t="s">
        <v>86</v>
      </c>
      <c r="D716" s="1" t="str">
        <f>IF(C716="", "", IFERROR(VLOOKUP(C716, 作品一覧!A:B, 2, FALSE), "該当なし"))</f>
        <v>KING OF PRISM-Your Endless Call-み～んなきらめけ！プリズム☆ツアーズ</v>
      </c>
      <c r="E716" s="1" t="str">
        <f ca="1">IFERROR(__xludf.DUMMYFUNCTION("""COMPUTED_VALUE"""),"ヒビキ")</f>
        <v>ヒビキ</v>
      </c>
      <c r="F716" s="8" t="s">
        <v>1534</v>
      </c>
    </row>
    <row r="717" spans="1:6" ht="13.8">
      <c r="A717" s="1" t="str">
        <f t="array" aca="1" ref="A717" ca="1">IF(B717="", "", IFERROR(INDEX(声優一覧!A:A, MATCH(B717, 声優一覧!B:B, 0)), "該当なし"))</f>
        <v>va_042</v>
      </c>
      <c r="B717" s="1" t="str">
        <f ca="1">IFERROR(__xludf.DUMMYFUNCTION("""COMPUTED_VALUE"""),"岡本信彦")</f>
        <v>岡本信彦</v>
      </c>
      <c r="C717" s="1" t="s">
        <v>86</v>
      </c>
      <c r="D717" s="1" t="str">
        <f>IF(C717="", "", IFERROR(VLOOKUP(C717, 作品一覧!A:B, 2, FALSE), "該当なし"))</f>
        <v>KING OF PRISM-Your Endless Call-み～んなきらめけ！プリズム☆ツアーズ</v>
      </c>
      <c r="E717" s="1" t="str">
        <f ca="1">IFERROR(__xludf.DUMMYFUNCTION("""COMPUTED_VALUE"""),"ワタル")</f>
        <v>ワタル</v>
      </c>
      <c r="F717" s="8" t="s">
        <v>1535</v>
      </c>
    </row>
    <row r="718" spans="1:6" ht="13.8">
      <c r="A718" s="1" t="str">
        <f t="array" aca="1" ref="A718" ca="1">IF(B718="", "", IFERROR(INDEX(声優一覧!A:A, MATCH(B718, 声優一覧!B:B, 0)), "該当なし"))</f>
        <v>va_180</v>
      </c>
      <c r="B718" s="1" t="str">
        <f ca="1">IFERROR(__xludf.DUMMYFUNCTION("""COMPUTED_VALUE"""),"緑川光")</f>
        <v>緑川光</v>
      </c>
      <c r="C718" s="1" t="s">
        <v>188</v>
      </c>
      <c r="D718" s="1" t="str">
        <f>IF(C718="", "", IFERROR(VLOOKUP(C718, 作品一覧!A:B, 2, FALSE), "該当なし"))</f>
        <v>ときめきメモリアル Girl's Sideシリーズ</v>
      </c>
      <c r="E718" s="1" t="str">
        <f ca="1">IFERROR(__xludf.DUMMYFUNCTION("""COMPUTED_VALUE"""),"葉月珪")</f>
        <v>葉月珪</v>
      </c>
      <c r="F718" s="8" t="s">
        <v>1536</v>
      </c>
    </row>
    <row r="719" spans="1:6" ht="13.8">
      <c r="A719" s="1" t="str">
        <f t="array" aca="1" ref="A719" ca="1">IF(B719="", "", IFERROR(INDEX(声優一覧!A:A, MATCH(B719, 声優一覧!B:B, 0)), "該当なし"))</f>
        <v>va_265</v>
      </c>
      <c r="B719" s="1" t="str">
        <f ca="1">IFERROR(__xludf.DUMMYFUNCTION("""COMPUTED_VALUE"""),"石田彰")</f>
        <v>石田彰</v>
      </c>
      <c r="C719" s="1" t="s">
        <v>188</v>
      </c>
      <c r="D719" s="1" t="str">
        <f>IF(C719="", "", IFERROR(VLOOKUP(C719, 作品一覧!A:B, 2, FALSE), "該当なし"))</f>
        <v>ときめきメモリアル Girl's Sideシリーズ</v>
      </c>
      <c r="E719" s="1" t="str">
        <f ca="1">IFERROR(__xludf.DUMMYFUNCTION("""COMPUTED_VALUE"""),"守村桜弥")</f>
        <v>守村桜弥</v>
      </c>
      <c r="F719" s="8" t="s">
        <v>1537</v>
      </c>
    </row>
    <row r="720" spans="1:6" ht="13.8">
      <c r="A720" s="1" t="str">
        <f t="array" aca="1" ref="A720" ca="1">IF(B720="", "", IFERROR(INDEX(声優一覧!A:A, MATCH(B720, 声優一覧!B:B, 0)), "該当なし"))</f>
        <v>va_176</v>
      </c>
      <c r="B720" s="1" t="str">
        <f ca="1">IFERROR(__xludf.DUMMYFUNCTION("""COMPUTED_VALUE"""),"三木眞一郎")</f>
        <v>三木眞一郎</v>
      </c>
      <c r="C720" s="1" t="s">
        <v>188</v>
      </c>
      <c r="D720" s="1" t="str">
        <f>IF(C720="", "", IFERROR(VLOOKUP(C720, 作品一覧!A:B, 2, FALSE), "該当なし"))</f>
        <v>ときめきメモリアル Girl's Sideシリーズ</v>
      </c>
      <c r="E720" s="1" t="str">
        <f ca="1">IFERROR(__xludf.DUMMYFUNCTION("""COMPUTED_VALUE"""),"三原色")</f>
        <v>三原色</v>
      </c>
      <c r="F720" s="8" t="s">
        <v>1538</v>
      </c>
    </row>
    <row r="721" spans="1:6" ht="13.8">
      <c r="A721" s="1" t="str">
        <f t="array" aca="1" ref="A721" ca="1">IF(B721="", "", IFERROR(INDEX(声優一覧!A:A, MATCH(B721, 声優一覧!B:B, 0)), "該当なし"))</f>
        <v>va_043</v>
      </c>
      <c r="B721" s="1" t="str">
        <f ca="1">IFERROR(__xludf.DUMMYFUNCTION("""COMPUTED_VALUE"""),"置鮎龍太郎")</f>
        <v>置鮎龍太郎</v>
      </c>
      <c r="C721" s="1" t="s">
        <v>188</v>
      </c>
      <c r="D721" s="1" t="str">
        <f>IF(C721="", "", IFERROR(VLOOKUP(C721, 作品一覧!A:B, 2, FALSE), "該当なし"))</f>
        <v>ときめきメモリアル Girl's Sideシリーズ</v>
      </c>
      <c r="E721" s="1" t="str">
        <f ca="1">IFERROR(__xludf.DUMMYFUNCTION("""COMPUTED_VALUE"""),"姫条まどか")</f>
        <v>姫条まどか</v>
      </c>
      <c r="F721" s="8" t="s">
        <v>1539</v>
      </c>
    </row>
    <row r="722" spans="1:6" ht="13.8">
      <c r="A722" s="1" t="str">
        <f t="array" aca="1" ref="A722" ca="1">IF(B722="", "", IFERROR(INDEX(声優一覧!A:A, MATCH(B722, 声優一覧!B:B, 0)), "該当なし"))</f>
        <v>va_266</v>
      </c>
      <c r="B722" s="1" t="str">
        <f ca="1">IFERROR(__xludf.DUMMYFUNCTION("""COMPUTED_VALUE"""),"檜山修之")</f>
        <v>檜山修之</v>
      </c>
      <c r="C722" s="1" t="s">
        <v>188</v>
      </c>
      <c r="D722" s="1" t="str">
        <f>IF(C722="", "", IFERROR(VLOOKUP(C722, 作品一覧!A:B, 2, FALSE), "該当なし"))</f>
        <v>ときめきメモリアル Girl's Sideシリーズ</v>
      </c>
      <c r="E722" s="1" t="str">
        <f ca="1">IFERROR(__xludf.DUMMYFUNCTION("""COMPUTED_VALUE"""),"鈴鹿和馬")</f>
        <v>鈴鹿和馬</v>
      </c>
      <c r="F722" s="8" t="s">
        <v>1540</v>
      </c>
    </row>
    <row r="723" spans="1:6" ht="13.8">
      <c r="A723" s="1" t="str">
        <f t="array" aca="1" ref="A723" ca="1">IF(B723="", "", IFERROR(INDEX(声優一覧!A:A, MATCH(B723, 声優一覧!B:B, 0)), "該当なし"))</f>
        <v>va_267</v>
      </c>
      <c r="B723" s="1" t="str">
        <f ca="1">IFERROR(__xludf.DUMMYFUNCTION("""COMPUTED_VALUE"""),"山口勝平")</f>
        <v>山口勝平</v>
      </c>
      <c r="C723" s="1" t="s">
        <v>188</v>
      </c>
      <c r="D723" s="1" t="str">
        <f>IF(C723="", "", IFERROR(VLOOKUP(C723, 作品一覧!A:B, 2, FALSE), "該当なし"))</f>
        <v>ときめきメモリアル Girl's Sideシリーズ</v>
      </c>
      <c r="E723" s="1" t="str">
        <f ca="1">IFERROR(__xludf.DUMMYFUNCTION("""COMPUTED_VALUE"""),"日比谷渉")</f>
        <v>日比谷渉</v>
      </c>
      <c r="F723" s="8" t="s">
        <v>1541</v>
      </c>
    </row>
    <row r="724" spans="1:6" ht="13.8">
      <c r="A724" s="1" t="str">
        <f t="array" aca="1" ref="A724" ca="1">IF(B724="", "", IFERROR(INDEX(声優一覧!A:A, MATCH(B724, 声優一覧!B:B, 0)), "該当なし"))</f>
        <v>va_080</v>
      </c>
      <c r="B724" s="1" t="str">
        <f ca="1">IFERROR(__xludf.DUMMYFUNCTION("""COMPUTED_VALUE"""),"子安武人")</f>
        <v>子安武人</v>
      </c>
      <c r="C724" s="1" t="s">
        <v>188</v>
      </c>
      <c r="D724" s="1" t="str">
        <f>IF(C724="", "", IFERROR(VLOOKUP(C724, 作品一覧!A:B, 2, FALSE), "該当なし"))</f>
        <v>ときめきメモリアル Girl's Sideシリーズ</v>
      </c>
      <c r="E724" s="1" t="str">
        <f ca="1">IFERROR(__xludf.DUMMYFUNCTION("""COMPUTED_VALUE"""),"氷室零一")</f>
        <v>氷室零一</v>
      </c>
      <c r="F724" s="8" t="s">
        <v>1542</v>
      </c>
    </row>
    <row r="725" spans="1:6" ht="13.8">
      <c r="A725" s="1" t="str">
        <f t="array" aca="1" ref="A725" ca="1">IF(B725="", "", IFERROR(INDEX(声優一覧!A:A, MATCH(B725, 声優一覧!B:B, 0)), "該当なし"))</f>
        <v>va_268</v>
      </c>
      <c r="B725" s="1" t="str">
        <f ca="1">IFERROR(__xludf.DUMMYFUNCTION("""COMPUTED_VALUE"""),"小杉十郎太")</f>
        <v>小杉十郎太</v>
      </c>
      <c r="C725" s="1" t="s">
        <v>188</v>
      </c>
      <c r="D725" s="1" t="str">
        <f>IF(C725="", "", IFERROR(VLOOKUP(C725, 作品一覧!A:B, 2, FALSE), "該当なし"))</f>
        <v>ときめきメモリアル Girl's Sideシリーズ</v>
      </c>
      <c r="E725" s="1" t="str">
        <f ca="1">IFERROR(__xludf.DUMMYFUNCTION("""COMPUTED_VALUE"""),"天之橋一鶴")</f>
        <v>天之橋一鶴</v>
      </c>
      <c r="F725" s="8" t="s">
        <v>1543</v>
      </c>
    </row>
    <row r="726" spans="1:6" ht="13.8">
      <c r="A726" s="1" t="str">
        <f t="array" aca="1" ref="A726" ca="1">IF(B726="", "", IFERROR(INDEX(声優一覧!A:A, MATCH(B726, 声優一覧!B:B, 0)), "該当なし"))</f>
        <v>va_185</v>
      </c>
      <c r="B726" s="1" t="str">
        <f ca="1">IFERROR(__xludf.DUMMYFUNCTION("""COMPUTED_VALUE"""),"森久保祥太郎")</f>
        <v>森久保祥太郎</v>
      </c>
      <c r="C726" s="1" t="s">
        <v>188</v>
      </c>
      <c r="D726" s="1" t="str">
        <f>IF(C726="", "", IFERROR(VLOOKUP(C726, 作品一覧!A:B, 2, FALSE), "該当なし"))</f>
        <v>ときめきメモリアル Girl's Sideシリーズ</v>
      </c>
      <c r="E726" s="1" t="str">
        <f ca="1">IFERROR(__xludf.DUMMYFUNCTION("""COMPUTED_VALUE"""),"蒼樹千晴")</f>
        <v>蒼樹千晴</v>
      </c>
      <c r="F726" s="8" t="s">
        <v>1544</v>
      </c>
    </row>
    <row r="727" spans="1:6" ht="13.8">
      <c r="A727" s="1" t="str">
        <f t="array" aca="1" ref="A727" ca="1">IF(B727="", "", IFERROR(INDEX(声優一覧!A:A, MATCH(B727, 声優一覧!B:B, 0)), "該当なし"))</f>
        <v>va_168</v>
      </c>
      <c r="B727" s="1" t="str">
        <f ca="1">IFERROR(__xludf.DUMMYFUNCTION("""COMPUTED_VALUE"""),"保志総一朗")</f>
        <v>保志総一朗</v>
      </c>
      <c r="C727" s="1" t="s">
        <v>188</v>
      </c>
      <c r="D727" s="1" t="str">
        <f>IF(C727="", "", IFERROR(VLOOKUP(C727, 作品一覧!A:B, 2, FALSE), "該当なし"))</f>
        <v>ときめきメモリアル Girl's Sideシリーズ</v>
      </c>
      <c r="E727" s="1" t="str">
        <f ca="1">IFERROR(__xludf.DUMMYFUNCTION("""COMPUTED_VALUE"""),"天童壬")</f>
        <v>天童壬</v>
      </c>
      <c r="F727" s="8" t="s">
        <v>1545</v>
      </c>
    </row>
    <row r="728" spans="1:6" ht="13.8">
      <c r="A728" s="1" t="str">
        <f t="array" aca="1" ref="A728" ca="1">IF(B728="", "", IFERROR(INDEX(声優一覧!A:A, MATCH(B728, 声優一覧!B:B, 0)), "該当なし"))</f>
        <v>va_269</v>
      </c>
      <c r="B728" s="1" t="str">
        <f ca="1">IFERROR(__xludf.DUMMYFUNCTION("""COMPUTED_VALUE"""),"森田成一")</f>
        <v>森田成一</v>
      </c>
      <c r="C728" s="1" t="s">
        <v>188</v>
      </c>
      <c r="D728" s="1" t="str">
        <f>IF(C728="", "", IFERROR(VLOOKUP(C728, 作品一覧!A:B, 2, FALSE), "該当なし"))</f>
        <v>ときめきメモリアル Girl's Sideシリーズ</v>
      </c>
      <c r="E728" s="1" t="str">
        <f ca="1">IFERROR(__xludf.DUMMYFUNCTION("""COMPUTED_VALUE"""),"佐伯瑛")</f>
        <v>佐伯瑛</v>
      </c>
      <c r="F728" s="8" t="s">
        <v>1546</v>
      </c>
    </row>
    <row r="729" spans="1:6" ht="13.8">
      <c r="A729" s="1" t="str">
        <f t="array" aca="1" ref="A729" ca="1">IF(B729="", "", IFERROR(INDEX(声優一覧!A:A, MATCH(B729, 声優一覧!B:B, 0)), "該当なし"))</f>
        <v>va_270</v>
      </c>
      <c r="B729" s="1" t="str">
        <f ca="1">IFERROR(__xludf.DUMMYFUNCTION("""COMPUTED_VALUE"""),"中井和哉")</f>
        <v>中井和哉</v>
      </c>
      <c r="C729" s="1" t="s">
        <v>188</v>
      </c>
      <c r="D729" s="1" t="str">
        <f>IF(C729="", "", IFERROR(VLOOKUP(C729, 作品一覧!A:B, 2, FALSE), "該当なし"))</f>
        <v>ときめきメモリアル Girl's Sideシリーズ</v>
      </c>
      <c r="E729" s="1" t="str">
        <f ca="1">IFERROR(__xludf.DUMMYFUNCTION("""COMPUTED_VALUE"""),"志波勝己")</f>
        <v>志波勝己</v>
      </c>
      <c r="F729" s="8" t="s">
        <v>1547</v>
      </c>
    </row>
    <row r="730" spans="1:6" ht="13.8">
      <c r="A730" s="1" t="str">
        <f t="array" aca="1" ref="A730" ca="1">IF(B730="", "", IFERROR(INDEX(声優一覧!A:A, MATCH(B730, 声優一覧!B:B, 0)), "該当なし"))</f>
        <v>va_099</v>
      </c>
      <c r="B730" s="1" t="str">
        <f ca="1">IFERROR(__xludf.DUMMYFUNCTION("""COMPUTED_VALUE"""),"鈴木千尋")</f>
        <v>鈴木千尋</v>
      </c>
      <c r="C730" s="1" t="s">
        <v>188</v>
      </c>
      <c r="D730" s="1" t="str">
        <f>IF(C730="", "", IFERROR(VLOOKUP(C730, 作品一覧!A:B, 2, FALSE), "該当なし"))</f>
        <v>ときめきメモリアル Girl's Sideシリーズ</v>
      </c>
      <c r="E730" s="1" t="str">
        <f ca="1">IFERROR(__xludf.DUMMYFUNCTION("""COMPUTED_VALUE"""),"氷上格")</f>
        <v>氷上格</v>
      </c>
      <c r="F730" s="8" t="s">
        <v>1548</v>
      </c>
    </row>
    <row r="731" spans="1:6" ht="13.8">
      <c r="A731" s="1" t="str">
        <f t="array" aca="1" ref="A731" ca="1">IF(B731="", "", IFERROR(INDEX(声優一覧!A:A, MATCH(B731, 声優一覧!B:B, 0)), "該当なし"))</f>
        <v>va_227</v>
      </c>
      <c r="B731" s="1" t="str">
        <f ca="1">IFERROR(__xludf.DUMMYFUNCTION("""COMPUTED_VALUE"""),"鈴村健一")</f>
        <v>鈴村健一</v>
      </c>
      <c r="C731" s="1" t="s">
        <v>188</v>
      </c>
      <c r="D731" s="1" t="str">
        <f>IF(C731="", "", IFERROR(VLOOKUP(C731, 作品一覧!A:B, 2, FALSE), "該当なし"))</f>
        <v>ときめきメモリアル Girl's Sideシリーズ</v>
      </c>
      <c r="E731" s="1" t="str">
        <f ca="1">IFERROR(__xludf.DUMMYFUNCTION("""COMPUTED_VALUE"""),"針谷幸之進")</f>
        <v>針谷幸之進</v>
      </c>
      <c r="F731" s="8" t="s">
        <v>1549</v>
      </c>
    </row>
    <row r="732" spans="1:6" ht="13.8">
      <c r="A732" s="1" t="str">
        <f t="array" aca="1" ref="A732" ca="1">IF(B732="", "", IFERROR(INDEX(声優一覧!A:A, MATCH(B732, 声優一覧!B:B, 0)), "該当なし"))</f>
        <v>va_055</v>
      </c>
      <c r="B732" s="1" t="str">
        <f ca="1">IFERROR(__xludf.DUMMYFUNCTION("""COMPUTED_VALUE"""),"神原大地")</f>
        <v>神原大地</v>
      </c>
      <c r="C732" s="1" t="s">
        <v>188</v>
      </c>
      <c r="D732" s="1" t="str">
        <f>IF(C732="", "", IFERROR(VLOOKUP(C732, 作品一覧!A:B, 2, FALSE), "該当なし"))</f>
        <v>ときめきメモリアル Girl's Sideシリーズ</v>
      </c>
      <c r="E732" s="1" t="str">
        <f ca="1">IFERROR(__xludf.DUMMYFUNCTION("""COMPUTED_VALUE"""),"クリストファー・ウェザーフィールド")</f>
        <v>クリストファー・ウェザーフィールド</v>
      </c>
      <c r="F732" s="8" t="s">
        <v>1550</v>
      </c>
    </row>
    <row r="733" spans="1:6" ht="13.8">
      <c r="A733" s="1" t="str">
        <f t="array" aca="1" ref="A733" ca="1">IF(B733="", "", IFERROR(INDEX(声優一覧!A:A, MATCH(B733, 声優一覧!B:B, 0)), "該当なし"))</f>
        <v>va_271</v>
      </c>
      <c r="B733" s="1" t="str">
        <f ca="1">IFERROR(__xludf.DUMMYFUNCTION("""COMPUTED_VALUE"""),"成瀬誠")</f>
        <v>成瀬誠</v>
      </c>
      <c r="C733" s="1" t="s">
        <v>188</v>
      </c>
      <c r="D733" s="1" t="str">
        <f>IF(C733="", "", IFERROR(VLOOKUP(C733, 作品一覧!A:B, 2, FALSE), "該当なし"))</f>
        <v>ときめきメモリアル Girl's Sideシリーズ</v>
      </c>
      <c r="E733" s="1" t="str">
        <f ca="1">IFERROR(__xludf.DUMMYFUNCTION("""COMPUTED_VALUE"""),"天地翔太")</f>
        <v>天地翔太</v>
      </c>
      <c r="F733" s="6" t="s">
        <v>1551</v>
      </c>
    </row>
    <row r="734" spans="1:6" ht="13.8">
      <c r="A734" s="1" t="str">
        <f t="array" aca="1" ref="A734" ca="1">IF(B734="", "", IFERROR(INDEX(声優一覧!A:A, MATCH(B734, 声優一覧!B:B, 0)), "該当なし"))</f>
        <v>va_186</v>
      </c>
      <c r="B734" s="1" t="str">
        <f ca="1">IFERROR(__xludf.DUMMYFUNCTION("""COMPUTED_VALUE"""),"森川智之")</f>
        <v>森川智之</v>
      </c>
      <c r="C734" s="1" t="s">
        <v>188</v>
      </c>
      <c r="D734" s="1" t="str">
        <f>IF(C734="", "", IFERROR(VLOOKUP(C734, 作品一覧!A:B, 2, FALSE), "該当なし"))</f>
        <v>ときめきメモリアル Girl's Sideシリーズ</v>
      </c>
      <c r="E734" s="1" t="str">
        <f ca="1">IFERROR(__xludf.DUMMYFUNCTION("""COMPUTED_VALUE"""),"若王子貴文")</f>
        <v>若王子貴文</v>
      </c>
      <c r="F734" s="8" t="s">
        <v>1552</v>
      </c>
    </row>
    <row r="735" spans="1:6" ht="13.8">
      <c r="A735" s="1" t="str">
        <f t="array" aca="1" ref="A735" ca="1">IF(B735="", "", IFERROR(INDEX(声優一覧!A:A, MATCH(B735, 声優一覧!B:B, 0)), "該当なし"))</f>
        <v>va_272</v>
      </c>
      <c r="B735" s="1" t="str">
        <f ca="1">IFERROR(__xludf.DUMMYFUNCTION("""COMPUTED_VALUE"""),"うえだゆうじ")</f>
        <v>うえだゆうじ</v>
      </c>
      <c r="C735" s="1" t="s">
        <v>188</v>
      </c>
      <c r="D735" s="1" t="str">
        <f>IF(C735="", "", IFERROR(VLOOKUP(C735, 作品一覧!A:B, 2, FALSE), "該当なし"))</f>
        <v>ときめきメモリアル Girl's Sideシリーズ</v>
      </c>
      <c r="E735" s="1" t="str">
        <f ca="1">IFERROR(__xludf.DUMMYFUNCTION("""COMPUTED_VALUE"""),"真咲元春")</f>
        <v>真咲元春</v>
      </c>
      <c r="F735" s="8" t="s">
        <v>1553</v>
      </c>
    </row>
    <row r="736" spans="1:6" ht="13.8">
      <c r="A736" s="1" t="str">
        <f t="array" aca="1" ref="A736" ca="1">IF(B736="", "", IFERROR(INDEX(声優一覧!A:A, MATCH(B736, 声優一覧!B:B, 0)), "該当なし"))</f>
        <v>va_143</v>
      </c>
      <c r="B736" s="1" t="str">
        <f ca="1">IFERROR(__xludf.DUMMYFUNCTION("""COMPUTED_VALUE"""),"野島健児")</f>
        <v>野島健児</v>
      </c>
      <c r="C736" s="1" t="s">
        <v>188</v>
      </c>
      <c r="D736" s="1" t="str">
        <f>IF(C736="", "", IFERROR(VLOOKUP(C736, 作品一覧!A:B, 2, FALSE), "該当なし"))</f>
        <v>ときめきメモリアル Girl's Sideシリーズ</v>
      </c>
      <c r="E736" s="1" t="str">
        <f ca="1">IFERROR(__xludf.DUMMYFUNCTION("""COMPUTED_VALUE"""),"赤城一雪")</f>
        <v>赤城一雪</v>
      </c>
      <c r="F736" s="8" t="s">
        <v>1554</v>
      </c>
    </row>
    <row r="737" spans="1:6" ht="13.8">
      <c r="A737" s="1" t="str">
        <f t="array" aca="1" ref="A737" ca="1">IF(B737="", "", IFERROR(INDEX(声優一覧!A:A, MATCH(B737, 声優一覧!B:B, 0)), "該当なし"))</f>
        <v>va_097</v>
      </c>
      <c r="B737" s="1" t="str">
        <f ca="1">IFERROR(__xludf.DUMMYFUNCTION("""COMPUTED_VALUE"""),"杉田智和")</f>
        <v>杉田智和</v>
      </c>
      <c r="C737" s="1" t="s">
        <v>188</v>
      </c>
      <c r="D737" s="1" t="str">
        <f>IF(C737="", "", IFERROR(VLOOKUP(C737, 作品一覧!A:B, 2, FALSE), "該当なし"))</f>
        <v>ときめきメモリアル Girl's Sideシリーズ</v>
      </c>
      <c r="E737" s="1" t="str">
        <f ca="1">IFERROR(__xludf.DUMMYFUNCTION("""COMPUTED_VALUE"""),"桜井琉夏")</f>
        <v>桜井琉夏</v>
      </c>
      <c r="F737" s="8" t="s">
        <v>1555</v>
      </c>
    </row>
    <row r="738" spans="1:6" ht="13.8">
      <c r="A738" s="1" t="str">
        <f t="array" aca="1" ref="A738" ca="1">IF(B738="", "", IFERROR(INDEX(声優一覧!A:A, MATCH(B738, 声優一覧!B:B, 0)), "該当なし"))</f>
        <v>va_102</v>
      </c>
      <c r="B738" s="1" t="str">
        <f ca="1">IFERROR(__xludf.DUMMYFUNCTION("""COMPUTED_VALUE"""),"諏訪部順一")</f>
        <v>諏訪部順一</v>
      </c>
      <c r="C738" s="1" t="s">
        <v>188</v>
      </c>
      <c r="D738" s="1" t="str">
        <f>IF(C738="", "", IFERROR(VLOOKUP(C738, 作品一覧!A:B, 2, FALSE), "該当なし"))</f>
        <v>ときめきメモリアル Girl's Sideシリーズ</v>
      </c>
      <c r="E738" s="1" t="str">
        <f ca="1">IFERROR(__xludf.DUMMYFUNCTION("""COMPUTED_VALUE"""),"桜井琥一")</f>
        <v>桜井琥一</v>
      </c>
      <c r="F738" s="8" t="s">
        <v>1556</v>
      </c>
    </row>
    <row r="739" spans="1:6" ht="13.8">
      <c r="A739" s="1" t="str">
        <f t="array" aca="1" ref="A739" ca="1">IF(B739="", "", IFERROR(INDEX(声優一覧!A:A, MATCH(B739, 声優一覧!B:B, 0)), "該当なし"))</f>
        <v>va_181</v>
      </c>
      <c r="B739" s="1" t="str">
        <f ca="1">IFERROR(__xludf.DUMMYFUNCTION("""COMPUTED_VALUE"""),"宮下栄治")</f>
        <v>宮下栄治</v>
      </c>
      <c r="C739" s="1" t="s">
        <v>188</v>
      </c>
      <c r="D739" s="1" t="str">
        <f>IF(C739="", "", IFERROR(VLOOKUP(C739, 作品一覧!A:B, 2, FALSE), "該当なし"))</f>
        <v>ときめきメモリアル Girl's Sideシリーズ</v>
      </c>
      <c r="E739" s="1" t="str">
        <f ca="1">IFERROR(__xludf.DUMMYFUNCTION("""COMPUTED_VALUE"""),"不二山嵐")</f>
        <v>不二山嵐</v>
      </c>
      <c r="F739" s="8" t="s">
        <v>1557</v>
      </c>
    </row>
    <row r="740" spans="1:6" ht="13.8">
      <c r="A740" s="1" t="str">
        <f t="array" aca="1" ref="A740" ca="1">IF(B740="", "", IFERROR(INDEX(声優一覧!A:A, MATCH(B740, 声優一覧!B:B, 0)), "該当なし"))</f>
        <v>va_273</v>
      </c>
      <c r="B740" s="1" t="str">
        <f ca="1">IFERROR(__xludf.DUMMYFUNCTION("""COMPUTED_VALUE"""),"私市淳")</f>
        <v>私市淳</v>
      </c>
      <c r="C740" s="1" t="s">
        <v>188</v>
      </c>
      <c r="D740" s="1" t="str">
        <f>IF(C740="", "", IFERROR(VLOOKUP(C740, 作品一覧!A:B, 2, FALSE), "該当なし"))</f>
        <v>ときめきメモリアル Girl's Sideシリーズ</v>
      </c>
      <c r="E740" s="1" t="str">
        <f ca="1">IFERROR(__xludf.DUMMYFUNCTION("""COMPUTED_VALUE"""),"新名旬平")</f>
        <v>新名旬平</v>
      </c>
      <c r="F740" s="8" t="s">
        <v>1558</v>
      </c>
    </row>
    <row r="741" spans="1:6" ht="13.8">
      <c r="A741" s="1" t="str">
        <f t="array" aca="1" ref="A741" ca="1">IF(B741="", "", IFERROR(INDEX(声優一覧!A:A, MATCH(B741, 声優一覧!B:B, 0)), "該当なし"))</f>
        <v>va_274</v>
      </c>
      <c r="B741" s="1" t="str">
        <f ca="1">IFERROR(__xludf.DUMMYFUNCTION("""COMPUTED_VALUE"""),"千葉進歩")</f>
        <v>千葉進歩</v>
      </c>
      <c r="C741" s="1" t="s">
        <v>188</v>
      </c>
      <c r="D741" s="1" t="str">
        <f>IF(C741="", "", IFERROR(VLOOKUP(C741, 作品一覧!A:B, 2, FALSE), "該当なし"))</f>
        <v>ときめきメモリアル Girl's Sideシリーズ</v>
      </c>
      <c r="E741" s="1" t="str">
        <f ca="1">IFERROR(__xludf.DUMMYFUNCTION("""COMPUTED_VALUE"""),"紺野玉緒")</f>
        <v>紺野玉緒</v>
      </c>
      <c r="F741" s="8" t="s">
        <v>1559</v>
      </c>
    </row>
    <row r="742" spans="1:6" ht="13.8">
      <c r="A742" s="1" t="str">
        <f t="array" aca="1" ref="A742" ca="1">IF(B742="", "", IFERROR(INDEX(声優一覧!A:A, MATCH(B742, 声優一覧!B:B, 0)), "該当なし"))</f>
        <v>va_114</v>
      </c>
      <c r="B742" s="1" t="str">
        <f ca="1">IFERROR(__xludf.DUMMYFUNCTION("""COMPUTED_VALUE"""),"立花慎之介")</f>
        <v>立花慎之介</v>
      </c>
      <c r="C742" s="1" t="s">
        <v>188</v>
      </c>
      <c r="D742" s="1" t="str">
        <f>IF(C742="", "", IFERROR(VLOOKUP(C742, 作品一覧!A:B, 2, FALSE), "該当なし"))</f>
        <v>ときめきメモリアル Girl's Sideシリーズ</v>
      </c>
      <c r="E742" s="1" t="str">
        <f ca="1">IFERROR(__xludf.DUMMYFUNCTION("""COMPUTED_VALUE"""),"設楽聖司")</f>
        <v>設楽聖司</v>
      </c>
      <c r="F742" s="8" t="s">
        <v>1560</v>
      </c>
    </row>
    <row r="743" spans="1:6" ht="13.8">
      <c r="A743" s="1" t="str">
        <f t="array" aca="1" ref="A743" ca="1">IF(B743="", "", IFERROR(INDEX(声優一覧!A:A, MATCH(B743, 声優一覧!B:B, 0)), "該当なし"))</f>
        <v>va_275</v>
      </c>
      <c r="B743" s="1" t="str">
        <f ca="1">IFERROR(__xludf.DUMMYFUNCTION("""COMPUTED_VALUE"""),"菅沼久義")</f>
        <v>菅沼久義</v>
      </c>
      <c r="C743" s="1" t="s">
        <v>188</v>
      </c>
      <c r="D743" s="1" t="str">
        <f>IF(C743="", "", IFERROR(VLOOKUP(C743, 作品一覧!A:B, 2, FALSE), "該当なし"))</f>
        <v>ときめきメモリアル Girl's Sideシリーズ</v>
      </c>
      <c r="E743" s="1" t="str">
        <f ca="1">IFERROR(__xludf.DUMMYFUNCTION("""COMPUTED_VALUE"""),"平健太")</f>
        <v>平健太</v>
      </c>
      <c r="F743" s="8" t="s">
        <v>1561</v>
      </c>
    </row>
    <row r="744" spans="1:6" ht="13.8">
      <c r="A744" s="1" t="str">
        <f t="array" aca="1" ref="A744" ca="1">IF(B744="", "", IFERROR(INDEX(声優一覧!A:A, MATCH(B744, 声優一覧!B:B, 0)), "該当なし"))</f>
        <v>va_051</v>
      </c>
      <c r="B744" s="1" t="str">
        <f ca="1">IFERROR(__xludf.DUMMYFUNCTION("""COMPUTED_VALUE"""),"梶裕貴")</f>
        <v>梶裕貴</v>
      </c>
      <c r="C744" s="1" t="s">
        <v>188</v>
      </c>
      <c r="D744" s="1" t="str">
        <f>IF(C744="", "", IFERROR(VLOOKUP(C744, 作品一覧!A:B, 2, FALSE), "該当なし"))</f>
        <v>ときめきメモリアル Girl's Sideシリーズ</v>
      </c>
      <c r="E744" s="1" t="str">
        <f ca="1">IFERROR(__xludf.DUMMYFUNCTION("""COMPUTED_VALUE"""),"風真玲太")</f>
        <v>風真玲太</v>
      </c>
      <c r="F744" s="8" t="s">
        <v>1562</v>
      </c>
    </row>
    <row r="745" spans="1:6" ht="13.8">
      <c r="A745" s="1" t="str">
        <f t="array" aca="1" ref="A745" ca="1">IF(B745="", "", IFERROR(INDEX(声優一覧!A:A, MATCH(B745, 声優一覧!B:B, 0)), "該当なし"))</f>
        <v>va_090</v>
      </c>
      <c r="B745" s="1" t="str">
        <f ca="1">IFERROR(__xludf.DUMMYFUNCTION("""COMPUTED_VALUE"""),"佐藤拓也")</f>
        <v>佐藤拓也</v>
      </c>
      <c r="C745" s="1" t="s">
        <v>188</v>
      </c>
      <c r="D745" s="1" t="str">
        <f>IF(C745="", "", IFERROR(VLOOKUP(C745, 作品一覧!A:B, 2, FALSE), "該当なし"))</f>
        <v>ときめきメモリアル Girl's Sideシリーズ</v>
      </c>
      <c r="E745" s="1" t="str">
        <f ca="1">IFERROR(__xludf.DUMMYFUNCTION("""COMPUTED_VALUE"""),"颯砂希")</f>
        <v>颯砂希</v>
      </c>
      <c r="F745" s="8" t="s">
        <v>1563</v>
      </c>
    </row>
    <row r="746" spans="1:6" ht="13.8">
      <c r="A746" s="1" t="str">
        <f t="array" aca="1" ref="A746" ca="1">IF(B746="", "", IFERROR(INDEX(声優一覧!A:A, MATCH(B746, 声優一覧!B:B, 0)), "該当なし"))</f>
        <v>va_149</v>
      </c>
      <c r="B746" s="1" t="str">
        <f ca="1">IFERROR(__xludf.DUMMYFUNCTION("""COMPUTED_VALUE"""),"服部想之介")</f>
        <v>服部想之介</v>
      </c>
      <c r="C746" s="1" t="s">
        <v>188</v>
      </c>
      <c r="D746" s="1" t="str">
        <f>IF(C746="", "", IFERROR(VLOOKUP(C746, 作品一覧!A:B, 2, FALSE), "該当なし"))</f>
        <v>ときめきメモリアル Girl's Sideシリーズ</v>
      </c>
      <c r="E746" s="1" t="str">
        <f ca="1">IFERROR(__xludf.DUMMYFUNCTION("""COMPUTED_VALUE"""),"本多行")</f>
        <v>本多行</v>
      </c>
      <c r="F746" s="8" t="s">
        <v>1564</v>
      </c>
    </row>
    <row r="747" spans="1:6" ht="13.8">
      <c r="A747" s="1" t="str">
        <f t="array" aca="1" ref="A747" ca="1">IF(B747="", "", IFERROR(INDEX(声優一覧!A:A, MATCH(B747, 声優一覧!B:B, 0)), "該当なし"))</f>
        <v>va_003</v>
      </c>
      <c r="B747" s="1" t="str">
        <f ca="1">IFERROR(__xludf.DUMMYFUNCTION("""COMPUTED_VALUE"""),"阿座上洋平")</f>
        <v>阿座上洋平</v>
      </c>
      <c r="C747" s="1" t="s">
        <v>188</v>
      </c>
      <c r="D747" s="1" t="str">
        <f>IF(C747="", "", IFERROR(VLOOKUP(C747, 作品一覧!A:B, 2, FALSE), "該当なし"))</f>
        <v>ときめきメモリアル Girl's Sideシリーズ</v>
      </c>
      <c r="E747" s="1" t="str">
        <f ca="1">IFERROR(__xludf.DUMMYFUNCTION("""COMPUTED_VALUE"""),"七ツ森実")</f>
        <v>七ツ森実</v>
      </c>
      <c r="F747" s="8" t="s">
        <v>1565</v>
      </c>
    </row>
    <row r="748" spans="1:6" ht="13.8">
      <c r="A748" s="1" t="str">
        <f t="array" aca="1" ref="A748" ca="1">IF(B748="", "", IFERROR(INDEX(声優一覧!A:A, MATCH(B748, 声優一覧!B:B, 0)), "該当なし"))</f>
        <v>va_160</v>
      </c>
      <c r="B748" s="1" t="str">
        <f ca="1">IFERROR(__xludf.DUMMYFUNCTION("""COMPUTED_VALUE"""),"福山潤")</f>
        <v>福山潤</v>
      </c>
      <c r="C748" s="1" t="s">
        <v>188</v>
      </c>
      <c r="D748" s="1" t="str">
        <f>IF(C748="", "", IFERROR(VLOOKUP(C748, 作品一覧!A:B, 2, FALSE), "該当なし"))</f>
        <v>ときめきメモリアル Girl's Sideシリーズ</v>
      </c>
      <c r="E748" s="1" t="str">
        <f ca="1">IFERROR(__xludf.DUMMYFUNCTION("""COMPUTED_VALUE"""),"柊夜ノ介")</f>
        <v>柊夜ノ介</v>
      </c>
      <c r="F748" s="8" t="s">
        <v>1566</v>
      </c>
    </row>
    <row r="749" spans="1:6" ht="13.8">
      <c r="A749" s="1" t="str">
        <f t="array" aca="1" ref="A749" ca="1">IF(B749="", "", IFERROR(INDEX(声優一覧!A:A, MATCH(B749, 声優一覧!B:B, 0)), "該当なし"))</f>
        <v>va_276</v>
      </c>
      <c r="B749" s="1" t="str">
        <f ca="1">IFERROR(__xludf.DUMMYFUNCTION("""COMPUTED_VALUE"""),"田邊幸輔")</f>
        <v>田邊幸輔</v>
      </c>
      <c r="C749" s="1" t="s">
        <v>188</v>
      </c>
      <c r="D749" s="1" t="str">
        <f>IF(C749="", "", IFERROR(VLOOKUP(C749, 作品一覧!A:B, 2, FALSE), "該当なし"))</f>
        <v>ときめきメモリアル Girl's Sideシリーズ</v>
      </c>
      <c r="E749" s="1" t="str">
        <f ca="1">IFERROR(__xludf.DUMMYFUNCTION("""COMPUTED_VALUE"""),"氷室一紀")</f>
        <v>氷室一紀</v>
      </c>
      <c r="F749" s="9" t="s">
        <v>1567</v>
      </c>
    </row>
    <row r="750" spans="1:6" ht="13.8">
      <c r="A750" s="1" t="str">
        <f t="array" aca="1" ref="A750" ca="1">IF(B750="", "", IFERROR(INDEX(声優一覧!A:A, MATCH(B750, 声優一覧!B:B, 0)), "該当なし"))</f>
        <v>va_197</v>
      </c>
      <c r="B750" s="1" t="str">
        <f ca="1">IFERROR(__xludf.DUMMYFUNCTION("""COMPUTED_VALUE"""),"吉野裕行")</f>
        <v>吉野裕行</v>
      </c>
      <c r="C750" s="1" t="s">
        <v>188</v>
      </c>
      <c r="D750" s="1" t="str">
        <f>IF(C750="", "", IFERROR(VLOOKUP(C750, 作品一覧!A:B, 2, FALSE), "該当なし"))</f>
        <v>ときめきメモリアル Girl's Sideシリーズ</v>
      </c>
      <c r="E750" s="1" t="str">
        <f ca="1">IFERROR(__xludf.DUMMYFUNCTION("""COMPUTED_VALUE"""),"御影小次郎")</f>
        <v>御影小次郎</v>
      </c>
      <c r="F750" s="8" t="s">
        <v>1568</v>
      </c>
    </row>
    <row r="751" spans="1:6" ht="13.8">
      <c r="A751" s="1" t="str">
        <f t="array" aca="1" ref="A751" ca="1">IF(B751="", "", IFERROR(INDEX(声優一覧!A:A, MATCH(B751, 声優一覧!B:B, 0)), "該当なし"))</f>
        <v>va_277</v>
      </c>
      <c r="B751" s="1" t="str">
        <f ca="1">IFERROR(__xludf.DUMMYFUNCTION("""COMPUTED_VALUE"""),"植木慎英")</f>
        <v>植木慎英</v>
      </c>
      <c r="C751" s="1" t="s">
        <v>188</v>
      </c>
      <c r="D751" s="1" t="str">
        <f>IF(C751="", "", IFERROR(VLOOKUP(C751, 作品一覧!A:B, 2, FALSE), "該当なし"))</f>
        <v>ときめきメモリアル Girl's Sideシリーズ</v>
      </c>
      <c r="E751" s="1" t="str">
        <f ca="1">IFERROR(__xludf.DUMMYFUNCTION("""COMPUTED_VALUE"""),"白羽大地")</f>
        <v>白羽大地</v>
      </c>
      <c r="F751" s="8" t="s">
        <v>1569</v>
      </c>
    </row>
    <row r="752" spans="1:6" ht="13.8">
      <c r="A752" s="1" t="str">
        <f t="array" aca="1" ref="A752" ca="1">IF(B752="", "", IFERROR(INDEX(声優一覧!A:A, MATCH(B752, 声優一覧!B:B, 0)), "該当なし"))</f>
        <v>va_278</v>
      </c>
      <c r="B752" s="1" t="str">
        <f ca="1">IFERROR(__xludf.DUMMYFUNCTION("""COMPUTED_VALUE"""),"三宅貴大")</f>
        <v>三宅貴大</v>
      </c>
      <c r="C752" s="1" t="s">
        <v>188</v>
      </c>
      <c r="D752" s="1" t="str">
        <f>IF(C752="", "", IFERROR(VLOOKUP(C752, 作品一覧!A:B, 2, FALSE), "該当なし"))</f>
        <v>ときめきメモリアル Girl's Sideシリーズ</v>
      </c>
      <c r="E752" s="1" t="str">
        <f ca="1">IFERROR(__xludf.DUMMYFUNCTION("""COMPUTED_VALUE"""),"白羽空也")</f>
        <v>白羽空也</v>
      </c>
      <c r="F752" s="8" t="s">
        <v>1570</v>
      </c>
    </row>
    <row r="753" spans="1:6" ht="13.8">
      <c r="A753" s="1" t="str">
        <f t="array" aca="1" ref="A753" ca="1">IF(B753="", "", IFERROR(INDEX(声優一覧!A:A, MATCH(B753, 声優一覧!B:B, 0)), "該当なし"))</f>
        <v>va_198</v>
      </c>
      <c r="B753" s="1" t="str">
        <f ca="1">IFERROR(__xludf.DUMMYFUNCTION("""COMPUTED_VALUE"""),"代永翼")</f>
        <v>代永翼</v>
      </c>
      <c r="C753" s="1" t="s">
        <v>188</v>
      </c>
      <c r="D753" s="1" t="str">
        <f>IF(C753="", "", IFERROR(VLOOKUP(C753, 作品一覧!A:B, 2, FALSE), "該当なし"))</f>
        <v>ときめきメモリアル Girl's Sideシリーズ</v>
      </c>
      <c r="E753" s="1" t="str">
        <f ca="1">IFERROR(__xludf.DUMMYFUNCTION("""COMPUTED_VALUE"""),"巴征道")</f>
        <v>巴征道</v>
      </c>
      <c r="F753" s="8" t="s">
        <v>1571</v>
      </c>
    </row>
    <row r="754" spans="1:6" ht="13.8">
      <c r="A754" s="1" t="str">
        <f t="array" aca="1" ref="A754" ca="1">IF(B754="", "", IFERROR(INDEX(声優一覧!A:A, MATCH(B754, 声優一覧!B:B, 0)), "該当なし"))</f>
        <v>va_095</v>
      </c>
      <c r="B754" s="1" t="str">
        <f ca="1">IFERROR(__xludf.DUMMYFUNCTION("""COMPUTED_VALUE"""),"下野紘")</f>
        <v>下野紘</v>
      </c>
      <c r="C754" s="1" t="s">
        <v>188</v>
      </c>
      <c r="D754" s="1" t="str">
        <f>IF(C754="", "", IFERROR(VLOOKUP(C754, 作品一覧!A:B, 2, FALSE), "該当なし"))</f>
        <v>ときめきメモリアル Girl's Sideシリーズ</v>
      </c>
      <c r="E754" s="1" t="str">
        <f ca="1">IFERROR(__xludf.DUMMYFUNCTION("""COMPUTED_VALUE"""),"大成功")</f>
        <v>大成功</v>
      </c>
      <c r="F754" s="8" t="s">
        <v>1572</v>
      </c>
    </row>
    <row r="755" spans="1:6" ht="13.8">
      <c r="A755" s="1" t="str">
        <f t="array" aca="1" ref="A755" ca="1">IF(B755="", "", IFERROR(INDEX(声優一覧!A:A, MATCH(B755, 声優一覧!B:B, 0)), "該当なし"))</f>
        <v>va_128</v>
      </c>
      <c r="B755" s="1" t="str">
        <f ca="1">IFERROR(__xludf.DUMMYFUNCTION("""COMPUTED_VALUE"""),"堂島颯人")</f>
        <v>堂島颯人</v>
      </c>
      <c r="C755" s="1" t="s">
        <v>190</v>
      </c>
      <c r="D755" s="1" t="str">
        <f>IF(C755="", "", IFERROR(VLOOKUP(C755, 作品一覧!A:B, 2, FALSE), "該当なし"))</f>
        <v>東京ディバンカー</v>
      </c>
      <c r="E755" s="1" t="str">
        <f ca="1">IFERROR(__xludf.DUMMYFUNCTION("""COMPUTED_VALUE"""),"冠氷尋")</f>
        <v>冠氷尋</v>
      </c>
      <c r="F755" s="6" t="s">
        <v>1573</v>
      </c>
    </row>
    <row r="756" spans="1:6" ht="13.8">
      <c r="A756" s="1" t="str">
        <f t="array" aca="1" ref="A756" ca="1">IF(B756="", "", IFERROR(INDEX(声優一覧!A:A, MATCH(B756, 声優一覧!B:B, 0)), "該当なし"))</f>
        <v>va_077</v>
      </c>
      <c r="B756" s="1" t="str">
        <f ca="1">IFERROR(__xludf.DUMMYFUNCTION("""COMPUTED_VALUE"""),"駒田航")</f>
        <v>駒田航</v>
      </c>
      <c r="C756" s="1" t="s">
        <v>190</v>
      </c>
      <c r="D756" s="1" t="str">
        <f>IF(C756="", "", IFERROR(VLOOKUP(C756, 作品一覧!A:B, 2, FALSE), "該当なし"))</f>
        <v>東京ディバンカー</v>
      </c>
      <c r="E756" s="1" t="str">
        <f ca="1">IFERROR(__xludf.DUMMYFUNCTION("""COMPUTED_VALUE"""),"磴塔真")</f>
        <v>磴塔真</v>
      </c>
      <c r="F756" s="6" t="s">
        <v>1574</v>
      </c>
    </row>
    <row r="757" spans="1:6" ht="13.8">
      <c r="A757" s="1" t="str">
        <f t="array" aca="1" ref="A757" ca="1">IF(B757="", "", IFERROR(INDEX(声優一覧!A:A, MATCH(B757, 声優一覧!B:B, 0)), "該当なし"))</f>
        <v>va_258</v>
      </c>
      <c r="B757" s="1" t="str">
        <f ca="1">IFERROR(__xludf.DUMMYFUNCTION("""COMPUTED_VALUE"""),"浦尾岳大")</f>
        <v>浦尾岳大</v>
      </c>
      <c r="C757" s="1" t="s">
        <v>190</v>
      </c>
      <c r="D757" s="1" t="str">
        <f>IF(C757="", "", IFERROR(VLOOKUP(C757, 作品一覧!A:B, 2, FALSE), "該当なし"))</f>
        <v>東京ディバンカー</v>
      </c>
      <c r="E757" s="1" t="str">
        <f ca="1">IFERROR(__xludf.DUMMYFUNCTION("""COMPUTED_VALUE"""),"ルーカス・エラント")</f>
        <v>ルーカス・エラント</v>
      </c>
      <c r="F757" s="6" t="s">
        <v>1575</v>
      </c>
    </row>
    <row r="758" spans="1:6" ht="13.8">
      <c r="A758" s="1" t="str">
        <f t="array" aca="1" ref="A758" ca="1">IF(B758="", "", IFERROR(INDEX(声優一覧!A:A, MATCH(B758, 声優一覧!B:B, 0)), "該当なし"))</f>
        <v>va_057</v>
      </c>
      <c r="B758" s="1" t="str">
        <f ca="1">IFERROR(__xludf.DUMMYFUNCTION("""COMPUTED_VALUE"""),"川島零士")</f>
        <v>川島零士</v>
      </c>
      <c r="C758" s="1" t="s">
        <v>190</v>
      </c>
      <c r="D758" s="1" t="str">
        <f>IF(C758="", "", IFERROR(VLOOKUP(C758, 作品一覧!A:B, 2, FALSE), "該当なし"))</f>
        <v>東京ディバンカー</v>
      </c>
      <c r="E758" s="1" t="str">
        <f ca="1">IFERROR(__xludf.DUMMYFUNCTION("""COMPUTED_VALUE"""),"歩二魁斗")</f>
        <v>歩二魁斗</v>
      </c>
      <c r="F758" s="6" t="s">
        <v>1576</v>
      </c>
    </row>
    <row r="759" spans="1:6" ht="13.8">
      <c r="A759" s="1" t="str">
        <f t="array" aca="1" ref="A759" ca="1">IF(B759="", "", IFERROR(INDEX(声優一覧!A:A, MATCH(B759, 声優一覧!B:B, 0)), "該当なし"))</f>
        <v>va_116</v>
      </c>
      <c r="B759" s="1" t="str">
        <f ca="1">IFERROR(__xludf.DUMMYFUNCTION("""COMPUTED_VALUE"""),"田所陽向")</f>
        <v>田所陽向</v>
      </c>
      <c r="C759" s="1" t="s">
        <v>190</v>
      </c>
      <c r="D759" s="1" t="str">
        <f>IF(C759="", "", IFERROR(VLOOKUP(C759, 作品一覧!A:B, 2, FALSE), "該当なし"))</f>
        <v>東京ディバンカー</v>
      </c>
      <c r="E759" s="1" t="str">
        <f ca="1">IFERROR(__xludf.DUMMYFUNCTION("""COMPUTED_VALUE"""),"御堂亜嵐")</f>
        <v>御堂亜嵐</v>
      </c>
      <c r="F759" s="6" t="s">
        <v>1577</v>
      </c>
    </row>
    <row r="760" spans="1:6" ht="13.8">
      <c r="A760" s="1" t="str">
        <f t="array" aca="1" ref="A760" ca="1">IF(B760="", "", IFERROR(INDEX(声優一覧!A:A, MATCH(B760, 声優一覧!B:B, 0)), "該当なし"))</f>
        <v>va_279</v>
      </c>
      <c r="B760" s="1" t="str">
        <f ca="1">IFERROR(__xludf.DUMMYFUNCTION("""COMPUTED_VALUE"""),"保住有哉")</f>
        <v>保住有哉</v>
      </c>
      <c r="C760" s="1" t="s">
        <v>190</v>
      </c>
      <c r="D760" s="1" t="str">
        <f>IF(C760="", "", IFERROR(VLOOKUP(C760, 作品一覧!A:B, 2, FALSE), "該当なし"))</f>
        <v>東京ディバンカー</v>
      </c>
      <c r="E760" s="1" t="str">
        <f ca="1">IFERROR(__xludf.DUMMYFUNCTION("""COMPUTED_VALUE"""),"黒鷺玲音")</f>
        <v>黒鷺玲音</v>
      </c>
      <c r="F760" s="6" t="s">
        <v>1578</v>
      </c>
    </row>
    <row r="761" spans="1:6" ht="13.8">
      <c r="A761" s="1" t="str">
        <f t="array" aca="1" ref="A761" ca="1">IF(B761="", "", IFERROR(INDEX(声優一覧!A:A, MATCH(B761, 声優一覧!B:B, 0)), "該当なし"))</f>
        <v>va_209</v>
      </c>
      <c r="B761" s="1" t="str">
        <f ca="1">IFERROR(__xludf.DUMMYFUNCTION("""COMPUTED_VALUE"""),"浦田わたる")</f>
        <v>浦田わたる</v>
      </c>
      <c r="C761" s="1" t="s">
        <v>190</v>
      </c>
      <c r="D761" s="1" t="str">
        <f>IF(C761="", "", IFERROR(VLOOKUP(C761, 作品一覧!A:B, 2, FALSE), "該当なし"))</f>
        <v>東京ディバンカー</v>
      </c>
      <c r="E761" s="1" t="str">
        <f ca="1">IFERROR(__xludf.DUMMYFUNCTION("""COMPUTED_VALUE"""),"灰園翔平")</f>
        <v>灰園翔平</v>
      </c>
      <c r="F761" s="6" t="s">
        <v>1579</v>
      </c>
    </row>
    <row r="762" spans="1:6" ht="13.8">
      <c r="A762" s="1" t="str">
        <f t="array" aca="1" ref="A762" ca="1">IF(B762="", "", IFERROR(INDEX(声優一覧!A:A, MATCH(B762, 声優一覧!B:B, 0)), "該当なし"))</f>
        <v>va_280</v>
      </c>
      <c r="B762" s="1" t="str">
        <f ca="1">IFERROR(__xludf.DUMMYFUNCTION("""COMPUTED_VALUE"""),"小野将夢")</f>
        <v>小野将夢</v>
      </c>
      <c r="C762" s="1" t="s">
        <v>190</v>
      </c>
      <c r="D762" s="1" t="str">
        <f>IF(C762="", "", IFERROR(VLOOKUP(C762, 作品一覧!A:B, 2, FALSE), "該当なし"))</f>
        <v>東京ディバンカー</v>
      </c>
      <c r="E762" s="1" t="str">
        <f ca="1">IFERROR(__xludf.DUMMYFUNCTION("""COMPUTED_VALUE"""),"艸楽陽")</f>
        <v>艸楽陽</v>
      </c>
      <c r="F762" s="6" t="s">
        <v>1580</v>
      </c>
    </row>
    <row r="763" spans="1:6" ht="13.8">
      <c r="A763" s="1" t="str">
        <f t="array" aca="1" ref="A763" ca="1">IF(B763="", "", IFERROR(INDEX(声優一覧!A:A, MATCH(B763, 声優一覧!B:B, 0)), "該当なし"))</f>
        <v>va_154</v>
      </c>
      <c r="B763" s="1" t="str">
        <f ca="1">IFERROR(__xludf.DUMMYFUNCTION("""COMPUTED_VALUE"""),"廣瀬大介")</f>
        <v>廣瀬大介</v>
      </c>
      <c r="C763" s="1" t="s">
        <v>190</v>
      </c>
      <c r="D763" s="1" t="str">
        <f>IF(C763="", "", IFERROR(VLOOKUP(C763, 作品一覧!A:B, 2, FALSE), "該当なし"))</f>
        <v>東京ディバンカー</v>
      </c>
      <c r="E763" s="1" t="str">
        <f ca="1">IFERROR(__xludf.DUMMYFUNCTION("""COMPUTED_VALUE"""),"音無叶空")</f>
        <v>音無叶空</v>
      </c>
      <c r="F763" s="6" t="s">
        <v>1581</v>
      </c>
    </row>
    <row r="764" spans="1:6" ht="13.8">
      <c r="A764" s="1" t="str">
        <f t="array" aca="1" ref="A764" ca="1">IF(B764="", "", IFERROR(INDEX(声優一覧!A:A, MATCH(B764, 声優一覧!B:B, 0)), "該当なし"))</f>
        <v>va_119</v>
      </c>
      <c r="B764" s="1" t="str">
        <f ca="1">IFERROR(__xludf.DUMMYFUNCTION("""COMPUTED_VALUE"""),"千葉翔也")</f>
        <v>千葉翔也</v>
      </c>
      <c r="C764" s="1" t="s">
        <v>190</v>
      </c>
      <c r="D764" s="1" t="str">
        <f>IF(C764="", "", IFERROR(VLOOKUP(C764, 作品一覧!A:B, 2, FALSE), "該当なし"))</f>
        <v>東京ディバンカー</v>
      </c>
      <c r="E764" s="1" t="str">
        <f ca="1">IFERROR(__xludf.DUMMYFUNCTION("""COMPUTED_VALUE"""),"白波蓮")</f>
        <v>白波蓮</v>
      </c>
      <c r="F764" s="6" t="s">
        <v>1582</v>
      </c>
    </row>
    <row r="765" spans="1:6" ht="13.8">
      <c r="A765" s="1" t="str">
        <f t="array" aca="1" ref="A765" ca="1">IF(B765="", "", IFERROR(INDEX(声優一覧!A:A, MATCH(B765, 声優一覧!B:B, 0)), "該当なし"))</f>
        <v>va_038</v>
      </c>
      <c r="B765" s="1" t="str">
        <f ca="1">IFERROR(__xludf.DUMMYFUNCTION("""COMPUTED_VALUE"""),"小笠原仁")</f>
        <v>小笠原仁</v>
      </c>
      <c r="C765" s="1" t="s">
        <v>190</v>
      </c>
      <c r="D765" s="1" t="str">
        <f>IF(C765="", "", IFERROR(VLOOKUP(C765, 作品一覧!A:B, 2, FALSE), "該当なし"))</f>
        <v>東京ディバンカー</v>
      </c>
      <c r="E765" s="1" t="str">
        <f ca="1">IFERROR(__xludf.DUMMYFUNCTION("""COMPUTED_VALUE"""),"星喰大我")</f>
        <v>星喰大我</v>
      </c>
      <c r="F765" s="6" t="s">
        <v>1583</v>
      </c>
    </row>
    <row r="766" spans="1:6" ht="13.8">
      <c r="A766" s="1" t="str">
        <f t="array" aca="1" ref="A766" ca="1">IF(B766="", "", IFERROR(INDEX(声優一覧!A:A, MATCH(B766, 声優一覧!B:B, 0)), "該当なし"))</f>
        <v>va_226</v>
      </c>
      <c r="B766" s="1" t="str">
        <f ca="1">IFERROR(__xludf.DUMMYFUNCTION("""COMPUTED_VALUE"""),"ランズベリー・アーサー")</f>
        <v>ランズベリー・アーサー</v>
      </c>
      <c r="C766" s="1" t="s">
        <v>190</v>
      </c>
      <c r="D766" s="1" t="str">
        <f>IF(C766="", "", IFERROR(VLOOKUP(C766, 作品一覧!A:B, 2, FALSE), "該当なし"))</f>
        <v>東京ディバンカー</v>
      </c>
      <c r="E766" s="1" t="str">
        <f ca="1">IFERROR(__xludf.DUMMYFUNCTION("""COMPUTED_VALUE"""),"針条律")</f>
        <v>針条律</v>
      </c>
      <c r="F766" s="6" t="s">
        <v>1584</v>
      </c>
    </row>
    <row r="767" spans="1:6" ht="13.8">
      <c r="A767" s="1" t="str">
        <f t="array" aca="1" ref="A767" ca="1">IF(B767="", "", IFERROR(INDEX(声優一覧!A:A, MATCH(B767, 声優一覧!B:B, 0)), "該当なし"))</f>
        <v>va_194</v>
      </c>
      <c r="B767" s="1" t="str">
        <f ca="1">IFERROR(__xludf.DUMMYFUNCTION("""COMPUTED_VALUE"""),"山中真尋")</f>
        <v>山中真尋</v>
      </c>
      <c r="C767" s="1" t="s">
        <v>190</v>
      </c>
      <c r="D767" s="1" t="str">
        <f>IF(C767="", "", IFERROR(VLOOKUP(C767, 作品一覧!A:B, 2, FALSE), "該当なし"))</f>
        <v>東京ディバンカー</v>
      </c>
      <c r="E767" s="1" t="str">
        <f ca="1">IFERROR(__xludf.DUMMYFUNCTION("""COMPUTED_VALUE"""),"加賀見昴流")</f>
        <v>加賀見昴流</v>
      </c>
      <c r="F767" s="6" t="s">
        <v>1585</v>
      </c>
    </row>
    <row r="768" spans="1:6" ht="13.8">
      <c r="A768" s="1" t="str">
        <f t="array" aca="1" ref="A768" ca="1">IF(B768="", "", IFERROR(INDEX(声優一覧!A:A, MATCH(B768, 声優一覧!B:B, 0)), "該当なし"))</f>
        <v>va_281</v>
      </c>
      <c r="B768" s="1" t="str">
        <f ca="1">IFERROR(__xludf.DUMMYFUNCTION("""COMPUTED_VALUE"""),"加藤渉")</f>
        <v>加藤渉</v>
      </c>
      <c r="C768" s="1" t="s">
        <v>190</v>
      </c>
      <c r="D768" s="1" t="str">
        <f>IF(C768="", "", IFERROR(VLOOKUP(C768, 作品一覧!A:B, 2, FALSE), "該当なし"))</f>
        <v>東京ディバンカー</v>
      </c>
      <c r="E768" s="1" t="str">
        <f ca="1">IFERROR(__xludf.DUMMYFUNCTION("""COMPUTED_VALUE"""),"草薙伯玖")</f>
        <v>草薙伯玖</v>
      </c>
      <c r="F768" s="6" t="s">
        <v>1586</v>
      </c>
    </row>
    <row r="769" spans="1:6" ht="13.8">
      <c r="A769" s="1" t="str">
        <f t="array" aca="1" ref="A769" ca="1">IF(B769="", "", IFERROR(INDEX(声優一覧!A:A, MATCH(B769, 声優一覧!B:B, 0)), "該当なし"))</f>
        <v>va_282</v>
      </c>
      <c r="B769" s="1" t="str">
        <f ca="1">IFERROR(__xludf.DUMMYFUNCTION("""COMPUTED_VALUE"""),"宮瀬尚也")</f>
        <v>宮瀬尚也</v>
      </c>
      <c r="C769" s="1" t="s">
        <v>190</v>
      </c>
      <c r="D769" s="1" t="str">
        <f>IF(C769="", "", IFERROR(VLOOKUP(C769, 作品一覧!A:B, 2, FALSE), "該当なし"))</f>
        <v>東京ディバンカー</v>
      </c>
      <c r="E769" s="1" t="str">
        <f ca="1">IFERROR(__xludf.DUMMYFUNCTION("""COMPUTED_VALUE"""),"殊玉善治")</f>
        <v>殊玉善治</v>
      </c>
      <c r="F769" s="6" t="s">
        <v>1587</v>
      </c>
    </row>
    <row r="770" spans="1:6" ht="13.8">
      <c r="A770" s="1" t="str">
        <f t="array" aca="1" ref="A770" ca="1">IF(B770="", "", IFERROR(INDEX(声優一覧!A:A, MATCH(B770, 声優一覧!B:B, 0)), "該当なし"))</f>
        <v>va_283</v>
      </c>
      <c r="B770" s="1" t="str">
        <f ca="1">IFERROR(__xludf.DUMMYFUNCTION("""COMPUTED_VALUE"""),"高野憲太朗")</f>
        <v>高野憲太朗</v>
      </c>
      <c r="C770" s="1" t="s">
        <v>190</v>
      </c>
      <c r="D770" s="1" t="str">
        <f>IF(C770="", "", IFERROR(VLOOKUP(C770, 作品一覧!A:B, 2, FALSE), "該当なし"))</f>
        <v>東京ディバンカー</v>
      </c>
      <c r="E770" s="1" t="str">
        <f ca="1">IFERROR(__xludf.DUMMYFUNCTION("""COMPUTED_VALUE"""),"エドワード・ハート")</f>
        <v>エドワード・ハート</v>
      </c>
      <c r="F770" s="6" t="s">
        <v>1588</v>
      </c>
    </row>
    <row r="771" spans="1:6" ht="13.8">
      <c r="A771" s="1" t="str">
        <f t="array" aca="1" ref="A771" ca="1">IF(B771="", "", IFERROR(INDEX(声優一覧!A:A, MATCH(B771, 声優一覧!B:B, 0)), "該当なし"))</f>
        <v>va_134</v>
      </c>
      <c r="B771" s="1" t="str">
        <f ca="1">IFERROR(__xludf.DUMMYFUNCTION("""COMPUTED_VALUE"""),"中島ヨシキ")</f>
        <v>中島ヨシキ</v>
      </c>
      <c r="C771" s="1" t="s">
        <v>190</v>
      </c>
      <c r="D771" s="1" t="str">
        <f>IF(C771="", "", IFERROR(VLOOKUP(C771, 作品一覧!A:B, 2, FALSE), "該当なし"))</f>
        <v>東京ディバンカー</v>
      </c>
      <c r="E771" s="1" t="str">
        <f ca="1">IFERROR(__xludf.DUMMYFUNCTION("""COMPUTED_VALUE"""),"観月累")</f>
        <v>観月累</v>
      </c>
      <c r="F771" s="6" t="s">
        <v>1589</v>
      </c>
    </row>
    <row r="772" spans="1:6" ht="13.8">
      <c r="A772" s="1" t="str">
        <f t="array" aca="1" ref="A772" ca="1">IF(B772="", "", IFERROR(INDEX(声優一覧!A:A, MATCH(B772, 声優一覧!B:B, 0)), "該当なし"))</f>
        <v>va_284</v>
      </c>
      <c r="B772" s="1" t="str">
        <f ca="1">IFERROR(__xludf.DUMMYFUNCTION("""COMPUTED_VALUE"""),"吉高志音")</f>
        <v>吉高志音</v>
      </c>
      <c r="C772" s="1" t="s">
        <v>190</v>
      </c>
      <c r="D772" s="1" t="str">
        <f>IF(C772="", "", IFERROR(VLOOKUP(C772, 作品一覧!A:B, 2, FALSE), "該当なし"))</f>
        <v>東京ディバンカー</v>
      </c>
      <c r="E772" s="1" t="str">
        <f ca="1">IFERROR(__xludf.DUMMYFUNCTION("""COMPUTED_VALUE"""),"ライカ・コルト")</f>
        <v>ライカ・コルト</v>
      </c>
      <c r="F772" s="6" t="s">
        <v>1590</v>
      </c>
    </row>
    <row r="773" spans="1:6" ht="13.8">
      <c r="A773" s="1" t="str">
        <f t="array" aca="1" ref="A773" ca="1">IF(B773="", "", IFERROR(INDEX(声優一覧!A:A, MATCH(B773, 声優一覧!B:B, 0)), "該当なし"))</f>
        <v>va_285</v>
      </c>
      <c r="B773" s="1" t="str">
        <f ca="1">IFERROR(__xludf.DUMMYFUNCTION("""COMPUTED_VALUE"""),"木暮晃石")</f>
        <v>木暮晃石</v>
      </c>
      <c r="C773" s="1" t="s">
        <v>190</v>
      </c>
      <c r="D773" s="1" t="str">
        <f>IF(C773="", "", IFERROR(VLOOKUP(C773, 作品一覧!A:B, 2, FALSE), "該当なし"))</f>
        <v>東京ディバンカー</v>
      </c>
      <c r="E773" s="1" t="str">
        <f ca="1">IFERROR(__xludf.DUMMYFUNCTION("""COMPUTED_VALUE"""),"衣佐美佑理")</f>
        <v>衣佐美佑理</v>
      </c>
      <c r="F773" s="6" t="s">
        <v>1591</v>
      </c>
    </row>
    <row r="774" spans="1:6" ht="13.8">
      <c r="A774" s="1" t="str">
        <f t="array" aca="1" ref="A774" ca="1">IF(B774="", "", IFERROR(INDEX(声優一覧!A:A, MATCH(B774, 声優一覧!B:B, 0)), "該当なし"))</f>
        <v>va_286</v>
      </c>
      <c r="B774" s="1" t="str">
        <f ca="1">IFERROR(__xludf.DUMMYFUNCTION("""COMPUTED_VALUE"""),"小林秀行")</f>
        <v>小林秀行</v>
      </c>
      <c r="C774" s="1" t="s">
        <v>190</v>
      </c>
      <c r="D774" s="1" t="str">
        <f>IF(C774="", "", IFERROR(VLOOKUP(C774, 作品一覧!A:B, 2, FALSE), "該当なし"))</f>
        <v>東京ディバンカー</v>
      </c>
      <c r="E774" s="1" t="str">
        <f ca="1">IFERROR(__xludf.DUMMYFUNCTION("""COMPUTED_VALUE"""),"桐崎次郎")</f>
        <v>桐崎次郎</v>
      </c>
      <c r="F774" s="6" t="s">
        <v>1592</v>
      </c>
    </row>
    <row r="775" spans="1:6" ht="13.8">
      <c r="A775" s="1" t="str">
        <f t="array" aca="1" ref="A775" ca="1">IF(B775="", "", IFERROR(INDEX(声優一覧!A:A, MATCH(B775, 声優一覧!B:B, 0)), "該当なし"))</f>
        <v>va_287</v>
      </c>
      <c r="B775" s="1" t="str">
        <f ca="1">IFERROR(__xludf.DUMMYFUNCTION("""COMPUTED_VALUE"""),"柳晃平")</f>
        <v>柳晃平</v>
      </c>
      <c r="C775" s="1" t="s">
        <v>190</v>
      </c>
      <c r="D775" s="1" t="str">
        <f>IF(C775="", "", IFERROR(VLOOKUP(C775, 作品一覧!A:B, 2, FALSE), "該当なし"))</f>
        <v>東京ディバンカー</v>
      </c>
      <c r="E775" s="1" t="str">
        <f ca="1">IFERROR(__xludf.DUMMYFUNCTION("""COMPUTED_VALUE"""),"金剛座丈")</f>
        <v>金剛座丈</v>
      </c>
      <c r="F775" s="6" t="s">
        <v>1593</v>
      </c>
    </row>
    <row r="776" spans="1:6" ht="13.8">
      <c r="A776" s="1" t="str">
        <f t="array" aca="1" ref="A776" ca="1">IF(B776="", "", IFERROR(INDEX(声優一覧!A:A, MATCH(B776, 声優一覧!B:B, 0)), "該当なし"))</f>
        <v>va_288</v>
      </c>
      <c r="B776" s="1" t="str">
        <f ca="1">IFERROR(__xludf.DUMMYFUNCTION("""COMPUTED_VALUE"""),"竹田海渡")</f>
        <v>竹田海渡</v>
      </c>
      <c r="C776" s="1" t="s">
        <v>190</v>
      </c>
      <c r="D776" s="1" t="str">
        <f>IF(C776="", "", IFERROR(VLOOKUP(C776, 作品一覧!A:B, 2, FALSE), "該当なし"))</f>
        <v>東京ディバンカー</v>
      </c>
      <c r="E776" s="1" t="str">
        <f ca="1">IFERROR(__xludf.DUMMYFUNCTION("""COMPUTED_VALUE"""),"煤原未桜")</f>
        <v>煤原未桜</v>
      </c>
      <c r="F776" s="6" t="s">
        <v>1594</v>
      </c>
    </row>
    <row r="777" spans="1:6" ht="13.8">
      <c r="A777" s="1" t="str">
        <f t="array" aca="1" ref="A777" ca="1">IF(B777="", "", IFERROR(INDEX(声優一覧!A:A, MATCH(B777, 声優一覧!B:B, 0)), "該当なし"))</f>
        <v>va_289</v>
      </c>
      <c r="B777" s="1" t="str">
        <f ca="1">IFERROR(__xludf.DUMMYFUNCTION("""COMPUTED_VALUE"""),"佐々木啓夫")</f>
        <v>佐々木啓夫</v>
      </c>
      <c r="C777" s="1" t="s">
        <v>190</v>
      </c>
      <c r="D777" s="1" t="str">
        <f>IF(C777="", "", IFERROR(VLOOKUP(C777, 作品一覧!A:B, 2, FALSE), "該当なし"))</f>
        <v>東京ディバンカー</v>
      </c>
      <c r="E777" s="1" t="str">
        <f ca="1">IFERROR(__xludf.DUMMYFUNCTION("""COMPUTED_VALUE"""),"エリアス・プラット")</f>
        <v>エリアス・プラット</v>
      </c>
      <c r="F777" s="6" t="s">
        <v>1595</v>
      </c>
    </row>
    <row r="778" spans="1:6" ht="13.8">
      <c r="A778" s="1" t="str">
        <f t="array" aca="1" ref="A778" ca="1">IF(B778="", "", IFERROR(INDEX(声優一覧!A:A, MATCH(B778, 声優一覧!B:B, 0)), "該当なし"))</f>
        <v>va_264</v>
      </c>
      <c r="B778" s="1" t="str">
        <f ca="1">IFERROR(__xludf.DUMMYFUNCTION("""COMPUTED_VALUE"""),"橘龍丸")</f>
        <v>橘龍丸</v>
      </c>
      <c r="C778" s="1" t="s">
        <v>190</v>
      </c>
      <c r="D778" s="1" t="str">
        <f>IF(C778="", "", IFERROR(VLOOKUP(C778, 作品一覧!A:B, 2, FALSE), "該当なし"))</f>
        <v>東京ディバンカー</v>
      </c>
      <c r="E778" s="1" t="str">
        <f ca="1">IFERROR(__xludf.DUMMYFUNCTION("""COMPUTED_VALUE"""),"幻海シオン")</f>
        <v>幻海シオン</v>
      </c>
      <c r="F778" s="6" t="s">
        <v>1596</v>
      </c>
    </row>
    <row r="779" spans="1:6" ht="13.8">
      <c r="A779" s="1" t="str">
        <f t="array" aca="1" ref="A779" ca="1">IF(B779="", "", IFERROR(INDEX(声優一覧!A:A, MATCH(B779, 声優一覧!B:B, 0)), "該当なし"))</f>
        <v>va_290</v>
      </c>
      <c r="B779" s="1" t="str">
        <f ca="1">IFERROR(__xludf.DUMMYFUNCTION("""COMPUTED_VALUE"""),"石黒史剛")</f>
        <v>石黒史剛</v>
      </c>
      <c r="C779" s="1" t="s">
        <v>190</v>
      </c>
      <c r="D779" s="1" t="str">
        <f>IF(C779="", "", IFERROR(VLOOKUP(C779, 作品一覧!A:B, 2, FALSE), "該当なし"))</f>
        <v>東京ディバンカー</v>
      </c>
      <c r="E779" s="1" t="str">
        <f ca="1">IFERROR(__xludf.DUMMYFUNCTION("""COMPUTED_VALUE"""),"ロミオ・S・ルッチ")</f>
        <v>ロミオ・S・ルッチ</v>
      </c>
      <c r="F779" s="6" t="s">
        <v>1597</v>
      </c>
    </row>
    <row r="780" spans="1:6" ht="13.8">
      <c r="A780" s="1" t="str">
        <f t="array" aca="1" ref="A780" ca="1">IF(B780="", "", IFERROR(INDEX(声優一覧!A:A, MATCH(B780, 声優一覧!B:B, 0)), "該当なし"))</f>
        <v>va_176</v>
      </c>
      <c r="B780" s="1" t="str">
        <f ca="1">IFERROR(__xludf.DUMMYFUNCTION("""COMPUTED_VALUE"""),"三木眞一郎")</f>
        <v>三木眞一郎</v>
      </c>
      <c r="C780" s="1" t="s">
        <v>202</v>
      </c>
      <c r="D780" s="1" t="str">
        <f>IF(C780="", "", IFERROR(VLOOKUP(C780, 作品一覧!A:B, 2, FALSE), "該当なし"))</f>
        <v>遙かなる時空の中でシリーズ</v>
      </c>
      <c r="E780" s="1" t="str">
        <f ca="1">IFERROR(__xludf.DUMMYFUNCTION("""COMPUTED_VALUE"""),"源頼久")</f>
        <v>源頼久</v>
      </c>
      <c r="F780" s="6" t="s">
        <v>1598</v>
      </c>
    </row>
    <row r="781" spans="1:6" ht="13.8">
      <c r="A781" s="1" t="str">
        <f t="array" aca="1" ref="A781" ca="1">IF(B781="", "", IFERROR(INDEX(声優一覧!A:A, MATCH(B781, 声優一覧!B:B, 0)), "該当なし"))</f>
        <v>va_291</v>
      </c>
      <c r="B781" s="1" t="str">
        <f ca="1">IFERROR(__xludf.DUMMYFUNCTION("""COMPUTED_VALUE"""),"関智一")</f>
        <v>関智一</v>
      </c>
      <c r="C781" s="1" t="s">
        <v>202</v>
      </c>
      <c r="D781" s="1" t="str">
        <f>IF(C781="", "", IFERROR(VLOOKUP(C781, 作品一覧!A:B, 2, FALSE), "該当なし"))</f>
        <v>遙かなる時空の中でシリーズ</v>
      </c>
      <c r="E781" s="1" t="str">
        <f ca="1">IFERROR(__xludf.DUMMYFUNCTION("""COMPUTED_VALUE"""),"森村天真")</f>
        <v>森村天真</v>
      </c>
      <c r="F781" s="6" t="s">
        <v>1599</v>
      </c>
    </row>
    <row r="782" spans="1:6" ht="13.8">
      <c r="A782" s="1" t="str">
        <f t="array" aca="1" ref="A782" ca="1">IF(B782="", "", IFERROR(INDEX(声優一覧!A:A, MATCH(B782, 声優一覧!B:B, 0)), "該当なし"))</f>
        <v>va_292</v>
      </c>
      <c r="B782" s="1" t="str">
        <f ca="1">IFERROR(__xludf.DUMMYFUNCTION("""COMPUTED_VALUE"""),"高橋直純")</f>
        <v>高橋直純</v>
      </c>
      <c r="C782" s="1" t="s">
        <v>202</v>
      </c>
      <c r="D782" s="1" t="str">
        <f>IF(C782="", "", IFERROR(VLOOKUP(C782, 作品一覧!A:B, 2, FALSE), "該当なし"))</f>
        <v>遙かなる時空の中でシリーズ</v>
      </c>
      <c r="E782" s="1" t="str">
        <f ca="1">IFERROR(__xludf.DUMMYFUNCTION("""COMPUTED_VALUE"""),"イノリ")</f>
        <v>イノリ</v>
      </c>
      <c r="F782" s="6" t="s">
        <v>1600</v>
      </c>
    </row>
    <row r="783" spans="1:6" ht="13.8">
      <c r="A783" s="1" t="str">
        <f t="array" aca="1" ref="A783" ca="1">IF(B783="", "", IFERROR(INDEX(声優一覧!A:A, MATCH(B783, 声優一覧!B:B, 0)), "該当なし"))</f>
        <v>va_182</v>
      </c>
      <c r="B783" s="1" t="str">
        <f ca="1">IFERROR(__xludf.DUMMYFUNCTION("""COMPUTED_VALUE"""),"宮田幸季")</f>
        <v>宮田幸季</v>
      </c>
      <c r="C783" s="1" t="s">
        <v>202</v>
      </c>
      <c r="D783" s="1" t="str">
        <f>IF(C783="", "", IFERROR(VLOOKUP(C783, 作品一覧!A:B, 2, FALSE), "該当なし"))</f>
        <v>遙かなる時空の中でシリーズ</v>
      </c>
      <c r="E783" s="1" t="str">
        <f ca="1">IFERROR(__xludf.DUMMYFUNCTION("""COMPUTED_VALUE"""),"流山詩紋")</f>
        <v>流山詩紋</v>
      </c>
      <c r="F783" s="6" t="s">
        <v>1601</v>
      </c>
    </row>
    <row r="784" spans="1:6" ht="13.8">
      <c r="A784" s="1" t="str">
        <f t="array" aca="1" ref="A784" ca="1">IF(B784="", "", IFERROR(INDEX(声優一覧!A:A, MATCH(B784, 声優一覧!B:B, 0)), "該当なし"))</f>
        <v>va_293</v>
      </c>
      <c r="B784" s="1" t="str">
        <f ca="1">IFERROR(__xludf.DUMMYFUNCTION("""COMPUTED_VALUE"""),"中原茂")</f>
        <v>中原茂</v>
      </c>
      <c r="C784" s="1" t="s">
        <v>202</v>
      </c>
      <c r="D784" s="1" t="str">
        <f>IF(C784="", "", IFERROR(VLOOKUP(C784, 作品一覧!A:B, 2, FALSE), "該当なし"))</f>
        <v>遙かなる時空の中でシリーズ</v>
      </c>
      <c r="E784" s="1" t="str">
        <f ca="1">IFERROR(__xludf.DUMMYFUNCTION("""COMPUTED_VALUE"""),"藤原鷹通")</f>
        <v>藤原鷹通</v>
      </c>
      <c r="F784" s="6" t="s">
        <v>1602</v>
      </c>
    </row>
    <row r="785" spans="1:6" ht="13.8">
      <c r="A785" s="1" t="str">
        <f t="array" aca="1" ref="A785" ca="1">IF(B785="", "", IFERROR(INDEX(声優一覧!A:A, MATCH(B785, 声優一覧!B:B, 0)), "該当なし"))</f>
        <v>va_021</v>
      </c>
      <c r="B785" s="1" t="str">
        <f ca="1">IFERROR(__xludf.DUMMYFUNCTION("""COMPUTED_VALUE"""),"井上和彦")</f>
        <v>井上和彦</v>
      </c>
      <c r="C785" s="1" t="s">
        <v>202</v>
      </c>
      <c r="D785" s="1" t="str">
        <f>IF(C785="", "", IFERROR(VLOOKUP(C785, 作品一覧!A:B, 2, FALSE), "該当なし"))</f>
        <v>遙かなる時空の中でシリーズ</v>
      </c>
      <c r="E785" s="1" t="str">
        <f ca="1">IFERROR(__xludf.DUMMYFUNCTION("""COMPUTED_VALUE"""),"橘友雅")</f>
        <v>橘友雅</v>
      </c>
      <c r="F785" s="6" t="s">
        <v>1603</v>
      </c>
    </row>
    <row r="786" spans="1:6" ht="13.8">
      <c r="A786" s="1" t="str">
        <f t="array" aca="1" ref="A786" ca="1">IF(B786="", "", IFERROR(INDEX(声優一覧!A:A, MATCH(B786, 声優一覧!B:B, 0)), "該当なし"))</f>
        <v>va_168</v>
      </c>
      <c r="B786" s="1" t="str">
        <f ca="1">IFERROR(__xludf.DUMMYFUNCTION("""COMPUTED_VALUE"""),"保志総一朗")</f>
        <v>保志総一朗</v>
      </c>
      <c r="C786" s="1" t="s">
        <v>202</v>
      </c>
      <c r="D786" s="1" t="str">
        <f>IF(C786="", "", IFERROR(VLOOKUP(C786, 作品一覧!A:B, 2, FALSE), "該当なし"))</f>
        <v>遙かなる時空の中でシリーズ</v>
      </c>
      <c r="E786" s="1" t="str">
        <f ca="1">IFERROR(__xludf.DUMMYFUNCTION("""COMPUTED_VALUE"""),"永泉")</f>
        <v>永泉</v>
      </c>
      <c r="F786" s="6" t="s">
        <v>1604</v>
      </c>
    </row>
    <row r="787" spans="1:6" ht="13.8">
      <c r="A787" s="1" t="str">
        <f t="array" aca="1" ref="A787" ca="1">IF(B787="", "", IFERROR(INDEX(声優一覧!A:A, MATCH(B787, 声優一覧!B:B, 0)), "該当なし"))</f>
        <v>va_265</v>
      </c>
      <c r="B787" s="1" t="str">
        <f ca="1">IFERROR(__xludf.DUMMYFUNCTION("""COMPUTED_VALUE"""),"石田彰")</f>
        <v>石田彰</v>
      </c>
      <c r="C787" s="1" t="s">
        <v>202</v>
      </c>
      <c r="D787" s="1" t="str">
        <f>IF(C787="", "", IFERROR(VLOOKUP(C787, 作品一覧!A:B, 2, FALSE), "該当なし"))</f>
        <v>遙かなる時空の中でシリーズ</v>
      </c>
      <c r="E787" s="1" t="str">
        <f ca="1">IFERROR(__xludf.DUMMYFUNCTION("""COMPUTED_VALUE"""),"安倍泰明")</f>
        <v>安倍泰明</v>
      </c>
      <c r="F787" s="6" t="s">
        <v>1605</v>
      </c>
    </row>
    <row r="788" spans="1:6" ht="13.8">
      <c r="A788" s="1" t="str">
        <f t="array" aca="1" ref="A788" ca="1">IF(B788="", "", IFERROR(INDEX(声優一覧!A:A, MATCH(B788, 声優一覧!B:B, 0)), "該当なし"))</f>
        <v>va_176</v>
      </c>
      <c r="B788" s="1" t="str">
        <f ca="1">IFERROR(__xludf.DUMMYFUNCTION("""COMPUTED_VALUE"""),"三木眞一郎")</f>
        <v>三木眞一郎</v>
      </c>
      <c r="C788" s="1" t="s">
        <v>202</v>
      </c>
      <c r="D788" s="1" t="str">
        <f>IF(C788="", "", IFERROR(VLOOKUP(C788, 作品一覧!A:B, 2, FALSE), "該当なし"))</f>
        <v>遙かなる時空の中でシリーズ</v>
      </c>
      <c r="E788" s="1" t="str">
        <f ca="1">IFERROR(__xludf.DUMMYFUNCTION("""COMPUTED_VALUE"""),"源頼忠")</f>
        <v>源頼忠</v>
      </c>
      <c r="F788" s="6" t="s">
        <v>1606</v>
      </c>
    </row>
    <row r="789" spans="1:6" ht="13.8">
      <c r="A789" s="1" t="str">
        <f t="array" aca="1" ref="A789" ca="1">IF(B789="", "", IFERROR(INDEX(声優一覧!A:A, MATCH(B789, 声優一覧!B:B, 0)), "該当なし"))</f>
        <v>va_291</v>
      </c>
      <c r="B789" s="1" t="str">
        <f ca="1">IFERROR(__xludf.DUMMYFUNCTION("""COMPUTED_VALUE"""),"関智一")</f>
        <v>関智一</v>
      </c>
      <c r="C789" s="1" t="s">
        <v>202</v>
      </c>
      <c r="D789" s="1" t="str">
        <f>IF(C789="", "", IFERROR(VLOOKUP(C789, 作品一覧!A:B, 2, FALSE), "該当なし"))</f>
        <v>遙かなる時空の中でシリーズ</v>
      </c>
      <c r="E789" s="1" t="str">
        <f ca="1">IFERROR(__xludf.DUMMYFUNCTION("""COMPUTED_VALUE"""),"平勝真")</f>
        <v>平勝真</v>
      </c>
      <c r="F789" s="6" t="s">
        <v>1607</v>
      </c>
    </row>
    <row r="790" spans="1:6" ht="13.8">
      <c r="A790" s="1" t="str">
        <f t="array" aca="1" ref="A790" ca="1">IF(B790="", "", IFERROR(INDEX(声優一覧!A:A, MATCH(B790, 声優一覧!B:B, 0)), "該当なし"))</f>
        <v>va_292</v>
      </c>
      <c r="B790" s="1" t="str">
        <f ca="1">IFERROR(__xludf.DUMMYFUNCTION("""COMPUTED_VALUE"""),"高橋直純")</f>
        <v>高橋直純</v>
      </c>
      <c r="C790" s="1" t="s">
        <v>202</v>
      </c>
      <c r="D790" s="1" t="str">
        <f>IF(C790="", "", IFERROR(VLOOKUP(C790, 作品一覧!A:B, 2, FALSE), "該当なし"))</f>
        <v>遙かなる時空の中でシリーズ</v>
      </c>
      <c r="E790" s="1" t="str">
        <f ca="1">IFERROR(__xludf.DUMMYFUNCTION("""COMPUTED_VALUE"""),"イサト")</f>
        <v>イサト</v>
      </c>
      <c r="F790" s="6" t="s">
        <v>1608</v>
      </c>
    </row>
    <row r="791" spans="1:6" ht="13.8">
      <c r="A791" s="1" t="str">
        <f t="array" aca="1" ref="A791" ca="1">IF(B791="", "", IFERROR(INDEX(声優一覧!A:A, MATCH(B791, 声優一覧!B:B, 0)), "該当なし"))</f>
        <v>va_182</v>
      </c>
      <c r="B791" s="1" t="str">
        <f ca="1">IFERROR(__xludf.DUMMYFUNCTION("""COMPUTED_VALUE"""),"宮田幸季")</f>
        <v>宮田幸季</v>
      </c>
      <c r="C791" s="1" t="s">
        <v>202</v>
      </c>
      <c r="D791" s="1" t="str">
        <f>IF(C791="", "", IFERROR(VLOOKUP(C791, 作品一覧!A:B, 2, FALSE), "該当なし"))</f>
        <v>遙かなる時空の中でシリーズ</v>
      </c>
      <c r="E791" s="1" t="str">
        <f ca="1">IFERROR(__xludf.DUMMYFUNCTION("""COMPUTED_VALUE"""),"彰紋")</f>
        <v>彰紋</v>
      </c>
      <c r="F791" s="6" t="s">
        <v>1609</v>
      </c>
    </row>
    <row r="792" spans="1:6" ht="13.8">
      <c r="A792" s="1" t="str">
        <f t="array" aca="1" ref="A792" ca="1">IF(B792="", "", IFERROR(INDEX(声優一覧!A:A, MATCH(B792, 声優一覧!B:B, 0)), "該当なし"))</f>
        <v>va_293</v>
      </c>
      <c r="B792" s="1" t="str">
        <f ca="1">IFERROR(__xludf.DUMMYFUNCTION("""COMPUTED_VALUE"""),"中原茂")</f>
        <v>中原茂</v>
      </c>
      <c r="C792" s="1" t="s">
        <v>202</v>
      </c>
      <c r="D792" s="1" t="str">
        <f>IF(C792="", "", IFERROR(VLOOKUP(C792, 作品一覧!A:B, 2, FALSE), "該当なし"))</f>
        <v>遙かなる時空の中でシリーズ</v>
      </c>
      <c r="E792" s="1" t="str">
        <f ca="1">IFERROR(__xludf.DUMMYFUNCTION("""COMPUTED_VALUE"""),"藤原幸鷹")</f>
        <v>藤原幸鷹</v>
      </c>
      <c r="F792" s="6" t="s">
        <v>1610</v>
      </c>
    </row>
    <row r="793" spans="1:6" ht="13.8">
      <c r="A793" s="1" t="str">
        <f t="array" aca="1" ref="A793" ca="1">IF(B793="", "", IFERROR(INDEX(声優一覧!A:A, MATCH(B793, 声優一覧!B:B, 0)), "該当なし"))</f>
        <v>va_021</v>
      </c>
      <c r="B793" s="1" t="str">
        <f ca="1">IFERROR(__xludf.DUMMYFUNCTION("""COMPUTED_VALUE"""),"井上和彦")</f>
        <v>井上和彦</v>
      </c>
      <c r="C793" s="1" t="s">
        <v>202</v>
      </c>
      <c r="D793" s="1" t="str">
        <f>IF(C793="", "", IFERROR(VLOOKUP(C793, 作品一覧!A:B, 2, FALSE), "該当なし"))</f>
        <v>遙かなる時空の中でシリーズ</v>
      </c>
      <c r="E793" s="1" t="str">
        <f ca="1">IFERROR(__xludf.DUMMYFUNCTION("""COMPUTED_VALUE"""),"翡翠")</f>
        <v>翡翠</v>
      </c>
      <c r="F793" s="6" t="s">
        <v>1611</v>
      </c>
    </row>
    <row r="794" spans="1:6" ht="13.8">
      <c r="A794" s="1" t="str">
        <f t="array" aca="1" ref="A794" ca="1">IF(B794="", "", IFERROR(INDEX(声優一覧!A:A, MATCH(B794, 声優一覧!B:B, 0)), "該当なし"))</f>
        <v>va_168</v>
      </c>
      <c r="B794" s="1" t="str">
        <f ca="1">IFERROR(__xludf.DUMMYFUNCTION("""COMPUTED_VALUE"""),"保志総一朗")</f>
        <v>保志総一朗</v>
      </c>
      <c r="C794" s="1" t="s">
        <v>202</v>
      </c>
      <c r="D794" s="1" t="str">
        <f>IF(C794="", "", IFERROR(VLOOKUP(C794, 作品一覧!A:B, 2, FALSE), "該当なし"))</f>
        <v>遙かなる時空の中でシリーズ</v>
      </c>
      <c r="E794" s="1" t="str">
        <f ca="1">IFERROR(__xludf.DUMMYFUNCTION("""COMPUTED_VALUE"""),"源泉水")</f>
        <v>源泉水</v>
      </c>
      <c r="F794" s="6" t="s">
        <v>1612</v>
      </c>
    </row>
    <row r="795" spans="1:6" ht="13.8">
      <c r="A795" s="1" t="str">
        <f t="array" aca="1" ref="A795" ca="1">IF(B795="", "", IFERROR(INDEX(声優一覧!A:A, MATCH(B795, 声優一覧!B:B, 0)), "該当なし"))</f>
        <v>va_265</v>
      </c>
      <c r="B795" s="1" t="str">
        <f ca="1">IFERROR(__xludf.DUMMYFUNCTION("""COMPUTED_VALUE"""),"石田彰")</f>
        <v>石田彰</v>
      </c>
      <c r="C795" s="1" t="s">
        <v>202</v>
      </c>
      <c r="D795" s="1" t="str">
        <f>IF(C795="", "", IFERROR(VLOOKUP(C795, 作品一覧!A:B, 2, FALSE), "該当なし"))</f>
        <v>遙かなる時空の中でシリーズ</v>
      </c>
      <c r="E795" s="1" t="str">
        <f ca="1">IFERROR(__xludf.DUMMYFUNCTION("""COMPUTED_VALUE"""),"安倍泰継")</f>
        <v>安倍泰継</v>
      </c>
      <c r="F795" s="6" t="s">
        <v>1613</v>
      </c>
    </row>
    <row r="796" spans="1:6" ht="13.8">
      <c r="A796" s="1" t="str">
        <f t="array" aca="1" ref="A796" ca="1">IF(B796="", "", IFERROR(INDEX(声優一覧!A:A, MATCH(B796, 声優一覧!B:B, 0)), "該当なし"))</f>
        <v>va_176</v>
      </c>
      <c r="B796" s="1" t="str">
        <f ca="1">IFERROR(__xludf.DUMMYFUNCTION("""COMPUTED_VALUE"""),"三木眞一郎")</f>
        <v>三木眞一郎</v>
      </c>
      <c r="C796" s="1" t="s">
        <v>202</v>
      </c>
      <c r="D796" s="1" t="str">
        <f>IF(C796="", "", IFERROR(VLOOKUP(C796, 作品一覧!A:B, 2, FALSE), "該当なし"))</f>
        <v>遙かなる時空の中でシリーズ</v>
      </c>
      <c r="E796" s="1" t="str">
        <f ca="1">IFERROR(__xludf.DUMMYFUNCTION("""COMPUTED_VALUE"""),"有川将臣")</f>
        <v>有川将臣</v>
      </c>
      <c r="F796" s="6" t="s">
        <v>1614</v>
      </c>
    </row>
    <row r="797" spans="1:6" ht="13.8">
      <c r="A797" s="1" t="str">
        <f t="array" aca="1" ref="A797" ca="1">IF(B797="", "", IFERROR(INDEX(声優一覧!A:A, MATCH(B797, 声優一覧!B:B, 0)), "該当なし"))</f>
        <v>va_291</v>
      </c>
      <c r="B797" s="1" t="str">
        <f ca="1">IFERROR(__xludf.DUMMYFUNCTION("""COMPUTED_VALUE"""),"関智一")</f>
        <v>関智一</v>
      </c>
      <c r="C797" s="1" t="s">
        <v>202</v>
      </c>
      <c r="D797" s="1" t="str">
        <f>IF(C797="", "", IFERROR(VLOOKUP(C797, 作品一覧!A:B, 2, FALSE), "該当なし"))</f>
        <v>遙かなる時空の中でシリーズ</v>
      </c>
      <c r="E797" s="1" t="str">
        <f ca="1">IFERROR(__xludf.DUMMYFUNCTION("""COMPUTED_VALUE"""),"源九郎義経")</f>
        <v>源九郎義経</v>
      </c>
      <c r="F797" s="6" t="s">
        <v>1615</v>
      </c>
    </row>
    <row r="798" spans="1:6" ht="13.8">
      <c r="A798" s="1" t="str">
        <f t="array" aca="1" ref="A798" ca="1">IF(B798="", "", IFERROR(INDEX(声優一覧!A:A, MATCH(B798, 声優一覧!B:B, 0)), "該当なし"))</f>
        <v>va_292</v>
      </c>
      <c r="B798" s="1" t="str">
        <f ca="1">IFERROR(__xludf.DUMMYFUNCTION("""COMPUTED_VALUE"""),"高橋直純")</f>
        <v>高橋直純</v>
      </c>
      <c r="C798" s="1" t="s">
        <v>202</v>
      </c>
      <c r="D798" s="1" t="str">
        <f>IF(C798="", "", IFERROR(VLOOKUP(C798, 作品一覧!A:B, 2, FALSE), "該当なし"))</f>
        <v>遙かなる時空の中でシリーズ</v>
      </c>
      <c r="E798" s="1" t="str">
        <f ca="1">IFERROR(__xludf.DUMMYFUNCTION("""COMPUTED_VALUE"""),"ヒノエ")</f>
        <v>ヒノエ</v>
      </c>
      <c r="F798" s="6" t="s">
        <v>1616</v>
      </c>
    </row>
    <row r="799" spans="1:6" ht="13.8">
      <c r="A799" s="1" t="str">
        <f t="array" aca="1" ref="A799" ca="1">IF(B799="", "", IFERROR(INDEX(声優一覧!A:A, MATCH(B799, 声優一覧!B:B, 0)), "該当なし"))</f>
        <v>va_182</v>
      </c>
      <c r="B799" s="1" t="str">
        <f ca="1">IFERROR(__xludf.DUMMYFUNCTION("""COMPUTED_VALUE"""),"宮田幸季")</f>
        <v>宮田幸季</v>
      </c>
      <c r="C799" s="1" t="s">
        <v>202</v>
      </c>
      <c r="D799" s="1" t="str">
        <f>IF(C799="", "", IFERROR(VLOOKUP(C799, 作品一覧!A:B, 2, FALSE), "該当なし"))</f>
        <v>遙かなる時空の中でシリーズ</v>
      </c>
      <c r="E799" s="1" t="str">
        <f ca="1">IFERROR(__xludf.DUMMYFUNCTION("""COMPUTED_VALUE"""),"武蔵坊弁慶")</f>
        <v>武蔵坊弁慶</v>
      </c>
      <c r="F799" s="6" t="s">
        <v>1617</v>
      </c>
    </row>
    <row r="800" spans="1:6" ht="13.8">
      <c r="A800" s="1" t="str">
        <f t="array" aca="1" ref="A800" ca="1">IF(B800="", "", IFERROR(INDEX(声優一覧!A:A, MATCH(B800, 声優一覧!B:B, 0)), "該当なし"))</f>
        <v>va_293</v>
      </c>
      <c r="B800" s="1" t="str">
        <f ca="1">IFERROR(__xludf.DUMMYFUNCTION("""COMPUTED_VALUE"""),"中原茂")</f>
        <v>中原茂</v>
      </c>
      <c r="C800" s="1" t="s">
        <v>202</v>
      </c>
      <c r="D800" s="1" t="str">
        <f>IF(C800="", "", IFERROR(VLOOKUP(C800, 作品一覧!A:B, 2, FALSE), "該当なし"))</f>
        <v>遙かなる時空の中でシリーズ</v>
      </c>
      <c r="E800" s="1" t="str">
        <f ca="1">IFERROR(__xludf.DUMMYFUNCTION("""COMPUTED_VALUE"""),"有川譲")</f>
        <v>有川譲</v>
      </c>
      <c r="F800" s="6" t="s">
        <v>1618</v>
      </c>
    </row>
    <row r="801" spans="1:6" ht="13.8">
      <c r="A801" s="1" t="str">
        <f t="array" aca="1" ref="A801" ca="1">IF(B801="", "", IFERROR(INDEX(声優一覧!A:A, MATCH(B801, 声優一覧!B:B, 0)), "該当なし"))</f>
        <v>va_021</v>
      </c>
      <c r="B801" s="1" t="str">
        <f ca="1">IFERROR(__xludf.DUMMYFUNCTION("""COMPUTED_VALUE"""),"井上和彦")</f>
        <v>井上和彦</v>
      </c>
      <c r="C801" s="1" t="s">
        <v>202</v>
      </c>
      <c r="D801" s="1" t="str">
        <f>IF(C801="", "", IFERROR(VLOOKUP(C801, 作品一覧!A:B, 2, FALSE), "該当なし"))</f>
        <v>遙かなる時空の中でシリーズ</v>
      </c>
      <c r="E801" s="1" t="str">
        <f ca="1">IFERROR(__xludf.DUMMYFUNCTION("""COMPUTED_VALUE"""),"梶原景時")</f>
        <v>梶原景時</v>
      </c>
      <c r="F801" s="6" t="s">
        <v>1619</v>
      </c>
    </row>
    <row r="802" spans="1:6" ht="13.8">
      <c r="A802" s="1" t="str">
        <f t="array" aca="1" ref="A802" ca="1">IF(B802="", "", IFERROR(INDEX(声優一覧!A:A, MATCH(B802, 声優一覧!B:B, 0)), "該当なし"))</f>
        <v>va_168</v>
      </c>
      <c r="B802" s="1" t="str">
        <f ca="1">IFERROR(__xludf.DUMMYFUNCTION("""COMPUTED_VALUE"""),"保志総一朗")</f>
        <v>保志総一朗</v>
      </c>
      <c r="C802" s="1" t="s">
        <v>202</v>
      </c>
      <c r="D802" s="1" t="str">
        <f>IF(C802="", "", IFERROR(VLOOKUP(C802, 作品一覧!A:B, 2, FALSE), "該当なし"))</f>
        <v>遙かなる時空の中でシリーズ</v>
      </c>
      <c r="E802" s="1" t="str">
        <f ca="1">IFERROR(__xludf.DUMMYFUNCTION("""COMPUTED_VALUE"""),"平敦盛")</f>
        <v>平敦盛</v>
      </c>
      <c r="F802" s="6" t="s">
        <v>1620</v>
      </c>
    </row>
    <row r="803" spans="1:6" ht="13.8">
      <c r="A803" s="1" t="str">
        <f t="array" aca="1" ref="A803" ca="1">IF(B803="", "", IFERROR(INDEX(声優一覧!A:A, MATCH(B803, 声優一覧!B:B, 0)), "該当なし"))</f>
        <v>va_265</v>
      </c>
      <c r="B803" s="1" t="str">
        <f ca="1">IFERROR(__xludf.DUMMYFUNCTION("""COMPUTED_VALUE"""),"石田彰")</f>
        <v>石田彰</v>
      </c>
      <c r="C803" s="1" t="s">
        <v>202</v>
      </c>
      <c r="D803" s="1" t="str">
        <f>IF(C803="", "", IFERROR(VLOOKUP(C803, 作品一覧!A:B, 2, FALSE), "該当なし"))</f>
        <v>遙かなる時空の中でシリーズ</v>
      </c>
      <c r="E803" s="1" t="str">
        <f ca="1">IFERROR(__xludf.DUMMYFUNCTION("""COMPUTED_VALUE"""),"リズヴァーン")</f>
        <v>リズヴァーン</v>
      </c>
      <c r="F803" s="6" t="s">
        <v>1621</v>
      </c>
    </row>
    <row r="804" spans="1:6" ht="13.8">
      <c r="A804" s="1" t="str">
        <f t="array" aca="1" ref="A804" ca="1">IF(B804="", "", IFERROR(INDEX(声優一覧!A:A, MATCH(B804, 声優一覧!B:B, 0)), "該当なし"))</f>
        <v>va_021</v>
      </c>
      <c r="B804" s="1" t="str">
        <f ca="1">IFERROR(__xludf.DUMMYFUNCTION("""COMPUTED_VALUE"""),"井上和彦")</f>
        <v>井上和彦</v>
      </c>
      <c r="C804" s="1" t="s">
        <v>202</v>
      </c>
      <c r="D804" s="1" t="str">
        <f>IF(C804="", "", IFERROR(VLOOKUP(C804, 作品一覧!A:B, 2, FALSE), "該当なし"))</f>
        <v>遙かなる時空の中でシリーズ</v>
      </c>
      <c r="E804" s="1" t="str">
        <f ca="1">IFERROR(__xludf.DUMMYFUNCTION("""COMPUTED_VALUE"""),"風早")</f>
        <v>風早</v>
      </c>
      <c r="F804" s="6" t="s">
        <v>1622</v>
      </c>
    </row>
    <row r="805" spans="1:6" ht="13.8">
      <c r="A805" s="1" t="str">
        <f t="array" aca="1" ref="A805" ca="1">IF(B805="", "", IFERROR(INDEX(声優一覧!A:A, MATCH(B805, 声優一覧!B:B, 0)), "該当なし"))</f>
        <v>va_265</v>
      </c>
      <c r="B805" s="1" t="str">
        <f ca="1">IFERROR(__xludf.DUMMYFUNCTION("""COMPUTED_VALUE"""),"石田彰")</f>
        <v>石田彰</v>
      </c>
      <c r="C805" s="1" t="s">
        <v>202</v>
      </c>
      <c r="D805" s="1" t="str">
        <f>IF(C805="", "", IFERROR(VLOOKUP(C805, 作品一覧!A:B, 2, FALSE), "該当なし"))</f>
        <v>遙かなる時空の中でシリーズ</v>
      </c>
      <c r="E805" s="1" t="str">
        <f ca="1">IFERROR(__xludf.DUMMYFUNCTION("""COMPUTED_VALUE"""),"アシュヴィン")</f>
        <v>アシュヴィン</v>
      </c>
      <c r="F805" s="6" t="s">
        <v>1623</v>
      </c>
    </row>
    <row r="806" spans="1:6" ht="13.8">
      <c r="A806" s="1" t="str">
        <f t="array" aca="1" ref="A806" ca="1">IF(B806="", "", IFERROR(INDEX(声優一覧!A:A, MATCH(B806, 声優一覧!B:B, 0)), "該当なし"))</f>
        <v>va_291</v>
      </c>
      <c r="B806" s="1" t="str">
        <f ca="1">IFERROR(__xludf.DUMMYFUNCTION("""COMPUTED_VALUE"""),"関智一")</f>
        <v>関智一</v>
      </c>
      <c r="C806" s="1" t="s">
        <v>202</v>
      </c>
      <c r="D806" s="1" t="str">
        <f>IF(C806="", "", IFERROR(VLOOKUP(C806, 作品一覧!A:B, 2, FALSE), "該当なし"))</f>
        <v>遙かなる時空の中でシリーズ</v>
      </c>
      <c r="E806" s="1" t="str">
        <f ca="1">IFERROR(__xludf.DUMMYFUNCTION("""COMPUTED_VALUE"""),"サザキ")</f>
        <v>サザキ</v>
      </c>
      <c r="F806" s="6" t="s">
        <v>1624</v>
      </c>
    </row>
    <row r="807" spans="1:6" ht="13.8">
      <c r="A807" s="1" t="str">
        <f t="array" aca="1" ref="A807" ca="1">IF(B807="", "", IFERROR(INDEX(声優一覧!A:A, MATCH(B807, 声優一覧!B:B, 0)), "該当なし"))</f>
        <v>va_182</v>
      </c>
      <c r="B807" s="1" t="str">
        <f ca="1">IFERROR(__xludf.DUMMYFUNCTION("""COMPUTED_VALUE"""),"宮田幸季")</f>
        <v>宮田幸季</v>
      </c>
      <c r="C807" s="1" t="s">
        <v>202</v>
      </c>
      <c r="D807" s="1" t="str">
        <f>IF(C807="", "", IFERROR(VLOOKUP(C807, 作品一覧!A:B, 2, FALSE), "該当なし"))</f>
        <v>遙かなる時空の中でシリーズ</v>
      </c>
      <c r="E807" s="1" t="str">
        <f ca="1">IFERROR(__xludf.DUMMYFUNCTION("""COMPUTED_VALUE"""),"那岐")</f>
        <v>那岐</v>
      </c>
      <c r="F807" s="6" t="s">
        <v>1625</v>
      </c>
    </row>
    <row r="808" spans="1:6" ht="13.8">
      <c r="A808" s="1" t="str">
        <f t="array" aca="1" ref="A808" ca="1">IF(B808="", "", IFERROR(INDEX(声優一覧!A:A, MATCH(B808, 声優一覧!B:B, 0)), "該当なし"))</f>
        <v>va_168</v>
      </c>
      <c r="B808" s="1" t="str">
        <f ca="1">IFERROR(__xludf.DUMMYFUNCTION("""COMPUTED_VALUE"""),"保志総一朗")</f>
        <v>保志総一朗</v>
      </c>
      <c r="C808" s="1" t="s">
        <v>202</v>
      </c>
      <c r="D808" s="1" t="str">
        <f>IF(C808="", "", IFERROR(VLOOKUP(C808, 作品一覧!A:B, 2, FALSE), "該当なし"))</f>
        <v>遙かなる時空の中でシリーズ</v>
      </c>
      <c r="E808" s="1" t="str">
        <f ca="1">IFERROR(__xludf.DUMMYFUNCTION("""COMPUTED_VALUE"""),"布都彦")</f>
        <v>布都彦</v>
      </c>
      <c r="F808" s="6" t="s">
        <v>1626</v>
      </c>
    </row>
    <row r="809" spans="1:6" ht="13.8">
      <c r="A809" s="1" t="str">
        <f t="array" aca="1" ref="A809" ca="1">IF(B809="", "", IFERROR(INDEX(声優一覧!A:A, MATCH(B809, 声優一覧!B:B, 0)), "該当なし"))</f>
        <v>va_176</v>
      </c>
      <c r="B809" s="1" t="str">
        <f ca="1">IFERROR(__xludf.DUMMYFUNCTION("""COMPUTED_VALUE"""),"三木眞一郎")</f>
        <v>三木眞一郎</v>
      </c>
      <c r="C809" s="1" t="s">
        <v>202</v>
      </c>
      <c r="D809" s="1" t="str">
        <f>IF(C809="", "", IFERROR(VLOOKUP(C809, 作品一覧!A:B, 2, FALSE), "該当なし"))</f>
        <v>遙かなる時空の中でシリーズ</v>
      </c>
      <c r="E809" s="1" t="str">
        <f ca="1">IFERROR(__xludf.DUMMYFUNCTION("""COMPUTED_VALUE"""),"柊")</f>
        <v>柊</v>
      </c>
      <c r="F809" s="6" t="s">
        <v>1627</v>
      </c>
    </row>
    <row r="810" spans="1:6" ht="13.8">
      <c r="A810" s="1" t="str">
        <f t="array" aca="1" ref="A810" ca="1">IF(B810="", "", IFERROR(INDEX(声優一覧!A:A, MATCH(B810, 声優一覧!B:B, 0)), "該当なし"))</f>
        <v>va_292</v>
      </c>
      <c r="B810" s="1" t="str">
        <f ca="1">IFERROR(__xludf.DUMMYFUNCTION("""COMPUTED_VALUE"""),"高橋直純")</f>
        <v>高橋直純</v>
      </c>
      <c r="C810" s="1" t="s">
        <v>202</v>
      </c>
      <c r="D810" s="1" t="str">
        <f>IF(C810="", "", IFERROR(VLOOKUP(C810, 作品一覧!A:B, 2, FALSE), "該当なし"))</f>
        <v>遙かなる時空の中でシリーズ</v>
      </c>
      <c r="E810" s="1" t="str">
        <f ca="1">IFERROR(__xludf.DUMMYFUNCTION("""COMPUTED_VALUE"""),"遠夜")</f>
        <v>遠夜</v>
      </c>
      <c r="F810" s="6" t="s">
        <v>1628</v>
      </c>
    </row>
    <row r="811" spans="1:6" ht="13.8">
      <c r="A811" s="1" t="str">
        <f t="array" aca="1" ref="A811" ca="1">IF(B811="", "", IFERROR(INDEX(声優一覧!A:A, MATCH(B811, 声優一覧!B:B, 0)), "該当なし"))</f>
        <v>va_293</v>
      </c>
      <c r="B811" s="1" t="str">
        <f ca="1">IFERROR(__xludf.DUMMYFUNCTION("""COMPUTED_VALUE"""),"中原茂")</f>
        <v>中原茂</v>
      </c>
      <c r="C811" s="1" t="s">
        <v>202</v>
      </c>
      <c r="D811" s="1" t="str">
        <f>IF(C811="", "", IFERROR(VLOOKUP(C811, 作品一覧!A:B, 2, FALSE), "該当なし"))</f>
        <v>遙かなる時空の中でシリーズ</v>
      </c>
      <c r="E811" s="1" t="str">
        <f ca="1">IFERROR(__xludf.DUMMYFUNCTION("""COMPUTED_VALUE"""),"葛城忍人")</f>
        <v>葛城忍人</v>
      </c>
      <c r="F811" s="6" t="s">
        <v>1629</v>
      </c>
    </row>
    <row r="812" spans="1:6" ht="13.8">
      <c r="A812" s="1" t="str">
        <f t="array" aca="1" ref="A812" ca="1">IF(B812="", "", IFERROR(INDEX(声優一覧!A:A, MATCH(B812, 声優一覧!B:B, 0)), "該当なし"))</f>
        <v>va_125</v>
      </c>
      <c r="B812" s="1" t="str">
        <f ca="1">IFERROR(__xludf.DUMMYFUNCTION("""COMPUTED_VALUE"""),"寺島拓篤")</f>
        <v>寺島拓篤</v>
      </c>
      <c r="C812" s="1" t="s">
        <v>202</v>
      </c>
      <c r="D812" s="1" t="str">
        <f>IF(C812="", "", IFERROR(VLOOKUP(C812, 作品一覧!A:B, 2, FALSE), "該当なし"))</f>
        <v>遙かなる時空の中でシリーズ</v>
      </c>
      <c r="E812" s="1" t="str">
        <f ca="1">IFERROR(__xludf.DUMMYFUNCTION("""COMPUTED_VALUE"""),"桐生瞬")</f>
        <v>桐生瞬</v>
      </c>
      <c r="F812" s="6" t="s">
        <v>1630</v>
      </c>
    </row>
    <row r="813" spans="1:6" ht="13.8">
      <c r="A813" s="1" t="str">
        <f t="array" aca="1" ref="A813" ca="1">IF(B813="", "", IFERROR(INDEX(声優一覧!A:A, MATCH(B813, 声優一覧!B:B, 0)), "該当なし"))</f>
        <v>va_227</v>
      </c>
      <c r="B813" s="1" t="str">
        <f ca="1">IFERROR(__xludf.DUMMYFUNCTION("""COMPUTED_VALUE"""),"鈴村健一")</f>
        <v>鈴村健一</v>
      </c>
      <c r="C813" s="1" t="s">
        <v>202</v>
      </c>
      <c r="D813" s="1" t="str">
        <f>IF(C813="", "", IFERROR(VLOOKUP(C813, 作品一覧!A:B, 2, FALSE), "該当なし"))</f>
        <v>遙かなる時空の中でシリーズ</v>
      </c>
      <c r="E813" s="1" t="str">
        <f ca="1">IFERROR(__xludf.DUMMYFUNCTION("""COMPUTED_VALUE"""),"坂本龍馬")</f>
        <v>坂本龍馬</v>
      </c>
      <c r="F813" s="6" t="s">
        <v>1631</v>
      </c>
    </row>
    <row r="814" spans="1:6" ht="13.8">
      <c r="A814" s="1" t="str">
        <f t="array" aca="1" ref="A814" ca="1">IF(B814="", "", IFERROR(INDEX(声優一覧!A:A, MATCH(B814, 声優一覧!B:B, 0)), "該当なし"))</f>
        <v>va_006</v>
      </c>
      <c r="B814" s="1" t="str">
        <f ca="1">IFERROR(__xludf.DUMMYFUNCTION("""COMPUTED_VALUE"""),"阿部敦")</f>
        <v>阿部敦</v>
      </c>
      <c r="C814" s="1" t="s">
        <v>202</v>
      </c>
      <c r="D814" s="1" t="str">
        <f>IF(C814="", "", IFERROR(VLOOKUP(C814, 作品一覧!A:B, 2, FALSE), "該当なし"))</f>
        <v>遙かなる時空の中でシリーズ</v>
      </c>
      <c r="E814" s="1" t="str">
        <f ca="1">IFERROR(__xludf.DUMMYFUNCTION("""COMPUTED_VALUE"""),"チナミ")</f>
        <v>チナミ</v>
      </c>
      <c r="F814" s="6" t="s">
        <v>1632</v>
      </c>
    </row>
    <row r="815" spans="1:6" ht="13.8">
      <c r="A815" s="1" t="str">
        <f t="array" aca="1" ref="A815" ca="1">IF(B815="", "", IFERROR(INDEX(声優一覧!A:A, MATCH(B815, 声優一覧!B:B, 0)), "該当なし"))</f>
        <v>va_042</v>
      </c>
      <c r="B815" s="1" t="str">
        <f ca="1">IFERROR(__xludf.DUMMYFUNCTION("""COMPUTED_VALUE"""),"岡本信彦")</f>
        <v>岡本信彦</v>
      </c>
      <c r="C815" s="1" t="s">
        <v>202</v>
      </c>
      <c r="D815" s="1" t="str">
        <f>IF(C815="", "", IFERROR(VLOOKUP(C815, 作品一覧!A:B, 2, FALSE), "該当なし"))</f>
        <v>遙かなる時空の中でシリーズ</v>
      </c>
      <c r="E815" s="1" t="str">
        <f ca="1">IFERROR(__xludf.DUMMYFUNCTION("""COMPUTED_VALUE"""),"沖田総司")</f>
        <v>沖田総司</v>
      </c>
      <c r="F815" s="6" t="s">
        <v>1633</v>
      </c>
    </row>
    <row r="816" spans="1:6" ht="13.8">
      <c r="A816" s="1" t="str">
        <f t="array" aca="1" ref="A816" ca="1">IF(B816="", "", IFERROR(INDEX(声優一覧!A:A, MATCH(B816, 声優一覧!B:B, 0)), "該当なし"))</f>
        <v>va_114</v>
      </c>
      <c r="B816" s="1" t="str">
        <f ca="1">IFERROR(__xludf.DUMMYFUNCTION("""COMPUTED_VALUE"""),"立花慎之介")</f>
        <v>立花慎之介</v>
      </c>
      <c r="C816" s="1" t="s">
        <v>202</v>
      </c>
      <c r="D816" s="1" t="str">
        <f>IF(C816="", "", IFERROR(VLOOKUP(C816, 作品一覧!A:B, 2, FALSE), "該当なし"))</f>
        <v>遙かなる時空の中でシリーズ</v>
      </c>
      <c r="E816" s="1" t="str">
        <f ca="1">IFERROR(__xludf.DUMMYFUNCTION("""COMPUTED_VALUE"""),"小松帯刀")</f>
        <v>小松帯刀</v>
      </c>
      <c r="F816" s="6" t="s">
        <v>1634</v>
      </c>
    </row>
    <row r="817" spans="1:6" ht="13.8">
      <c r="A817" s="1" t="str">
        <f t="array" aca="1" ref="A817" ca="1">IF(B817="", "", IFERROR(INDEX(声優一覧!A:A, MATCH(B817, 声優一覧!B:B, 0)), "該当なし"))</f>
        <v>va_113</v>
      </c>
      <c r="B817" s="1" t="str">
        <f ca="1">IFERROR(__xludf.DUMMYFUNCTION("""COMPUTED_VALUE"""),"竹本英史")</f>
        <v>竹本英史</v>
      </c>
      <c r="C817" s="1" t="s">
        <v>202</v>
      </c>
      <c r="D817" s="1" t="str">
        <f>IF(C817="", "", IFERROR(VLOOKUP(C817, 作品一覧!A:B, 2, FALSE), "該当なし"))</f>
        <v>遙かなる時空の中でシリーズ</v>
      </c>
      <c r="E817" s="1" t="str">
        <f ca="1">IFERROR(__xludf.DUMMYFUNCTION("""COMPUTED_VALUE"""),"福地桜智")</f>
        <v>福地桜智</v>
      </c>
      <c r="F817" s="6" t="s">
        <v>1635</v>
      </c>
    </row>
    <row r="818" spans="1:6" ht="13.8">
      <c r="A818" s="1" t="str">
        <f t="array" aca="1" ref="A818" ca="1">IF(B818="", "", IFERROR(INDEX(声優一覧!A:A, MATCH(B818, 声優一覧!B:B, 0)), "該当なし"))</f>
        <v>va_294</v>
      </c>
      <c r="B818" s="1" t="str">
        <f ca="1">IFERROR(__xludf.DUMMYFUNCTION("""COMPUTED_VALUE"""),"四反田マイケル")</f>
        <v>四反田マイケル</v>
      </c>
      <c r="C818" s="1" t="s">
        <v>202</v>
      </c>
      <c r="D818" s="1" t="str">
        <f>IF(C818="", "", IFERROR(VLOOKUP(C818, 作品一覧!A:B, 2, FALSE), "該当なし"))</f>
        <v>遙かなる時空の中でシリーズ</v>
      </c>
      <c r="E818" s="1" t="str">
        <f ca="1">IFERROR(__xludf.DUMMYFUNCTION("""COMPUTED_VALUE"""),"アーネスト・サトウ")</f>
        <v>アーネスト・サトウ</v>
      </c>
      <c r="F818" s="6" t="s">
        <v>1636</v>
      </c>
    </row>
    <row r="819" spans="1:6" ht="13.8">
      <c r="A819" s="1" t="str">
        <f t="array" aca="1" ref="A819" ca="1">IF(B819="", "", IFERROR(INDEX(声優一覧!A:A, MATCH(B819, 声優一覧!B:B, 0)), "該当なし"))</f>
        <v>va_189</v>
      </c>
      <c r="B819" s="1" t="str">
        <f ca="1">IFERROR(__xludf.DUMMYFUNCTION("""COMPUTED_VALUE"""),"安元洋貴")</f>
        <v>安元洋貴</v>
      </c>
      <c r="C819" s="1" t="s">
        <v>202</v>
      </c>
      <c r="D819" s="1" t="str">
        <f>IF(C819="", "", IFERROR(VLOOKUP(C819, 作品一覧!A:B, 2, FALSE), "該当なし"))</f>
        <v>遙かなる時空の中でシリーズ</v>
      </c>
      <c r="E819" s="1" t="str">
        <f ca="1">IFERROR(__xludf.DUMMYFUNCTION("""COMPUTED_VALUE"""),"高杉晋作")</f>
        <v>高杉晋作</v>
      </c>
      <c r="F819" s="6" t="s">
        <v>1637</v>
      </c>
    </row>
    <row r="820" spans="1:6" ht="13.8">
      <c r="A820" s="1" t="str">
        <f t="array" aca="1" ref="A820" ca="1">IF(B820="", "", IFERROR(INDEX(声優一覧!A:A, MATCH(B820, 声優一覧!B:B, 0)), "該当なし"))</f>
        <v>va_125</v>
      </c>
      <c r="B820" s="1" t="str">
        <f ca="1">IFERROR(__xludf.DUMMYFUNCTION("""COMPUTED_VALUE"""),"寺島拓篤")</f>
        <v>寺島拓篤</v>
      </c>
      <c r="C820" s="1" t="s">
        <v>202</v>
      </c>
      <c r="D820" s="1" t="str">
        <f>IF(C820="", "", IFERROR(VLOOKUP(C820, 作品一覧!A:B, 2, FALSE), "該当なし"))</f>
        <v>遙かなる時空の中でシリーズ</v>
      </c>
      <c r="E820" s="1" t="str">
        <f ca="1">IFERROR(__xludf.DUMMYFUNCTION("""COMPUTED_VALUE"""),"有馬一")</f>
        <v>有馬一</v>
      </c>
      <c r="F820" s="6" t="s">
        <v>1638</v>
      </c>
    </row>
    <row r="821" spans="1:6" ht="13.8">
      <c r="A821" s="1" t="str">
        <f t="array" aca="1" ref="A821" ca="1">IF(B821="", "", IFERROR(INDEX(声優一覧!A:A, MATCH(B821, 声優一覧!B:B, 0)), "該当なし"))</f>
        <v>va_227</v>
      </c>
      <c r="B821" s="1" t="str">
        <f ca="1">IFERROR(__xludf.DUMMYFUNCTION("""COMPUTED_VALUE"""),"鈴村健一")</f>
        <v>鈴村健一</v>
      </c>
      <c r="C821" s="1" t="s">
        <v>202</v>
      </c>
      <c r="D821" s="1" t="str">
        <f>IF(C821="", "", IFERROR(VLOOKUP(C821, 作品一覧!A:B, 2, FALSE), "該当なし"))</f>
        <v>遙かなる時空の中でシリーズ</v>
      </c>
      <c r="E821" s="1" t="str">
        <f ca="1">IFERROR(__xludf.DUMMYFUNCTION("""COMPUTED_VALUE"""),"ダリウス")</f>
        <v>ダリウス</v>
      </c>
      <c r="F821" s="6" t="s">
        <v>1639</v>
      </c>
    </row>
    <row r="822" spans="1:6" ht="13.8">
      <c r="A822" s="1" t="str">
        <f t="array" aca="1" ref="A822" ca="1">IF(B822="", "", IFERROR(INDEX(声優一覧!A:A, MATCH(B822, 声優一覧!B:B, 0)), "該当なし"))</f>
        <v>va_006</v>
      </c>
      <c r="B822" s="1" t="str">
        <f ca="1">IFERROR(__xludf.DUMMYFUNCTION("""COMPUTED_VALUE"""),"阿部敦")</f>
        <v>阿部敦</v>
      </c>
      <c r="C822" s="1" t="s">
        <v>202</v>
      </c>
      <c r="D822" s="1" t="str">
        <f>IF(C822="", "", IFERROR(VLOOKUP(C822, 作品一覧!A:B, 2, FALSE), "該当なし"))</f>
        <v>遙かなる時空の中でシリーズ</v>
      </c>
      <c r="E822" s="1" t="str">
        <f ca="1">IFERROR(__xludf.DUMMYFUNCTION("""COMPUTED_VALUE"""),"コハク")</f>
        <v>コハク</v>
      </c>
      <c r="F822" s="6" t="s">
        <v>1640</v>
      </c>
    </row>
    <row r="823" spans="1:6" ht="13.8">
      <c r="A823" s="1" t="str">
        <f t="array" aca="1" ref="A823" ca="1">IF(B823="", "", IFERROR(INDEX(声優一覧!A:A, MATCH(B823, 声優一覧!B:B, 0)), "該当なし"))</f>
        <v>va_042</v>
      </c>
      <c r="B823" s="1" t="str">
        <f ca="1">IFERROR(__xludf.DUMMYFUNCTION("""COMPUTED_VALUE"""),"岡本信彦")</f>
        <v>岡本信彦</v>
      </c>
      <c r="C823" s="1" t="s">
        <v>202</v>
      </c>
      <c r="D823" s="1" t="str">
        <f>IF(C823="", "", IFERROR(VLOOKUP(C823, 作品一覧!A:B, 2, FALSE), "該当なし"))</f>
        <v>遙かなる時空の中でシリーズ</v>
      </c>
      <c r="E823" s="1" t="str">
        <f ca="1">IFERROR(__xludf.DUMMYFUNCTION("""COMPUTED_VALUE"""),"片霧秋兵")</f>
        <v>片霧秋兵</v>
      </c>
      <c r="F823" s="6" t="s">
        <v>1641</v>
      </c>
    </row>
    <row r="824" spans="1:6" ht="13.8">
      <c r="A824" s="1" t="str">
        <f t="array" aca="1" ref="A824" ca="1">IF(B824="", "", IFERROR(INDEX(声優一覧!A:A, MATCH(B824, 声優一覧!B:B, 0)), "該当なし"))</f>
        <v>va_114</v>
      </c>
      <c r="B824" s="1" t="str">
        <f ca="1">IFERROR(__xludf.DUMMYFUNCTION("""COMPUTED_VALUE"""),"立花慎之介")</f>
        <v>立花慎之介</v>
      </c>
      <c r="C824" s="1" t="s">
        <v>202</v>
      </c>
      <c r="D824" s="1" t="str">
        <f>IF(C824="", "", IFERROR(VLOOKUP(C824, 作品一覧!A:B, 2, FALSE), "該当なし"))</f>
        <v>遙かなる時空の中でシリーズ</v>
      </c>
      <c r="E824" s="1" t="str">
        <f ca="1">IFERROR(__xludf.DUMMYFUNCTION("""COMPUTED_VALUE"""),"ルードハーネ")</f>
        <v>ルードハーネ</v>
      </c>
      <c r="F824" s="6" t="s">
        <v>1642</v>
      </c>
    </row>
    <row r="825" spans="1:6" ht="13.8">
      <c r="A825" s="1" t="str">
        <f t="array" aca="1" ref="A825" ca="1">IF(B825="", "", IFERROR(INDEX(声優一覧!A:A, MATCH(B825, 声優一覧!B:B, 0)), "該当なし"))</f>
        <v>va_113</v>
      </c>
      <c r="B825" s="1" t="str">
        <f ca="1">IFERROR(__xludf.DUMMYFUNCTION("""COMPUTED_VALUE"""),"竹本英史")</f>
        <v>竹本英史</v>
      </c>
      <c r="C825" s="1" t="s">
        <v>202</v>
      </c>
      <c r="D825" s="1" t="str">
        <f>IF(C825="", "", IFERROR(VLOOKUP(C825, 作品一覧!A:B, 2, FALSE), "該当なし"))</f>
        <v>遙かなる時空の中でシリーズ</v>
      </c>
      <c r="E825" s="1" t="str">
        <f ca="1">IFERROR(__xludf.DUMMYFUNCTION("""COMPUTED_VALUE"""),"本条政虎")</f>
        <v>本条政虎</v>
      </c>
      <c r="F825" s="6" t="s">
        <v>1643</v>
      </c>
    </row>
    <row r="826" spans="1:6" ht="13.8">
      <c r="A826" s="1" t="str">
        <f t="array" aca="1" ref="A826" ca="1">IF(B826="", "", IFERROR(INDEX(声優一覧!A:A, MATCH(B826, 声優一覧!B:B, 0)), "該当なし"))</f>
        <v>va_294</v>
      </c>
      <c r="B826" s="1" t="str">
        <f ca="1">IFERROR(__xludf.DUMMYFUNCTION("""COMPUTED_VALUE"""),"四反田マイケル")</f>
        <v>四反田マイケル</v>
      </c>
      <c r="C826" s="1" t="s">
        <v>202</v>
      </c>
      <c r="D826" s="1" t="str">
        <f>IF(C826="", "", IFERROR(VLOOKUP(C826, 作品一覧!A:B, 2, FALSE), "該当なし"))</f>
        <v>遙かなる時空の中でシリーズ</v>
      </c>
      <c r="E826" s="1" t="str">
        <f ca="1">IFERROR(__xludf.DUMMYFUNCTION("""COMPUTED_VALUE"""),"萩尾九段")</f>
        <v>萩尾九段</v>
      </c>
      <c r="F826" s="6" t="s">
        <v>1644</v>
      </c>
    </row>
    <row r="827" spans="1:6" ht="13.8">
      <c r="A827" s="1" t="str">
        <f t="array" aca="1" ref="A827" ca="1">IF(B827="", "", IFERROR(INDEX(声優一覧!A:A, MATCH(B827, 声優一覧!B:B, 0)), "該当なし"))</f>
        <v>va_189</v>
      </c>
      <c r="B827" s="1" t="str">
        <f ca="1">IFERROR(__xludf.DUMMYFUNCTION("""COMPUTED_VALUE"""),"安元洋貴")</f>
        <v>安元洋貴</v>
      </c>
      <c r="C827" s="1" t="s">
        <v>202</v>
      </c>
      <c r="D827" s="1" t="str">
        <f>IF(C827="", "", IFERROR(VLOOKUP(C827, 作品一覧!A:B, 2, FALSE), "該当なし"))</f>
        <v>遙かなる時空の中でシリーズ</v>
      </c>
      <c r="E827" s="1" t="str">
        <f ca="1">IFERROR(__xludf.DUMMYFUNCTION("""COMPUTED_VALUE"""),"里谷村雨")</f>
        <v>里谷村雨</v>
      </c>
      <c r="F827" s="6" t="s">
        <v>1645</v>
      </c>
    </row>
    <row r="828" spans="1:6" ht="13.8">
      <c r="A828" s="1" t="str">
        <f t="array" aca="1" ref="A828" ca="1">IF(B828="", "", IFERROR(INDEX(声優一覧!A:A, MATCH(B828, 声優一覧!B:B, 0)), "該当なし"))</f>
        <v>va_125</v>
      </c>
      <c r="B828" s="1" t="str">
        <f ca="1">IFERROR(__xludf.DUMMYFUNCTION("""COMPUTED_VALUE"""),"寺島拓篤")</f>
        <v>寺島拓篤</v>
      </c>
      <c r="C828" s="1" t="s">
        <v>202</v>
      </c>
      <c r="D828" s="1" t="str">
        <f>IF(C828="", "", IFERROR(VLOOKUP(C828, 作品一覧!A:B, 2, FALSE), "該当なし"))</f>
        <v>遙かなる時空の中でシリーズ</v>
      </c>
      <c r="E828" s="1" t="str">
        <f ca="1">IFERROR(__xludf.DUMMYFUNCTION("""COMPUTED_VALUE"""),"真田幸村")</f>
        <v>真田幸村</v>
      </c>
      <c r="F828" s="6" t="s">
        <v>1646</v>
      </c>
    </row>
    <row r="829" spans="1:6" ht="13.8">
      <c r="A829" s="1" t="str">
        <f t="array" aca="1" ref="A829" ca="1">IF(B829="", "", IFERROR(INDEX(声優一覧!A:A, MATCH(B829, 声優一覧!B:B, 0)), "該当なし"))</f>
        <v>va_227</v>
      </c>
      <c r="B829" s="1" t="str">
        <f ca="1">IFERROR(__xludf.DUMMYFUNCTION("""COMPUTED_VALUE"""),"鈴村健一")</f>
        <v>鈴村健一</v>
      </c>
      <c r="C829" s="1" t="s">
        <v>202</v>
      </c>
      <c r="D829" s="1" t="str">
        <f>IF(C829="", "", IFERROR(VLOOKUP(C829, 作品一覧!A:B, 2, FALSE), "該当なし"))</f>
        <v>遙かなる時空の中でシリーズ</v>
      </c>
      <c r="E829" s="1" t="str">
        <f ca="1">IFERROR(__xludf.DUMMYFUNCTION("""COMPUTED_VALUE"""),"天野五月")</f>
        <v>天野五月</v>
      </c>
      <c r="F829" s="6" t="s">
        <v>1647</v>
      </c>
    </row>
    <row r="830" spans="1:6" ht="13.8">
      <c r="A830" s="1" t="str">
        <f t="array" aca="1" ref="A830" ca="1">IF(B830="", "", IFERROR(INDEX(声優一覧!A:A, MATCH(B830, 声優一覧!B:B, 0)), "該当なし"))</f>
        <v>va_006</v>
      </c>
      <c r="B830" s="1" t="str">
        <f ca="1">IFERROR(__xludf.DUMMYFUNCTION("""COMPUTED_VALUE"""),"阿部敦")</f>
        <v>阿部敦</v>
      </c>
      <c r="C830" s="1" t="s">
        <v>202</v>
      </c>
      <c r="D830" s="1" t="str">
        <f>IF(C830="", "", IFERROR(VLOOKUP(C830, 作品一覧!A:B, 2, FALSE), "該当なし"))</f>
        <v>遙かなる時空の中でシリーズ</v>
      </c>
      <c r="E830" s="1" t="str">
        <f ca="1">IFERROR(__xludf.DUMMYFUNCTION("""COMPUTED_VALUE"""),"宮本武蔵")</f>
        <v>宮本武蔵</v>
      </c>
      <c r="F830" s="6" t="s">
        <v>1648</v>
      </c>
    </row>
    <row r="831" spans="1:6" ht="13.8">
      <c r="A831" s="1" t="str">
        <f t="array" aca="1" ref="A831" ca="1">IF(B831="", "", IFERROR(INDEX(声優一覧!A:A, MATCH(B831, 声優一覧!B:B, 0)), "該当なし"))</f>
        <v>va_042</v>
      </c>
      <c r="B831" s="1" t="str">
        <f ca="1">IFERROR(__xludf.DUMMYFUNCTION("""COMPUTED_VALUE"""),"岡本信彦")</f>
        <v>岡本信彦</v>
      </c>
      <c r="C831" s="1" t="s">
        <v>202</v>
      </c>
      <c r="D831" s="1" t="str">
        <f>IF(C831="", "", IFERROR(VLOOKUP(C831, 作品一覧!A:B, 2, FALSE), "該当なし"))</f>
        <v>遙かなる時空の中でシリーズ</v>
      </c>
      <c r="E831" s="1" t="str">
        <f ca="1">IFERROR(__xludf.DUMMYFUNCTION("""COMPUTED_VALUE"""),"佐々木大和")</f>
        <v>佐々木大和</v>
      </c>
      <c r="F831" s="6" t="s">
        <v>1649</v>
      </c>
    </row>
    <row r="832" spans="1:6" ht="13.8">
      <c r="A832" s="1" t="str">
        <f t="array" aca="1" ref="A832" ca="1">IF(B832="", "", IFERROR(INDEX(声優一覧!A:A, MATCH(B832, 声優一覧!B:B, 0)), "該当なし"))</f>
        <v>va_114</v>
      </c>
      <c r="B832" s="1" t="str">
        <f ca="1">IFERROR(__xludf.DUMMYFUNCTION("""COMPUTED_VALUE"""),"立花慎之介")</f>
        <v>立花慎之介</v>
      </c>
      <c r="C832" s="1" t="s">
        <v>202</v>
      </c>
      <c r="D832" s="1" t="str">
        <f>IF(C832="", "", IFERROR(VLOOKUP(C832, 作品一覧!A:B, 2, FALSE), "該当なし"))</f>
        <v>遙かなる時空の中でシリーズ</v>
      </c>
      <c r="E832" s="1" t="str">
        <f ca="1">IFERROR(__xludf.DUMMYFUNCTION("""COMPUTED_VALUE"""),"黒田長政")</f>
        <v>黒田長政</v>
      </c>
      <c r="F832" s="6" t="s">
        <v>1650</v>
      </c>
    </row>
    <row r="833" spans="1:6" ht="13.8">
      <c r="A833" s="1" t="str">
        <f t="array" aca="1" ref="A833" ca="1">IF(B833="", "", IFERROR(INDEX(声優一覧!A:A, MATCH(B833, 声優一覧!B:B, 0)), "該当なし"))</f>
        <v>va_113</v>
      </c>
      <c r="B833" s="1" t="str">
        <f ca="1">IFERROR(__xludf.DUMMYFUNCTION("""COMPUTED_VALUE"""),"竹本英史")</f>
        <v>竹本英史</v>
      </c>
      <c r="C833" s="1" t="s">
        <v>202</v>
      </c>
      <c r="D833" s="1" t="str">
        <f>IF(C833="", "", IFERROR(VLOOKUP(C833, 作品一覧!A:B, 2, FALSE), "該当なし"))</f>
        <v>遙かなる時空の中でシリーズ</v>
      </c>
      <c r="E833" s="1" t="str">
        <f ca="1">IFERROR(__xludf.DUMMYFUNCTION("""COMPUTED_VALUE"""),"直江兼続")</f>
        <v>直江兼続</v>
      </c>
      <c r="F833" s="6" t="s">
        <v>1651</v>
      </c>
    </row>
    <row r="834" spans="1:6" ht="13.8">
      <c r="A834" s="1" t="str">
        <f t="array" aca="1" ref="A834" ca="1">IF(B834="", "", IFERROR(INDEX(声優一覧!A:A, MATCH(B834, 声優一覧!B:B, 0)), "該当なし"))</f>
        <v>va_294</v>
      </c>
      <c r="B834" s="1" t="str">
        <f ca="1">IFERROR(__xludf.DUMMYFUNCTION("""COMPUTED_VALUE"""),"四反田マイケル")</f>
        <v>四反田マイケル</v>
      </c>
      <c r="C834" s="1" t="s">
        <v>202</v>
      </c>
      <c r="D834" s="1" t="str">
        <f>IF(C834="", "", IFERROR(VLOOKUP(C834, 作品一覧!A:B, 2, FALSE), "該当なし"))</f>
        <v>遙かなる時空の中でシリーズ</v>
      </c>
      <c r="E834" s="1" t="str">
        <f ca="1">IFERROR(__xludf.DUMMYFUNCTION("""COMPUTED_VALUE"""),"阿国")</f>
        <v>阿国</v>
      </c>
      <c r="F834" s="6" t="s">
        <v>1652</v>
      </c>
    </row>
    <row r="835" spans="1:6" ht="13.8">
      <c r="A835" s="1" t="str">
        <f t="array" aca="1" ref="A835" ca="1">IF(B835="", "", IFERROR(INDEX(声優一覧!A:A, MATCH(B835, 声優一覧!B:B, 0)), "該当なし"))</f>
        <v>va_189</v>
      </c>
      <c r="B835" s="1" t="str">
        <f ca="1">IFERROR(__xludf.DUMMYFUNCTION("""COMPUTED_VALUE"""),"安元洋貴")</f>
        <v>安元洋貴</v>
      </c>
      <c r="C835" s="1" t="s">
        <v>202</v>
      </c>
      <c r="D835" s="1" t="str">
        <f>IF(C835="", "", IFERROR(VLOOKUP(C835, 作品一覧!A:B, 2, FALSE), "該当なし"))</f>
        <v>遙かなる時空の中でシリーズ</v>
      </c>
      <c r="E835" s="1" t="str">
        <f ca="1">IFERROR(__xludf.DUMMYFUNCTION("""COMPUTED_VALUE"""),"柳生宗矩")</f>
        <v>柳生宗矩</v>
      </c>
      <c r="F835" s="6" t="s">
        <v>1653</v>
      </c>
    </row>
    <row r="836" spans="1:6" ht="13.8">
      <c r="A836" s="1" t="str">
        <f t="array" aca="1" ref="A836" ca="1">IF(B836="", "", IFERROR(INDEX(声優一覧!A:A, MATCH(B836, 声優一覧!B:B, 0)), "該当なし"))</f>
        <v>va_175</v>
      </c>
      <c r="B836" s="1" t="str">
        <f ca="1">IFERROR(__xludf.DUMMYFUNCTION("""COMPUTED_VALUE"""),"三浦勝之")</f>
        <v>三浦勝之</v>
      </c>
      <c r="C836" s="1" t="s">
        <v>202</v>
      </c>
      <c r="D836" s="1" t="str">
        <f>IF(C836="", "", IFERROR(VLOOKUP(C836, 作品一覧!A:B, 2, FALSE), "該当なし"))</f>
        <v>遙かなる時空の中でシリーズ</v>
      </c>
      <c r="E836" s="1" t="str">
        <f ca="1">IFERROR(__xludf.DUMMYFUNCTION("""COMPUTED_VALUE"""),"源頼朝")</f>
        <v>源頼朝</v>
      </c>
      <c r="F836" s="6" t="s">
        <v>1654</v>
      </c>
    </row>
    <row r="837" spans="1:6" ht="13.8">
      <c r="A837" s="1" t="str">
        <f t="array" aca="1" ref="A837" ca="1">IF(B837="", "", IFERROR(INDEX(声優一覧!A:A, MATCH(B837, 声優一覧!B:B, 0)), "該当なし"))</f>
        <v>va_295</v>
      </c>
      <c r="B837" s="1" t="str">
        <f ca="1">IFERROR(__xludf.DUMMYFUNCTION("""COMPUTED_VALUE"""),"戸谷菊之介")</f>
        <v>戸谷菊之介</v>
      </c>
      <c r="C837" s="1" t="s">
        <v>202</v>
      </c>
      <c r="D837" s="1" t="str">
        <f>IF(C837="", "", IFERROR(VLOOKUP(C837, 作品一覧!A:B, 2, FALSE), "該当なし"))</f>
        <v>遙かなる時空の中でシリーズ</v>
      </c>
      <c r="E837" s="1" t="str">
        <f ca="1">IFERROR(__xludf.DUMMYFUNCTION("""COMPUTED_VALUE"""),"平清盛")</f>
        <v>平清盛</v>
      </c>
      <c r="F837" s="6" t="s">
        <v>1655</v>
      </c>
    </row>
    <row r="838" spans="1:6" ht="13.8">
      <c r="A838" s="1" t="str">
        <f t="array" aca="1" ref="A838" ca="1">IF(B838="", "", IFERROR(INDEX(声優一覧!A:A, MATCH(B838, 声優一覧!B:B, 0)), "該当なし"))</f>
        <v>va_296</v>
      </c>
      <c r="B838" s="1" t="str">
        <f ca="1">IFERROR(__xludf.DUMMYFUNCTION("""COMPUTED_VALUE"""),"綿貫竜之介")</f>
        <v>綿貫竜之介</v>
      </c>
      <c r="C838" s="1" t="s">
        <v>202</v>
      </c>
      <c r="D838" s="1" t="str">
        <f>IF(C838="", "", IFERROR(VLOOKUP(C838, 作品一覧!A:B, 2, FALSE), "該当なし"))</f>
        <v>遙かなる時空の中でシリーズ</v>
      </c>
      <c r="E838" s="1" t="str">
        <f ca="1">IFERROR(__xludf.DUMMYFUNCTION("""COMPUTED_VALUE"""),"佐伯昌長")</f>
        <v>佐伯昌長</v>
      </c>
      <c r="F838" s="6" t="s">
        <v>1656</v>
      </c>
    </row>
    <row r="839" spans="1:6" ht="13.8">
      <c r="A839" s="1" t="str">
        <f t="array" aca="1" ref="A839" ca="1">IF(B839="", "", IFERROR(INDEX(声優一覧!A:A, MATCH(B839, 声優一覧!B:B, 0)), "該当なし"))</f>
        <v>va_170</v>
      </c>
      <c r="B839" s="1" t="str">
        <f ca="1">IFERROR(__xludf.DUMMYFUNCTION("""COMPUTED_VALUE"""),"益山武明")</f>
        <v>益山武明</v>
      </c>
      <c r="C839" s="1" t="s">
        <v>202</v>
      </c>
      <c r="D839" s="1" t="str">
        <f>IF(C839="", "", IFERROR(VLOOKUP(C839, 作品一覧!A:B, 2, FALSE), "該当なし"))</f>
        <v>遙かなる時空の中でシリーズ</v>
      </c>
      <c r="E839" s="1" t="str">
        <f ca="1">IFERROR(__xludf.DUMMYFUNCTION("""COMPUTED_VALUE"""),"上杉謙信")</f>
        <v>上杉謙信</v>
      </c>
      <c r="F839" s="6" t="s">
        <v>1657</v>
      </c>
    </row>
    <row r="840" spans="1:6" ht="13.8">
      <c r="A840" s="1" t="str">
        <f t="array" aca="1" ref="A840" ca="1">IF(B840="", "", IFERROR(INDEX(声優一覧!A:A, MATCH(B840, 声優一覧!B:B, 0)), "該当なし"))</f>
        <v>va_063</v>
      </c>
      <c r="B840" s="1" t="str">
        <f ca="1">IFERROR(__xludf.DUMMYFUNCTION("""COMPUTED_VALUE"""),"木島隆一")</f>
        <v>木島隆一</v>
      </c>
      <c r="C840" s="1" t="s">
        <v>202</v>
      </c>
      <c r="D840" s="1" t="str">
        <f>IF(C840="", "", IFERROR(VLOOKUP(C840, 作品一覧!A:B, 2, FALSE), "該当なし"))</f>
        <v>遙かなる時空の中でシリーズ</v>
      </c>
      <c r="E840" s="1" t="str">
        <f ca="1">IFERROR(__xludf.DUMMYFUNCTION("""COMPUTED_VALUE"""),"伊達政宗")</f>
        <v>伊達政宗</v>
      </c>
      <c r="F840" s="6" t="s">
        <v>1658</v>
      </c>
    </row>
    <row r="841" spans="1:6" ht="13.8">
      <c r="A841" s="1" t="str">
        <f t="array" aca="1" ref="A841" ca="1">IF(B841="", "", IFERROR(INDEX(声優一覧!A:A, MATCH(B841, 声優一覧!B:B, 0)), "該当なし"))</f>
        <v>va_297</v>
      </c>
      <c r="B841" s="1" t="str">
        <f ca="1">IFERROR(__xludf.DUMMYFUNCTION("""COMPUTED_VALUE"""),"下鶴直幸")</f>
        <v>下鶴直幸</v>
      </c>
      <c r="C841" s="1" t="s">
        <v>202</v>
      </c>
      <c r="D841" s="1" t="str">
        <f>IF(C841="", "", IFERROR(VLOOKUP(C841, 作品一覧!A:B, 2, FALSE), "該当なし"))</f>
        <v>遙かなる時空の中でシリーズ</v>
      </c>
      <c r="E841" s="1" t="str">
        <f ca="1">IFERROR(__xludf.DUMMYFUNCTION("""COMPUTED_VALUE"""),"武田信玄")</f>
        <v>武田信玄</v>
      </c>
      <c r="F841" s="6" t="s">
        <v>1659</v>
      </c>
    </row>
    <row r="842" spans="1:6" ht="13.8">
      <c r="A842" s="1" t="str">
        <f t="array" aca="1" ref="A842" ca="1">IF(B842="", "", IFERROR(INDEX(声優一覧!A:A, MATCH(B842, 声優一覧!B:B, 0)), "該当なし"))</f>
        <v>va_100</v>
      </c>
      <c r="B842" s="1" t="str">
        <f ca="1">IFERROR(__xludf.DUMMYFUNCTION("""COMPUTED_VALUE"""),"鈴木裕斗")</f>
        <v>鈴木裕斗</v>
      </c>
      <c r="C842" s="1" t="s">
        <v>202</v>
      </c>
      <c r="D842" s="1" t="str">
        <f>IF(C842="", "", IFERROR(VLOOKUP(C842, 作品一覧!A:B, 2, FALSE), "該当なし"))</f>
        <v>遙かなる時空の中でシリーズ</v>
      </c>
      <c r="E842" s="1" t="str">
        <f ca="1">IFERROR(__xludf.DUMMYFUNCTION("""COMPUTED_VALUE"""),"桂小五郎")</f>
        <v>桂小五郎</v>
      </c>
      <c r="F842" s="6" t="s">
        <v>1660</v>
      </c>
    </row>
    <row r="843" spans="1:6" ht="13.8">
      <c r="A843" s="1" t="str">
        <f t="array" aca="1" ref="A843" ca="1">IF(B843="", "", IFERROR(INDEX(声優一覧!A:A, MATCH(B843, 声優一覧!B:B, 0)), "該当なし"))</f>
        <v>va_101</v>
      </c>
      <c r="B843" s="1" t="str">
        <f ca="1">IFERROR(__xludf.DUMMYFUNCTION("""COMPUTED_VALUE"""),"鈴木崚汰")</f>
        <v>鈴木崚汰</v>
      </c>
      <c r="C843" s="1" t="s">
        <v>202</v>
      </c>
      <c r="D843" s="1" t="str">
        <f>IF(C843="", "", IFERROR(VLOOKUP(C843, 作品一覧!A:B, 2, FALSE), "該当なし"))</f>
        <v>遙かなる時空の中でシリーズ</v>
      </c>
      <c r="E843" s="1" t="str">
        <f ca="1">IFERROR(__xludf.DUMMYFUNCTION("""COMPUTED_VALUE"""),"土方歳三")</f>
        <v>土方歳三</v>
      </c>
      <c r="F843" s="6" t="s">
        <v>1661</v>
      </c>
    </row>
    <row r="844" spans="1:6" ht="13.8">
      <c r="A844" s="1" t="str">
        <f t="array" aca="1" ref="A844" ca="1">IF(B844="", "", IFERROR(INDEX(声優一覧!A:A, MATCH(B844, 声優一覧!B:B, 0)), "該当なし"))</f>
        <v>va_102</v>
      </c>
      <c r="B844" s="1" t="str">
        <f ca="1">IFERROR(__xludf.DUMMYFUNCTION("""COMPUTED_VALUE"""),"諏訪部順一")</f>
        <v>諏訪部順一</v>
      </c>
      <c r="C844" s="1" t="s">
        <v>244</v>
      </c>
      <c r="D844" s="1" t="str">
        <f>IF(C844="", "", IFERROR(VLOOKUP(C844, 作品一覧!A:B, 2, FALSE), "該当なし"))</f>
        <v>文豪とアルケミスト</v>
      </c>
      <c r="E844" s="1" t="str">
        <f ca="1">IFERROR(__xludf.DUMMYFUNCTION("""COMPUTED_VALUE"""),"芥川龍之介")</f>
        <v>芥川龍之介</v>
      </c>
      <c r="F844" s="6" t="s">
        <v>1662</v>
      </c>
    </row>
    <row r="845" spans="1:6" ht="13.8">
      <c r="A845" s="1" t="str">
        <f t="array" aca="1" ref="A845" ca="1">IF(B845="", "", IFERROR(INDEX(声優一覧!A:A, MATCH(B845, 声優一覧!B:B, 0)), "該当なし"))</f>
        <v>va_137</v>
      </c>
      <c r="B845" s="1" t="str">
        <f ca="1">IFERROR(__xludf.DUMMYFUNCTION("""COMPUTED_VALUE"""),"中村悠一")</f>
        <v>中村悠一</v>
      </c>
      <c r="C845" s="1" t="s">
        <v>244</v>
      </c>
      <c r="D845" s="1" t="str">
        <f>IF(C845="", "", IFERROR(VLOOKUP(C845, 作品一覧!A:B, 2, FALSE), "該当なし"))</f>
        <v>文豪とアルケミスト</v>
      </c>
      <c r="E845" s="1" t="str">
        <f ca="1">IFERROR(__xludf.DUMMYFUNCTION("""COMPUTED_VALUE"""),"太宰治")</f>
        <v>太宰治</v>
      </c>
      <c r="F845" s="6" t="s">
        <v>1663</v>
      </c>
    </row>
    <row r="846" spans="1:6" ht="13.8">
      <c r="A846" s="1" t="str">
        <f t="array" aca="1" ref="A846" ca="1">IF(B846="", "", IFERROR(INDEX(声優一覧!A:A, MATCH(B846, 声優一覧!B:B, 0)), "該当なし"))</f>
        <v>va_143</v>
      </c>
      <c r="B846" s="1" t="str">
        <f ca="1">IFERROR(__xludf.DUMMYFUNCTION("""COMPUTED_VALUE"""),"野島健児")</f>
        <v>野島健児</v>
      </c>
      <c r="C846" s="1" t="s">
        <v>244</v>
      </c>
      <c r="D846" s="1" t="str">
        <f>IF(C846="", "", IFERROR(VLOOKUP(C846, 作品一覧!A:B, 2, FALSE), "該当なし"))</f>
        <v>文豪とアルケミスト</v>
      </c>
      <c r="E846" s="1" t="str">
        <f ca="1">IFERROR(__xludf.DUMMYFUNCTION("""COMPUTED_VALUE"""),"萩原朔太郎")</f>
        <v>萩原朔太郎</v>
      </c>
      <c r="F846" s="6" t="s">
        <v>1664</v>
      </c>
    </row>
    <row r="847" spans="1:6" ht="13.8">
      <c r="A847" s="1" t="str">
        <f t="array" aca="1" ref="A847" ca="1">IF(B847="", "", IFERROR(INDEX(声優一覧!A:A, MATCH(B847, 声優一覧!B:B, 0)), "該当なし"))</f>
        <v>va_048</v>
      </c>
      <c r="B847" s="1" t="str">
        <f ca="1">IFERROR(__xludf.DUMMYFUNCTION("""COMPUTED_VALUE"""),"柿原徹也")</f>
        <v>柿原徹也</v>
      </c>
      <c r="C847" s="1" t="s">
        <v>244</v>
      </c>
      <c r="D847" s="1" t="str">
        <f>IF(C847="", "", IFERROR(VLOOKUP(C847, 作品一覧!A:B, 2, FALSE), "該当なし"))</f>
        <v>文豪とアルケミスト</v>
      </c>
      <c r="E847" s="1" t="str">
        <f ca="1">IFERROR(__xludf.DUMMYFUNCTION("""COMPUTED_VALUE"""),"中原中也")</f>
        <v>中原中也</v>
      </c>
      <c r="F847" s="6" t="s">
        <v>1665</v>
      </c>
    </row>
    <row r="848" spans="1:6" ht="13.8">
      <c r="A848" s="1" t="str">
        <f t="array" aca="1" ref="A848" ca="1">IF(B848="", "", IFERROR(INDEX(声優一覧!A:A, MATCH(B848, 声優一覧!B:B, 0)), "該当なし"))</f>
        <v>va_298</v>
      </c>
      <c r="B848" s="1" t="str">
        <f ca="1">IFERROR(__xludf.DUMMYFUNCTION("""COMPUTED_VALUE"""),"神谷浩史")</f>
        <v>神谷浩史</v>
      </c>
      <c r="C848" s="1" t="s">
        <v>244</v>
      </c>
      <c r="D848" s="1" t="str">
        <f>IF(C848="", "", IFERROR(VLOOKUP(C848, 作品一覧!A:B, 2, FALSE), "該当なし"))</f>
        <v>文豪とアルケミスト</v>
      </c>
      <c r="E848" s="1" t="str">
        <f ca="1">IFERROR(__xludf.DUMMYFUNCTION("""COMPUTED_VALUE"""),"泉鏡花")</f>
        <v>泉鏡花</v>
      </c>
      <c r="F848" s="6" t="s">
        <v>1666</v>
      </c>
    </row>
    <row r="849" spans="1:6" ht="13.8">
      <c r="A849" s="1" t="str">
        <f t="array" aca="1" ref="A849" ca="1">IF(B849="", "", IFERROR(INDEX(声優一覧!A:A, MATCH(B849, 声優一覧!B:B, 0)), "該当なし"))</f>
        <v>va_132</v>
      </c>
      <c r="B849" s="1" t="str">
        <f ca="1">IFERROR(__xludf.DUMMYFUNCTION("""COMPUTED_VALUE"""),"鳥海浩輔")</f>
        <v>鳥海浩輔</v>
      </c>
      <c r="C849" s="1" t="s">
        <v>244</v>
      </c>
      <c r="D849" s="1" t="str">
        <f>IF(C849="", "", IFERROR(VLOOKUP(C849, 作品一覧!A:B, 2, FALSE), "該当なし"))</f>
        <v>文豪とアルケミスト</v>
      </c>
      <c r="E849" s="1" t="str">
        <f ca="1">IFERROR(__xludf.DUMMYFUNCTION("""COMPUTED_VALUE"""),"夏目漱石")</f>
        <v>夏目漱石</v>
      </c>
      <c r="F849" s="6" t="s">
        <v>1667</v>
      </c>
    </row>
    <row r="850" spans="1:6" ht="13.8">
      <c r="A850" s="1" t="str">
        <f t="array" aca="1" ref="A850" ca="1">IF(B850="", "", IFERROR(INDEX(声優一覧!A:A, MATCH(B850, 声優一覧!B:B, 0)), "該当なし"))</f>
        <v>va_198</v>
      </c>
      <c r="B850" s="1" t="str">
        <f ca="1">IFERROR(__xludf.DUMMYFUNCTION("""COMPUTED_VALUE"""),"代永翼")</f>
        <v>代永翼</v>
      </c>
      <c r="C850" s="1" t="s">
        <v>244</v>
      </c>
      <c r="D850" s="1" t="str">
        <f>IF(C850="", "", IFERROR(VLOOKUP(C850, 作品一覧!A:B, 2, FALSE), "該当なし"))</f>
        <v>文豪とアルケミスト</v>
      </c>
      <c r="E850" s="1" t="str">
        <f ca="1">IFERROR(__xludf.DUMMYFUNCTION("""COMPUTED_VALUE"""),"宮沢賢治")</f>
        <v>宮沢賢治</v>
      </c>
      <c r="F850" s="6" t="s">
        <v>1668</v>
      </c>
    </row>
    <row r="851" spans="1:6" ht="13.8">
      <c r="A851" s="1" t="str">
        <f t="array" aca="1" ref="A851" ca="1">IF(B851="", "", IFERROR(INDEX(声優一覧!A:A, MATCH(B851, 声優一覧!B:B, 0)), "該当なし"))</f>
        <v>va_042</v>
      </c>
      <c r="B851" s="1" t="str">
        <f ca="1">IFERROR(__xludf.DUMMYFUNCTION("""COMPUTED_VALUE"""),"岡本信彦")</f>
        <v>岡本信彦</v>
      </c>
      <c r="C851" s="1" t="s">
        <v>244</v>
      </c>
      <c r="D851" s="1" t="str">
        <f>IF(C851="", "", IFERROR(VLOOKUP(C851, 作品一覧!A:B, 2, FALSE), "該当なし"))</f>
        <v>文豪とアルケミスト</v>
      </c>
      <c r="E851" s="1" t="str">
        <f ca="1">IFERROR(__xludf.DUMMYFUNCTION("""COMPUTED_VALUE"""),"谷崎潤一郎")</f>
        <v>谷崎潤一郎</v>
      </c>
      <c r="F851" s="6" t="s">
        <v>1669</v>
      </c>
    </row>
    <row r="852" spans="1:6" ht="13.8">
      <c r="A852" s="1" t="str">
        <f t="array" aca="1" ref="A852" ca="1">IF(B852="", "", IFERROR(INDEX(声優一覧!A:A, MATCH(B852, 声優一覧!B:B, 0)), "該当なし"))</f>
        <v>va_043</v>
      </c>
      <c r="B852" s="1" t="str">
        <f ca="1">IFERROR(__xludf.DUMMYFUNCTION("""COMPUTED_VALUE"""),"置鮎龍太郎")</f>
        <v>置鮎龍太郎</v>
      </c>
      <c r="C852" s="1" t="s">
        <v>244</v>
      </c>
      <c r="D852" s="1" t="str">
        <f>IF(C852="", "", IFERROR(VLOOKUP(C852, 作品一覧!A:B, 2, FALSE), "該当なし"))</f>
        <v>文豪とアルケミスト</v>
      </c>
      <c r="E852" s="1" t="str">
        <f ca="1">IFERROR(__xludf.DUMMYFUNCTION("""COMPUTED_VALUE"""),"永井荷風")</f>
        <v>永井荷風</v>
      </c>
      <c r="F852" s="6" t="s">
        <v>1670</v>
      </c>
    </row>
    <row r="853" spans="1:6" ht="13.8">
      <c r="A853" s="1" t="str">
        <f t="array" aca="1" ref="A853" ca="1">IF(B853="", "", IFERROR(INDEX(声優一覧!A:A, MATCH(B853, 声優一覧!B:B, 0)), "該当なし"))</f>
        <v>va_114</v>
      </c>
      <c r="B853" s="1" t="str">
        <f ca="1">IFERROR(__xludf.DUMMYFUNCTION("""COMPUTED_VALUE"""),"立花慎之介")</f>
        <v>立花慎之介</v>
      </c>
      <c r="C853" s="1" t="s">
        <v>244</v>
      </c>
      <c r="D853" s="1" t="str">
        <f>IF(C853="", "", IFERROR(VLOOKUP(C853, 作品一覧!A:B, 2, FALSE), "該当なし"))</f>
        <v>文豪とアルケミスト</v>
      </c>
      <c r="E853" s="1" t="str">
        <f ca="1">IFERROR(__xludf.DUMMYFUNCTION("""COMPUTED_VALUE"""),"島崎藤村")</f>
        <v>島崎藤村</v>
      </c>
      <c r="F853" s="6" t="s">
        <v>1671</v>
      </c>
    </row>
    <row r="854" spans="1:6" ht="13.8">
      <c r="A854" s="1" t="str">
        <f t="array" aca="1" ref="A854" ca="1">IF(B854="", "", IFERROR(INDEX(声優一覧!A:A, MATCH(B854, 声優一覧!B:B, 0)), "該当なし"))</f>
        <v>va_051</v>
      </c>
      <c r="B854" s="1" t="str">
        <f ca="1">IFERROR(__xludf.DUMMYFUNCTION("""COMPUTED_VALUE"""),"梶裕貴")</f>
        <v>梶裕貴</v>
      </c>
      <c r="C854" s="1" t="s">
        <v>244</v>
      </c>
      <c r="D854" s="1" t="str">
        <f>IF(C854="", "", IFERROR(VLOOKUP(C854, 作品一覧!A:B, 2, FALSE), "該当なし"))</f>
        <v>文豪とアルケミスト</v>
      </c>
      <c r="E854" s="1" t="str">
        <f ca="1">IFERROR(__xludf.DUMMYFUNCTION("""COMPUTED_VALUE"""),"田山花袋")</f>
        <v>田山花袋</v>
      </c>
      <c r="F854" s="6" t="s">
        <v>1672</v>
      </c>
    </row>
    <row r="855" spans="1:6" ht="13.8">
      <c r="A855" s="1" t="str">
        <f t="array" aca="1" ref="A855" ca="1">IF(B855="", "", IFERROR(INDEX(声優一覧!A:A, MATCH(B855, 声優一覧!B:B, 0)), "該当なし"))</f>
        <v>va_169</v>
      </c>
      <c r="B855" s="1" t="str">
        <f ca="1">IFERROR(__xludf.DUMMYFUNCTION("""COMPUTED_VALUE"""),"前野智昭")</f>
        <v>前野智昭</v>
      </c>
      <c r="C855" s="1" t="s">
        <v>244</v>
      </c>
      <c r="D855" s="1" t="str">
        <f>IF(C855="", "", IFERROR(VLOOKUP(C855, 作品一覧!A:B, 2, FALSE), "該当なし"))</f>
        <v>文豪とアルケミスト</v>
      </c>
      <c r="E855" s="1" t="str">
        <f ca="1">IFERROR(__xludf.DUMMYFUNCTION("""COMPUTED_VALUE"""),"志賀直哉")</f>
        <v>志賀直哉</v>
      </c>
      <c r="F855" s="6" t="s">
        <v>1673</v>
      </c>
    </row>
    <row r="856" spans="1:6" ht="13.8">
      <c r="A856" s="1" t="str">
        <f t="array" aca="1" ref="A856" ca="1">IF(B856="", "", IFERROR(INDEX(声優一覧!A:A, MATCH(B856, 声優一覧!B:B, 0)), "該当なし"))</f>
        <v>va_299</v>
      </c>
      <c r="B856" s="1" t="str">
        <f ca="1">IFERROR(__xludf.DUMMYFUNCTION("""COMPUTED_VALUE"""),"大川透")</f>
        <v>大川透</v>
      </c>
      <c r="C856" s="1" t="s">
        <v>244</v>
      </c>
      <c r="D856" s="1" t="str">
        <f>IF(C856="", "", IFERROR(VLOOKUP(C856, 作品一覧!A:B, 2, FALSE), "該当なし"))</f>
        <v>文豪とアルケミスト</v>
      </c>
      <c r="E856" s="1" t="str">
        <f ca="1">IFERROR(__xludf.DUMMYFUNCTION("""COMPUTED_VALUE"""),"森鴎外")</f>
        <v>森鴎外</v>
      </c>
      <c r="F856" s="6" t="s">
        <v>1674</v>
      </c>
    </row>
    <row r="857" spans="1:6" ht="13.8">
      <c r="A857" s="1" t="str">
        <f t="array" aca="1" ref="A857" ca="1">IF(B857="", "", IFERROR(INDEX(声優一覧!A:A, MATCH(B857, 声優一覧!B:B, 0)), "該当なし"))</f>
        <v>va_291</v>
      </c>
      <c r="B857" s="1" t="str">
        <f ca="1">IFERROR(__xludf.DUMMYFUNCTION("""COMPUTED_VALUE"""),"関智一")</f>
        <v>関智一</v>
      </c>
      <c r="C857" s="1" t="s">
        <v>244</v>
      </c>
      <c r="D857" s="1" t="str">
        <f>IF(C857="", "", IFERROR(VLOOKUP(C857, 作品一覧!A:B, 2, FALSE), "該当なし"))</f>
        <v>文豪とアルケミスト</v>
      </c>
      <c r="E857" s="1" t="str">
        <f ca="1">IFERROR(__xludf.DUMMYFUNCTION("""COMPUTED_VALUE"""),"川端康成")</f>
        <v>川端康成</v>
      </c>
      <c r="F857" s="6" t="s">
        <v>1675</v>
      </c>
    </row>
    <row r="858" spans="1:6" ht="13.8">
      <c r="A858" s="1" t="str">
        <f t="array" aca="1" ref="A858" ca="1">IF(B858="", "", IFERROR(INDEX(声優一覧!A:A, MATCH(B858, 声優一覧!B:B, 0)), "該当なし"))</f>
        <v>va_150</v>
      </c>
      <c r="B858" s="1" t="str">
        <f ca="1">IFERROR(__xludf.DUMMYFUNCTION("""COMPUTED_VALUE"""),"花江夏樹")</f>
        <v>花江夏樹</v>
      </c>
      <c r="C858" s="1" t="s">
        <v>244</v>
      </c>
      <c r="D858" s="1" t="str">
        <f>IF(C858="", "", IFERROR(VLOOKUP(C858, 作品一覧!A:B, 2, FALSE), "該当なし"))</f>
        <v>文豪とアルケミスト</v>
      </c>
      <c r="E858" s="1" t="str">
        <f ca="1">IFERROR(__xludf.DUMMYFUNCTION("""COMPUTED_VALUE"""),"北原白秋")</f>
        <v>北原白秋</v>
      </c>
      <c r="F858" s="6" t="s">
        <v>1676</v>
      </c>
    </row>
    <row r="859" spans="1:6" ht="13.8">
      <c r="A859" s="1" t="str">
        <f t="array" aca="1" ref="A859" ca="1">IF(B859="", "", IFERROR(INDEX(声優一覧!A:A, MATCH(B859, 声優一覧!B:B, 0)), "該当なし"))</f>
        <v>va_037</v>
      </c>
      <c r="B859" s="1" t="str">
        <f ca="1">IFERROR(__xludf.DUMMYFUNCTION("""COMPUTED_VALUE"""),"逢坂良太")</f>
        <v>逢坂良太</v>
      </c>
      <c r="C859" s="1" t="s">
        <v>244</v>
      </c>
      <c r="D859" s="1" t="str">
        <f>IF(C859="", "", IFERROR(VLOOKUP(C859, 作品一覧!A:B, 2, FALSE), "該当なし"))</f>
        <v>文豪とアルケミスト</v>
      </c>
      <c r="E859" s="1" t="str">
        <f ca="1">IFERROR(__xludf.DUMMYFUNCTION("""COMPUTED_VALUE"""),"室生犀星")</f>
        <v>室生犀星</v>
      </c>
      <c r="F859" s="6" t="s">
        <v>1677</v>
      </c>
    </row>
    <row r="860" spans="1:6" ht="13.8">
      <c r="A860" s="1" t="str">
        <f t="array" aca="1" ref="A860" ca="1">IF(B860="", "", IFERROR(INDEX(声優一覧!A:A, MATCH(B860, 声優一覧!B:B, 0)), "該当なし"))</f>
        <v>va_098</v>
      </c>
      <c r="B860" s="1" t="str">
        <f ca="1">IFERROR(__xludf.DUMMYFUNCTION("""COMPUTED_VALUE"""),"杉山紀彰")</f>
        <v>杉山紀彰</v>
      </c>
      <c r="C860" s="1" t="s">
        <v>244</v>
      </c>
      <c r="D860" s="1" t="str">
        <f>IF(C860="", "", IFERROR(VLOOKUP(C860, 作品一覧!A:B, 2, FALSE), "該当なし"))</f>
        <v>文豪とアルケミスト</v>
      </c>
      <c r="E860" s="1" t="str">
        <f ca="1">IFERROR(__xludf.DUMMYFUNCTION("""COMPUTED_VALUE"""),"梶井基次郎")</f>
        <v>梶井基次郎</v>
      </c>
      <c r="F860" s="6" t="s">
        <v>1678</v>
      </c>
    </row>
    <row r="861" spans="1:6" ht="13.8">
      <c r="A861" s="1" t="str">
        <f t="array" aca="1" ref="A861" ca="1">IF(B861="", "", IFERROR(INDEX(声優一覧!A:A, MATCH(B861, 声優一覧!B:B, 0)), "該当なし"))</f>
        <v>va_160</v>
      </c>
      <c r="B861" s="1" t="str">
        <f ca="1">IFERROR(__xludf.DUMMYFUNCTION("""COMPUTED_VALUE"""),"福山潤")</f>
        <v>福山潤</v>
      </c>
      <c r="C861" s="1" t="s">
        <v>244</v>
      </c>
      <c r="D861" s="1" t="str">
        <f>IF(C861="", "", IFERROR(VLOOKUP(C861, 作品一覧!A:B, 2, FALSE), "該当なし"))</f>
        <v>文豪とアルケミスト</v>
      </c>
      <c r="E861" s="1" t="str">
        <f ca="1">IFERROR(__xludf.DUMMYFUNCTION("""COMPUTED_VALUE"""),"広津和郎")</f>
        <v>広津和郎</v>
      </c>
      <c r="F861" s="6" t="s">
        <v>1679</v>
      </c>
    </row>
    <row r="862" spans="1:6" ht="13.8">
      <c r="A862" s="1" t="str">
        <f t="array" aca="1" ref="A862" ca="1">IF(B862="", "", IFERROR(INDEX(声優一覧!A:A, MATCH(B862, 声優一覧!B:B, 0)), "該当なし"))</f>
        <v>va_200</v>
      </c>
      <c r="B862" s="1" t="str">
        <f ca="1">IFERROR(__xludf.DUMMYFUNCTION("""COMPUTED_VALUE"""),"KENN")</f>
        <v>KENN</v>
      </c>
      <c r="C862" s="1" t="s">
        <v>244</v>
      </c>
      <c r="D862" s="1" t="str">
        <f>IF(C862="", "", IFERROR(VLOOKUP(C862, 作品一覧!A:B, 2, FALSE), "該当なし"))</f>
        <v>文豪とアルケミスト</v>
      </c>
      <c r="E862" s="1" t="str">
        <f ca="1">IFERROR(__xludf.DUMMYFUNCTION("""COMPUTED_VALUE"""),"武者小路実篤")</f>
        <v>武者小路実篤</v>
      </c>
      <c r="F862" s="6" t="s">
        <v>1680</v>
      </c>
    </row>
    <row r="863" spans="1:6" ht="13.8">
      <c r="A863" s="1" t="str">
        <f t="array" aca="1" ref="A863" ca="1">IF(B863="", "", IFERROR(INDEX(声優一覧!A:A, MATCH(B863, 声優一覧!B:B, 0)), "該当なし"))</f>
        <v>va_180</v>
      </c>
      <c r="B863" s="1" t="str">
        <f ca="1">IFERROR(__xludf.DUMMYFUNCTION("""COMPUTED_VALUE"""),"緑川光")</f>
        <v>緑川光</v>
      </c>
      <c r="C863" s="1" t="s">
        <v>244</v>
      </c>
      <c r="D863" s="1" t="str">
        <f>IF(C863="", "", IFERROR(VLOOKUP(C863, 作品一覧!A:B, 2, FALSE), "該当なし"))</f>
        <v>文豪とアルケミスト</v>
      </c>
      <c r="E863" s="1" t="str">
        <f ca="1">IFERROR(__xludf.DUMMYFUNCTION("""COMPUTED_VALUE"""),"尾崎紅葉")</f>
        <v>尾崎紅葉</v>
      </c>
      <c r="F863" s="6" t="s">
        <v>1681</v>
      </c>
    </row>
    <row r="864" spans="1:6" ht="13.8">
      <c r="A864" s="1" t="str">
        <f t="array" aca="1" ref="A864" ca="1">IF(B864="", "", IFERROR(INDEX(声優一覧!A:A, MATCH(B864, 声優一覧!B:B, 0)), "該当なし"))</f>
        <v>va_097</v>
      </c>
      <c r="B864" s="1" t="str">
        <f ca="1">IFERROR(__xludf.DUMMYFUNCTION("""COMPUTED_VALUE"""),"杉田智和")</f>
        <v>杉田智和</v>
      </c>
      <c r="C864" s="1" t="s">
        <v>244</v>
      </c>
      <c r="D864" s="1" t="str">
        <f>IF(C864="", "", IFERROR(VLOOKUP(C864, 作品一覧!A:B, 2, FALSE), "該当なし"))</f>
        <v>文豪とアルケミスト</v>
      </c>
      <c r="E864" s="1" t="str">
        <f ca="1">IFERROR(__xludf.DUMMYFUNCTION("""COMPUTED_VALUE"""),"坂口安吾")</f>
        <v>坂口安吾</v>
      </c>
      <c r="F864" s="6" t="s">
        <v>1682</v>
      </c>
    </row>
    <row r="865" spans="1:6" ht="13.8">
      <c r="A865" s="1" t="str">
        <f t="array" aca="1" ref="A865" ca="1">IF(B865="", "", IFERROR(INDEX(声優一覧!A:A, MATCH(B865, 声優一覧!B:B, 0)), "該当なし"))</f>
        <v>va_083</v>
      </c>
      <c r="B865" s="1" t="str">
        <f ca="1">IFERROR(__xludf.DUMMYFUNCTION("""COMPUTED_VALUE"""),"斉藤壮馬")</f>
        <v>斉藤壮馬</v>
      </c>
      <c r="C865" s="1" t="s">
        <v>244</v>
      </c>
      <c r="D865" s="1" t="str">
        <f>IF(C865="", "", IFERROR(VLOOKUP(C865, 作品一覧!A:B, 2, FALSE), "該当なし"))</f>
        <v>文豪とアルケミスト</v>
      </c>
      <c r="E865" s="1" t="str">
        <f ca="1">IFERROR(__xludf.DUMMYFUNCTION("""COMPUTED_VALUE"""),"江戸川乱歩")</f>
        <v>江戸川乱歩</v>
      </c>
      <c r="F865" s="6" t="s">
        <v>1683</v>
      </c>
    </row>
    <row r="866" spans="1:6" ht="13.8">
      <c r="A866" s="1" t="str">
        <f t="array" aca="1" ref="A866" ca="1">IF(B866="", "", IFERROR(INDEX(声優一覧!A:A, MATCH(B866, 声優一覧!B:B, 0)), "該当なし"))</f>
        <v>va_103</v>
      </c>
      <c r="B866" s="1" t="str">
        <f ca="1">IFERROR(__xludf.DUMMYFUNCTION("""COMPUTED_VALUE"""),"関俊彦")</f>
        <v>関俊彦</v>
      </c>
      <c r="C866" s="1" t="s">
        <v>244</v>
      </c>
      <c r="D866" s="1" t="str">
        <f>IF(C866="", "", IFERROR(VLOOKUP(C866, 作品一覧!A:B, 2, FALSE), "該当なし"))</f>
        <v>文豪とアルケミスト</v>
      </c>
      <c r="E866" s="1" t="str">
        <f ca="1">IFERROR(__xludf.DUMMYFUNCTION("""COMPUTED_VALUE"""),"坪内逍遥")</f>
        <v>坪内逍遥</v>
      </c>
      <c r="F866" s="6" t="s">
        <v>1684</v>
      </c>
    </row>
    <row r="867" spans="1:6" ht="13.8">
      <c r="A867" s="1" t="str">
        <f t="array" aca="1" ref="A867" ca="1">IF(B867="", "", IFERROR(INDEX(声優一覧!A:A, MATCH(B867, 声優一覧!B:B, 0)), "該当なし"))</f>
        <v>va_189</v>
      </c>
      <c r="B867" s="1" t="str">
        <f ca="1">IFERROR(__xludf.DUMMYFUNCTION("""COMPUTED_VALUE"""),"安元洋貴")</f>
        <v>安元洋貴</v>
      </c>
      <c r="C867" s="1" t="s">
        <v>244</v>
      </c>
      <c r="D867" s="1" t="str">
        <f>IF(C867="", "", IFERROR(VLOOKUP(C867, 作品一覧!A:B, 2, FALSE), "該当なし"))</f>
        <v>文豪とアルケミスト</v>
      </c>
      <c r="E867" s="1" t="str">
        <f ca="1">IFERROR(__xludf.DUMMYFUNCTION("""COMPUTED_VALUE"""),"二葉亭四迷")</f>
        <v>二葉亭四迷</v>
      </c>
      <c r="F867" s="6" t="s">
        <v>1685</v>
      </c>
    </row>
    <row r="868" spans="1:6" ht="13.8">
      <c r="A868" s="1" t="str">
        <f t="array" aca="1" ref="A868" ca="1">IF(B868="", "", IFERROR(INDEX(声優一覧!A:A, MATCH(B868, 声優一覧!B:B, 0)), "該当なし"))</f>
        <v>va_168</v>
      </c>
      <c r="B868" s="1" t="str">
        <f ca="1">IFERROR(__xludf.DUMMYFUNCTION("""COMPUTED_VALUE"""),"保志総一朗")</f>
        <v>保志総一朗</v>
      </c>
      <c r="C868" s="1" t="s">
        <v>244</v>
      </c>
      <c r="D868" s="1" t="str">
        <f>IF(C868="", "", IFERROR(VLOOKUP(C868, 作品一覧!A:B, 2, FALSE), "該当なし"))</f>
        <v>文豪とアルケミスト</v>
      </c>
      <c r="E868" s="1" t="str">
        <f ca="1">IFERROR(__xludf.DUMMYFUNCTION("""COMPUTED_VALUE"""),"有島武郎")</f>
        <v>有島武郎</v>
      </c>
      <c r="F868" s="6" t="s">
        <v>1686</v>
      </c>
    </row>
    <row r="869" spans="1:6" ht="13.8">
      <c r="A869" s="1" t="str">
        <f t="array" aca="1" ref="A869" ca="1">IF(B869="", "", IFERROR(INDEX(声優一覧!A:A, MATCH(B869, 声優一覧!B:B, 0)), "該当なし"))</f>
        <v>va_118</v>
      </c>
      <c r="B869" s="1" t="str">
        <f ca="1">IFERROR(__xludf.DUMMYFUNCTION("""COMPUTED_VALUE"""),"泰勇気")</f>
        <v>泰勇気</v>
      </c>
      <c r="C869" s="1" t="s">
        <v>244</v>
      </c>
      <c r="D869" s="1" t="str">
        <f>IF(C869="", "", IFERROR(VLOOKUP(C869, 作品一覧!A:B, 2, FALSE), "該当なし"))</f>
        <v>文豪とアルケミスト</v>
      </c>
      <c r="E869" s="1" t="str">
        <f ca="1">IFERROR(__xludf.DUMMYFUNCTION("""COMPUTED_VALUE"""),"佐藤春夫")</f>
        <v>佐藤春夫</v>
      </c>
      <c r="F869" s="6" t="s">
        <v>1687</v>
      </c>
    </row>
    <row r="870" spans="1:6" ht="13.8">
      <c r="A870" s="1" t="str">
        <f t="array" aca="1" ref="A870" ca="1">IF(B870="", "", IFERROR(INDEX(声優一覧!A:A, MATCH(B870, 声優一覧!B:B, 0)), "該当なし"))</f>
        <v>va_078</v>
      </c>
      <c r="B870" s="1" t="str">
        <f ca="1">IFERROR(__xludf.DUMMYFUNCTION("""COMPUTED_VALUE"""),"小西克幸")</f>
        <v>小西克幸</v>
      </c>
      <c r="C870" s="1" t="s">
        <v>244</v>
      </c>
      <c r="D870" s="1" t="str">
        <f>IF(C870="", "", IFERROR(VLOOKUP(C870, 作品一覧!A:B, 2, FALSE), "該当なし"))</f>
        <v>文豪とアルケミスト</v>
      </c>
      <c r="E870" s="1" t="str">
        <f ca="1">IFERROR(__xludf.DUMMYFUNCTION("""COMPUTED_VALUE"""),"小林多喜二")</f>
        <v>小林多喜二</v>
      </c>
      <c r="F870" s="6" t="s">
        <v>1688</v>
      </c>
    </row>
    <row r="871" spans="1:6" ht="13.8">
      <c r="A871" s="1" t="str">
        <f t="array" aca="1" ref="A871" ca="1">IF(B871="", "", IFERROR(INDEX(声優一覧!A:A, MATCH(B871, 声優一覧!B:B, 0)), "該当なし"))</f>
        <v>va_112</v>
      </c>
      <c r="B871" s="1" t="str">
        <f ca="1">IFERROR(__xludf.DUMMYFUNCTION("""COMPUTED_VALUE"""),"武内駿輔")</f>
        <v>武内駿輔</v>
      </c>
      <c r="C871" s="1" t="s">
        <v>244</v>
      </c>
      <c r="D871" s="1" t="str">
        <f>IF(C871="", "", IFERROR(VLOOKUP(C871, 作品一覧!A:B, 2, FALSE), "該当なし"))</f>
        <v>文豪とアルケミスト</v>
      </c>
      <c r="E871" s="1" t="str">
        <f ca="1">IFERROR(__xludf.DUMMYFUNCTION("""COMPUTED_VALUE"""),"井伏鱒二")</f>
        <v>井伏鱒二</v>
      </c>
      <c r="F871" s="6" t="s">
        <v>1689</v>
      </c>
    </row>
    <row r="872" spans="1:6" ht="13.8">
      <c r="A872" s="1" t="str">
        <f t="array" aca="1" ref="A872" ca="1">IF(B872="", "", IFERROR(INDEX(声優一覧!A:A, MATCH(B872, 声優一覧!B:B, 0)), "該当なし"))</f>
        <v>va_148</v>
      </c>
      <c r="B872" s="1" t="str">
        <f ca="1">IFERROR(__xludf.DUMMYFUNCTION("""COMPUTED_VALUE"""),"羽多野渉")</f>
        <v>羽多野渉</v>
      </c>
      <c r="C872" s="1" t="s">
        <v>244</v>
      </c>
      <c r="D872" s="1" t="str">
        <f>IF(C872="", "", IFERROR(VLOOKUP(C872, 作品一覧!A:B, 2, FALSE), "該当なし"))</f>
        <v>文豪とアルケミスト</v>
      </c>
      <c r="E872" s="1" t="str">
        <f ca="1">IFERROR(__xludf.DUMMYFUNCTION("""COMPUTED_VALUE"""),"横光利一")</f>
        <v>横光利一</v>
      </c>
      <c r="F872" s="6" t="s">
        <v>1690</v>
      </c>
    </row>
    <row r="873" spans="1:6" ht="13.8">
      <c r="A873" s="1" t="str">
        <f t="array" aca="1" ref="A873" ca="1">IF(B873="", "", IFERROR(INDEX(声優一覧!A:A, MATCH(B873, 声優一覧!B:B, 0)), "該当なし"))</f>
        <v>va_300</v>
      </c>
      <c r="B873" s="1" t="str">
        <f ca="1">IFERROR(__xludf.DUMMYFUNCTION("""COMPUTED_VALUE"""),"小野坂昌也")</f>
        <v>小野坂昌也</v>
      </c>
      <c r="C873" s="1" t="s">
        <v>244</v>
      </c>
      <c r="D873" s="1" t="str">
        <f>IF(C873="", "", IFERROR(VLOOKUP(C873, 作品一覧!A:B, 2, FALSE), "該当なし"))</f>
        <v>文豪とアルケミスト</v>
      </c>
      <c r="E873" s="1" t="str">
        <f ca="1">IFERROR(__xludf.DUMMYFUNCTION("""COMPUTED_VALUE"""),"織田作之助")</f>
        <v>織田作之助</v>
      </c>
      <c r="F873" s="6" t="s">
        <v>1691</v>
      </c>
    </row>
    <row r="874" spans="1:6" ht="13.8">
      <c r="A874" s="1" t="str">
        <f t="array" aca="1" ref="A874" ca="1">IF(B874="", "", IFERROR(INDEX(声優一覧!A:A, MATCH(B874, 声優一覧!B:B, 0)), "該当なし"))</f>
        <v>va_109</v>
      </c>
      <c r="B874" s="1" t="str">
        <f ca="1">IFERROR(__xludf.DUMMYFUNCTION("""COMPUTED_VALUE"""),"髙橋孝治")</f>
        <v>髙橋孝治</v>
      </c>
      <c r="C874" s="1" t="s">
        <v>244</v>
      </c>
      <c r="D874" s="1" t="str">
        <f>IF(C874="", "", IFERROR(VLOOKUP(C874, 作品一覧!A:B, 2, FALSE), "該当なし"))</f>
        <v>文豪とアルケミスト</v>
      </c>
      <c r="E874" s="1" t="str">
        <f ca="1">IFERROR(__xludf.DUMMYFUNCTION("""COMPUTED_VALUE"""),"堀辰雄")</f>
        <v>堀辰雄</v>
      </c>
      <c r="F874" s="6" t="s">
        <v>1692</v>
      </c>
    </row>
    <row r="875" spans="1:6" ht="13.8">
      <c r="A875" s="1" t="str">
        <f t="array" aca="1" ref="A875" ca="1">IF(B875="", "", IFERROR(INDEX(声優一覧!A:A, MATCH(B875, 声優一覧!B:B, 0)), "該当なし"))</f>
        <v>va_013</v>
      </c>
      <c r="B875" s="1" t="str">
        <f ca="1">IFERROR(__xludf.DUMMYFUNCTION("""COMPUTED_VALUE"""),"石川界人")</f>
        <v>石川界人</v>
      </c>
      <c r="C875" s="1" t="s">
        <v>244</v>
      </c>
      <c r="D875" s="1" t="str">
        <f>IF(C875="", "", IFERROR(VLOOKUP(C875, 作品一覧!A:B, 2, FALSE), "該当なし"))</f>
        <v>文豪とアルケミスト</v>
      </c>
      <c r="E875" s="1" t="str">
        <f ca="1">IFERROR(__xludf.DUMMYFUNCTION("""COMPUTED_VALUE"""),"中島敦")</f>
        <v>中島敦</v>
      </c>
      <c r="F875" s="6" t="s">
        <v>1693</v>
      </c>
    </row>
    <row r="876" spans="1:6" ht="13.8">
      <c r="A876" s="1" t="str">
        <f t="array" aca="1" ref="A876" ca="1">IF(B876="", "", IFERROR(INDEX(声優一覧!A:A, MATCH(B876, 声優一覧!B:B, 0)), "該当なし"))</f>
        <v>va_030</v>
      </c>
      <c r="B876" s="1" t="str">
        <f ca="1">IFERROR(__xludf.DUMMYFUNCTION("""COMPUTED_VALUE"""),"内田雄馬")</f>
        <v>内田雄馬</v>
      </c>
      <c r="C876" s="1" t="s">
        <v>244</v>
      </c>
      <c r="D876" s="1" t="str">
        <f>IF(C876="", "", IFERROR(VLOOKUP(C876, 作品一覧!A:B, 2, FALSE), "該当なし"))</f>
        <v>文豪とアルケミスト</v>
      </c>
      <c r="E876" s="1" t="str">
        <f ca="1">IFERROR(__xludf.DUMMYFUNCTION("""COMPUTED_VALUE"""),"小泉八雲")</f>
        <v>小泉八雲</v>
      </c>
      <c r="F876" s="6" t="s">
        <v>1694</v>
      </c>
    </row>
    <row r="877" spans="1:6" ht="13.8">
      <c r="A877" s="1" t="str">
        <f t="array" aca="1" ref="A877" ca="1">IF(B877="", "", IFERROR(INDEX(声優一覧!A:A, MATCH(B877, 声優一覧!B:B, 0)), "該当なし"))</f>
        <v>va_301</v>
      </c>
      <c r="B877" s="1" t="str">
        <f ca="1">IFERROR(__xludf.DUMMYFUNCTION("""COMPUTED_VALUE"""),"白石稔")</f>
        <v>白石稔</v>
      </c>
      <c r="C877" s="1" t="s">
        <v>244</v>
      </c>
      <c r="D877" s="1" t="str">
        <f>IF(C877="", "", IFERROR(VLOOKUP(C877, 作品一覧!A:B, 2, FALSE), "該当なし"))</f>
        <v>文豪とアルケミスト</v>
      </c>
      <c r="E877" s="1" t="str">
        <f ca="1">IFERROR(__xludf.DUMMYFUNCTION("""COMPUTED_VALUE"""),"正岡子規")</f>
        <v>正岡子規</v>
      </c>
      <c r="F877" s="6" t="s">
        <v>1695</v>
      </c>
    </row>
    <row r="878" spans="1:6" ht="13.8">
      <c r="A878" s="1" t="str">
        <f t="array" aca="1" ref="A878" ca="1">IF(B878="", "", IFERROR(INDEX(声優一覧!A:A, MATCH(B878, 声優一覧!B:B, 0)), "該当なし"))</f>
        <v>va_181</v>
      </c>
      <c r="B878" s="1" t="str">
        <f ca="1">IFERROR(__xludf.DUMMYFUNCTION("""COMPUTED_VALUE"""),"宮下栄治")</f>
        <v>宮下栄治</v>
      </c>
      <c r="C878" s="1" t="s">
        <v>244</v>
      </c>
      <c r="D878" s="1" t="str">
        <f>IF(C878="", "", IFERROR(VLOOKUP(C878, 作品一覧!A:B, 2, FALSE), "該当なし"))</f>
        <v>文豪とアルケミスト</v>
      </c>
      <c r="E878" s="1" t="str">
        <f ca="1">IFERROR(__xludf.DUMMYFUNCTION("""COMPUTED_VALUE"""),"若山牧水")</f>
        <v>若山牧水</v>
      </c>
      <c r="F878" s="6" t="s">
        <v>1696</v>
      </c>
    </row>
    <row r="879" spans="1:6" ht="13.8">
      <c r="A879" s="1" t="str">
        <f t="array" aca="1" ref="A879" ca="1">IF(B879="", "", IFERROR(INDEX(声優一覧!A:A, MATCH(B879, 声優一覧!B:B, 0)), "該当なし"))</f>
        <v>va_269</v>
      </c>
      <c r="B879" s="1" t="str">
        <f ca="1">IFERROR(__xludf.DUMMYFUNCTION("""COMPUTED_VALUE"""),"森田成一")</f>
        <v>森田成一</v>
      </c>
      <c r="C879" s="1" t="s">
        <v>244</v>
      </c>
      <c r="D879" s="1" t="str">
        <f>IF(C879="", "", IFERROR(VLOOKUP(C879, 作品一覧!A:B, 2, FALSE), "該当なし"))</f>
        <v>文豪とアルケミスト</v>
      </c>
      <c r="E879" s="1" t="str">
        <f ca="1">IFERROR(__xludf.DUMMYFUNCTION("""COMPUTED_VALUE"""),"高村光太郎")</f>
        <v>高村光太郎</v>
      </c>
      <c r="F879" s="6" t="s">
        <v>1697</v>
      </c>
    </row>
    <row r="880" spans="1:6" ht="13.8">
      <c r="A880" s="1" t="str">
        <f t="array" aca="1" ref="A880" ca="1">IF(B880="", "", IFERROR(INDEX(声優一覧!A:A, MATCH(B880, 声優一覧!B:B, 0)), "該当なし"))</f>
        <v>va_173</v>
      </c>
      <c r="B880" s="1" t="str">
        <f ca="1">IFERROR(__xludf.DUMMYFUNCTION("""COMPUTED_VALUE"""),"松岡禎丞")</f>
        <v>松岡禎丞</v>
      </c>
      <c r="C880" s="1" t="s">
        <v>244</v>
      </c>
      <c r="D880" s="1" t="str">
        <f>IF(C880="", "", IFERROR(VLOOKUP(C880, 作品一覧!A:B, 2, FALSE), "該当なし"))</f>
        <v>文豪とアルケミスト</v>
      </c>
      <c r="E880" s="1" t="str">
        <f ca="1">IFERROR(__xludf.DUMMYFUNCTION("""COMPUTED_VALUE"""),"石川啄木")</f>
        <v>石川啄木</v>
      </c>
      <c r="F880" s="6" t="s">
        <v>1698</v>
      </c>
    </row>
    <row r="881" spans="1:6" ht="13.8">
      <c r="A881" s="1" t="str">
        <f t="array" aca="1" ref="A881" ca="1">IF(B881="", "", IFERROR(INDEX(声優一覧!A:A, MATCH(B881, 声優一覧!B:B, 0)), "該当なし"))</f>
        <v>va_172</v>
      </c>
      <c r="B881" s="1" t="str">
        <f ca="1">IFERROR(__xludf.DUMMYFUNCTION("""COMPUTED_VALUE"""),"増田俊樹")</f>
        <v>増田俊樹</v>
      </c>
      <c r="C881" s="1" t="s">
        <v>244</v>
      </c>
      <c r="D881" s="1" t="str">
        <f>IF(C881="", "", IFERROR(VLOOKUP(C881, 作品一覧!A:B, 2, FALSE), "該当なし"))</f>
        <v>文豪とアルケミスト</v>
      </c>
      <c r="E881" s="1" t="str">
        <f ca="1">IFERROR(__xludf.DUMMYFUNCTION("""COMPUTED_VALUE"""),"国木田独歩")</f>
        <v>国木田独歩</v>
      </c>
      <c r="F881" s="6" t="s">
        <v>1699</v>
      </c>
    </row>
    <row r="882" spans="1:6" ht="13.8">
      <c r="A882" s="1" t="str">
        <f t="array" aca="1" ref="A882" ca="1">IF(B882="", "", IFERROR(INDEX(声優一覧!A:A, MATCH(B882, 声優一覧!B:B, 0)), "該当なし"))</f>
        <v>va_080</v>
      </c>
      <c r="B882" s="1" t="str">
        <f ca="1">IFERROR(__xludf.DUMMYFUNCTION("""COMPUTED_VALUE"""),"子安武人")</f>
        <v>子安武人</v>
      </c>
      <c r="C882" s="1" t="s">
        <v>244</v>
      </c>
      <c r="D882" s="1" t="str">
        <f>IF(C882="", "", IFERROR(VLOOKUP(C882, 作品一覧!A:B, 2, FALSE), "該当なし"))</f>
        <v>文豪とアルケミスト</v>
      </c>
      <c r="E882" s="1" t="str">
        <f ca="1">IFERROR(__xludf.DUMMYFUNCTION("""COMPUTED_VALUE"""),"幸田露伴")</f>
        <v>幸田露伴</v>
      </c>
      <c r="F882" s="6" t="s">
        <v>1700</v>
      </c>
    </row>
    <row r="883" spans="1:6" ht="13.8">
      <c r="A883" s="1" t="str">
        <f t="array" aca="1" ref="A883" ca="1">IF(B883="", "", IFERROR(INDEX(声優一覧!A:A, MATCH(B883, 声優一覧!B:B, 0)), "該当なし"))</f>
        <v>va_302</v>
      </c>
      <c r="B883" s="1" t="str">
        <f ca="1">IFERROR(__xludf.DUMMYFUNCTION("""COMPUTED_VALUE"""),"岸尾だいすけ")</f>
        <v>岸尾だいすけ</v>
      </c>
      <c r="C883" s="1" t="s">
        <v>244</v>
      </c>
      <c r="D883" s="1" t="str">
        <f>IF(C883="", "", IFERROR(VLOOKUP(C883, 作品一覧!A:B, 2, FALSE), "該当なし"))</f>
        <v>文豪とアルケミスト</v>
      </c>
      <c r="E883" s="1" t="str">
        <f ca="1">IFERROR(__xludf.DUMMYFUNCTION("""COMPUTED_VALUE"""),"松岡譲")</f>
        <v>松岡譲</v>
      </c>
      <c r="F883" s="6" t="s">
        <v>1701</v>
      </c>
    </row>
    <row r="884" spans="1:6" ht="13.8">
      <c r="A884" s="1" t="str">
        <f t="array" aca="1" ref="A884" ca="1">IF(B884="", "", IFERROR(INDEX(声優一覧!A:A, MATCH(B884, 声優一覧!B:B, 0)), "該当なし"))</f>
        <v>va_003</v>
      </c>
      <c r="B884" s="1" t="str">
        <f ca="1">IFERROR(__xludf.DUMMYFUNCTION("""COMPUTED_VALUE"""),"阿座上洋平")</f>
        <v>阿座上洋平</v>
      </c>
      <c r="C884" s="1" t="s">
        <v>244</v>
      </c>
      <c r="D884" s="1" t="str">
        <f>IF(C884="", "", IFERROR(VLOOKUP(C884, 作品一覧!A:B, 2, FALSE), "該当なし"))</f>
        <v>文豪とアルケミスト</v>
      </c>
      <c r="E884" s="1" t="str">
        <f ca="1">IFERROR(__xludf.DUMMYFUNCTION("""COMPUTED_VALUE"""),"吉川英治")</f>
        <v>吉川英治</v>
      </c>
      <c r="F884" s="6" t="s">
        <v>1702</v>
      </c>
    </row>
    <row r="885" spans="1:6" ht="13.8">
      <c r="A885" s="1" t="str">
        <f t="array" aca="1" ref="A885" ca="1">IF(B885="", "", IFERROR(INDEX(声優一覧!A:A, MATCH(B885, 声優一覧!B:B, 0)), "該当なし"))</f>
        <v>va_303</v>
      </c>
      <c r="B885" s="1" t="str">
        <f ca="1">IFERROR(__xludf.DUMMYFUNCTION("""COMPUTED_VALUE"""),"松本保典")</f>
        <v>松本保典</v>
      </c>
      <c r="C885" s="1" t="s">
        <v>244</v>
      </c>
      <c r="D885" s="1" t="str">
        <f>IF(C885="", "", IFERROR(VLOOKUP(C885, 作品一覧!A:B, 2, FALSE), "該当なし"))</f>
        <v>文豪とアルケミスト</v>
      </c>
      <c r="E885" s="1" t="str">
        <f ca="1">IFERROR(__xludf.DUMMYFUNCTION("""COMPUTED_VALUE"""),"山本有三")</f>
        <v>山本有三</v>
      </c>
      <c r="F885" s="6" t="s">
        <v>1703</v>
      </c>
    </row>
    <row r="886" spans="1:6" ht="13.8">
      <c r="A886" s="1" t="str">
        <f t="array" aca="1" ref="A886" ca="1">IF(B886="", "", IFERROR(INDEX(声優一覧!A:A, MATCH(B886, 声優一覧!B:B, 0)), "該当なし"))</f>
        <v>va_197</v>
      </c>
      <c r="B886" s="1" t="str">
        <f ca="1">IFERROR(__xludf.DUMMYFUNCTION("""COMPUTED_VALUE"""),"吉野裕行")</f>
        <v>吉野裕行</v>
      </c>
      <c r="C886" s="1" t="s">
        <v>244</v>
      </c>
      <c r="D886" s="1" t="str">
        <f>IF(C886="", "", IFERROR(VLOOKUP(C886, 作品一覧!A:B, 2, FALSE), "該当なし"))</f>
        <v>文豪とアルケミスト</v>
      </c>
      <c r="E886" s="1" t="str">
        <f ca="1">IFERROR(__xludf.DUMMYFUNCTION("""COMPUTED_VALUE"""),"久米正雄")</f>
        <v>久米正雄</v>
      </c>
      <c r="F886" s="6" t="s">
        <v>1704</v>
      </c>
    </row>
    <row r="887" spans="1:6" ht="13.8">
      <c r="A887" s="1" t="str">
        <f t="array" aca="1" ref="A887" ca="1">IF(B887="", "", IFERROR(INDEX(声優一覧!A:A, MATCH(B887, 声優一覧!B:B, 0)), "該当なし"))</f>
        <v>va_193</v>
      </c>
      <c r="B887" s="1" t="str">
        <f ca="1">IFERROR(__xludf.DUMMYFUNCTION("""COMPUTED_VALUE"""),"山下大輝")</f>
        <v>山下大輝</v>
      </c>
      <c r="C887" s="1" t="s">
        <v>244</v>
      </c>
      <c r="D887" s="1" t="str">
        <f>IF(C887="", "", IFERROR(VLOOKUP(C887, 作品一覧!A:B, 2, FALSE), "該当なし"))</f>
        <v>文豪とアルケミスト</v>
      </c>
      <c r="E887" s="1" t="str">
        <f ca="1">IFERROR(__xludf.DUMMYFUNCTION("""COMPUTED_VALUE"""),"徳永直")</f>
        <v>徳永直</v>
      </c>
      <c r="F887" s="6" t="s">
        <v>1705</v>
      </c>
    </row>
    <row r="888" spans="1:6" ht="13.8">
      <c r="A888" s="1" t="str">
        <f t="array" aca="1" ref="A888" ca="1">IF(B888="", "", IFERROR(INDEX(声優一覧!A:A, MATCH(B888, 声優一覧!B:B, 0)), "該当なし"))</f>
        <v>va_002</v>
      </c>
      <c r="B888" s="1" t="str">
        <f ca="1">IFERROR(__xludf.DUMMYFUNCTION("""COMPUTED_VALUE"""),"赤羽根健治")</f>
        <v>赤羽根健治</v>
      </c>
      <c r="C888" s="1" t="s">
        <v>244</v>
      </c>
      <c r="D888" s="1" t="str">
        <f>IF(C888="", "", IFERROR(VLOOKUP(C888, 作品一覧!A:B, 2, FALSE), "該当なし"))</f>
        <v>文豪とアルケミスト</v>
      </c>
      <c r="E888" s="1" t="str">
        <f ca="1">IFERROR(__xludf.DUMMYFUNCTION("""COMPUTED_VALUE"""),"中野重治")</f>
        <v>中野重治</v>
      </c>
      <c r="F888" s="6" t="s">
        <v>1706</v>
      </c>
    </row>
    <row r="889" spans="1:6" ht="13.8">
      <c r="A889" s="1" t="str">
        <f t="array" aca="1" ref="A889" ca="1">IF(B889="", "", IFERROR(INDEX(声優一覧!A:A, MATCH(B889, 声優一覧!B:B, 0)), "該当なし"))</f>
        <v>va_218</v>
      </c>
      <c r="B889" s="1" t="str">
        <f ca="1">IFERROR(__xludf.DUMMYFUNCTION("""COMPUTED_VALUE"""),"林勇")</f>
        <v>林勇</v>
      </c>
      <c r="C889" s="1" t="s">
        <v>244</v>
      </c>
      <c r="D889" s="1" t="str">
        <f>IF(C889="", "", IFERROR(VLOOKUP(C889, 作品一覧!A:B, 2, FALSE), "該当なし"))</f>
        <v>文豪とアルケミスト</v>
      </c>
      <c r="E889" s="1" t="str">
        <f ca="1">IFERROR(__xludf.DUMMYFUNCTION("""COMPUTED_VALUE"""),"岩野泡鳴")</f>
        <v>岩野泡鳴</v>
      </c>
      <c r="F889" s="6" t="s">
        <v>1707</v>
      </c>
    </row>
    <row r="890" spans="1:6" ht="13.8">
      <c r="A890" s="1" t="str">
        <f t="array" aca="1" ref="A890" ca="1">IF(B890="", "", IFERROR(INDEX(声優一覧!A:A, MATCH(B890, 声優一覧!B:B, 0)), "該当なし"))</f>
        <v>va_125</v>
      </c>
      <c r="B890" s="1" t="str">
        <f ca="1">IFERROR(__xludf.DUMMYFUNCTION("""COMPUTED_VALUE"""),"寺島拓篤")</f>
        <v>寺島拓篤</v>
      </c>
      <c r="C890" s="1" t="s">
        <v>244</v>
      </c>
      <c r="D890" s="1" t="str">
        <f>IF(C890="", "", IFERROR(VLOOKUP(C890, 作品一覧!A:B, 2, FALSE), "該当なし"))</f>
        <v>文豪とアルケミスト</v>
      </c>
      <c r="E890" s="1" t="str">
        <f ca="1">IFERROR(__xludf.DUMMYFUNCTION("""COMPUTED_VALUE"""),"正宗白鳥")</f>
        <v>正宗白鳥</v>
      </c>
      <c r="F890" s="6" t="s">
        <v>1708</v>
      </c>
    </row>
    <row r="891" spans="1:6" ht="13.8">
      <c r="A891" s="1" t="str">
        <f t="array" aca="1" ref="A891" ca="1">IF(B891="", "", IFERROR(INDEX(声優一覧!A:A, MATCH(B891, 声優一覧!B:B, 0)), "該当なし"))</f>
        <v>va_161</v>
      </c>
      <c r="B891" s="1" t="str">
        <f ca="1">IFERROR(__xludf.DUMMYFUNCTION("""COMPUTED_VALUE"""),"古川慎")</f>
        <v>古川慎</v>
      </c>
      <c r="C891" s="1" t="s">
        <v>244</v>
      </c>
      <c r="D891" s="1" t="str">
        <f>IF(C891="", "", IFERROR(VLOOKUP(C891, 作品一覧!A:B, 2, FALSE), "該当なし"))</f>
        <v>文豪とアルケミスト</v>
      </c>
      <c r="E891" s="1" t="str">
        <f ca="1">IFERROR(__xludf.DUMMYFUNCTION("""COMPUTED_VALUE"""),"徳冨蘆花")</f>
        <v>徳冨蘆花</v>
      </c>
      <c r="F891" s="6" t="s">
        <v>1709</v>
      </c>
    </row>
    <row r="892" spans="1:6" ht="13.8">
      <c r="A892" s="1" t="str">
        <f t="array" aca="1" ref="A892" ca="1">IF(B892="", "", IFERROR(INDEX(声優一覧!A:A, MATCH(B892, 声優一覧!B:B, 0)), "該当なし"))</f>
        <v>va_081</v>
      </c>
      <c r="B892" s="1" t="str">
        <f ca="1">IFERROR(__xludf.DUMMYFUNCTION("""COMPUTED_VALUE"""),"近藤隆")</f>
        <v>近藤隆</v>
      </c>
      <c r="C892" s="1" t="s">
        <v>244</v>
      </c>
      <c r="D892" s="1" t="str">
        <f>IF(C892="", "", IFERROR(VLOOKUP(C892, 作品一覧!A:B, 2, FALSE), "該当なし"))</f>
        <v>文豪とアルケミスト</v>
      </c>
      <c r="E892" s="1" t="str">
        <f ca="1">IFERROR(__xludf.DUMMYFUNCTION("""COMPUTED_VALUE"""),"直木三十五")</f>
        <v>直木三十五</v>
      </c>
      <c r="F892" s="6" t="s">
        <v>1710</v>
      </c>
    </row>
    <row r="893" spans="1:6" ht="13.8">
      <c r="A893" s="1" t="str">
        <f t="array" aca="1" ref="A893" ca="1">IF(B893="", "", IFERROR(INDEX(声優一覧!A:A, MATCH(B893, 声優一覧!B:B, 0)), "該当なし"))</f>
        <v>va_138</v>
      </c>
      <c r="B893" s="1" t="str">
        <f ca="1">IFERROR(__xludf.DUMMYFUNCTION("""COMPUTED_VALUE"""),"浪川大輔")</f>
        <v>浪川大輔</v>
      </c>
      <c r="C893" s="1" t="s">
        <v>244</v>
      </c>
      <c r="D893" s="1" t="str">
        <f>IF(C893="", "", IFERROR(VLOOKUP(C893, 作品一覧!A:B, 2, FALSE), "該当なし"))</f>
        <v>文豪とアルケミスト</v>
      </c>
      <c r="E893" s="1" t="str">
        <f ca="1">IFERROR(__xludf.DUMMYFUNCTION("""COMPUTED_VALUE"""),"夢野久作")</f>
        <v>夢野久作</v>
      </c>
      <c r="F893" s="6" t="s">
        <v>1711</v>
      </c>
    </row>
    <row r="894" spans="1:6" ht="13.8">
      <c r="A894" s="1" t="str">
        <f t="array" aca="1" ref="A894" ca="1">IF(B894="", "", IFERROR(INDEX(声優一覧!A:A, MATCH(B894, 声優一覧!B:B, 0)), "該当なし"))</f>
        <v>va_120</v>
      </c>
      <c r="B894" s="1" t="str">
        <f ca="1">IFERROR(__xludf.DUMMYFUNCTION("""COMPUTED_VALUE"""),"津田健次郎")</f>
        <v>津田健次郎</v>
      </c>
      <c r="C894" s="1" t="s">
        <v>244</v>
      </c>
      <c r="D894" s="1" t="str">
        <f>IF(C894="", "", IFERROR(VLOOKUP(C894, 作品一覧!A:B, 2, FALSE), "該当なし"))</f>
        <v>文豪とアルケミスト</v>
      </c>
      <c r="E894" s="1" t="str">
        <f ca="1">IFERROR(__xludf.DUMMYFUNCTION("""COMPUTED_VALUE"""),"中里介山")</f>
        <v>中里介山</v>
      </c>
      <c r="F894" s="6" t="s">
        <v>1712</v>
      </c>
    </row>
    <row r="895" spans="1:6" ht="13.8">
      <c r="A895" s="1" t="str">
        <f t="array" aca="1" ref="A895" ca="1">IF(B895="", "", IFERROR(INDEX(声優一覧!A:A, MATCH(B895, 声優一覧!B:B, 0)), "該当なし"))</f>
        <v>va_176</v>
      </c>
      <c r="B895" s="1" t="str">
        <f ca="1">IFERROR(__xludf.DUMMYFUNCTION("""COMPUTED_VALUE"""),"三木眞一郎")</f>
        <v>三木眞一郎</v>
      </c>
      <c r="C895" s="1" t="s">
        <v>244</v>
      </c>
      <c r="D895" s="1" t="str">
        <f>IF(C895="", "", IFERROR(VLOOKUP(C895, 作品一覧!A:B, 2, FALSE), "該当なし"))</f>
        <v>文豪とアルケミスト</v>
      </c>
      <c r="E895" s="1" t="str">
        <f ca="1">IFERROR(__xludf.DUMMYFUNCTION("""COMPUTED_VALUE"""),"菊池寛")</f>
        <v>菊池寛</v>
      </c>
      <c r="F895" s="6" t="s">
        <v>1713</v>
      </c>
    </row>
    <row r="896" spans="1:6" ht="13.8">
      <c r="A896" s="1" t="str">
        <f t="array" aca="1" ref="A896" ca="1">IF(B896="", "", IFERROR(INDEX(声優一覧!A:A, MATCH(B896, 声優一覧!B:B, 0)), "該当なし"))</f>
        <v>va_012</v>
      </c>
      <c r="B896" s="1" t="str">
        <f ca="1">IFERROR(__xludf.DUMMYFUNCTION("""COMPUTED_VALUE"""),"井口祐一")</f>
        <v>井口祐一</v>
      </c>
      <c r="C896" s="1" t="s">
        <v>244</v>
      </c>
      <c r="D896" s="1" t="str">
        <f>IF(C896="", "", IFERROR(VLOOKUP(C896, 作品一覧!A:B, 2, FALSE), "該当なし"))</f>
        <v>文豪とアルケミスト</v>
      </c>
      <c r="E896" s="1" t="str">
        <f ca="1">IFERROR(__xludf.DUMMYFUNCTION("""COMPUTED_VALUE"""),"伊藤左千夫")</f>
        <v>伊藤左千夫</v>
      </c>
      <c r="F896" s="6" t="s">
        <v>1714</v>
      </c>
    </row>
    <row r="897" spans="1:6" ht="13.8">
      <c r="A897" s="1" t="str">
        <f t="array" aca="1" ref="A897" ca="1">IF(B897="", "", IFERROR(INDEX(声優一覧!A:A, MATCH(B897, 声優一覧!B:B, 0)), "該当なし"))</f>
        <v>va_053</v>
      </c>
      <c r="B897" s="1" t="str">
        <f ca="1">IFERROR(__xludf.DUMMYFUNCTION("""COMPUTED_VALUE"""),"梶原岳人")</f>
        <v>梶原岳人</v>
      </c>
      <c r="C897" s="1" t="s">
        <v>244</v>
      </c>
      <c r="D897" s="1" t="str">
        <f>IF(C897="", "", IFERROR(VLOOKUP(C897, 作品一覧!A:B, 2, FALSE), "該当なし"))</f>
        <v>文豪とアルケミスト</v>
      </c>
      <c r="E897" s="1" t="str">
        <f ca="1">IFERROR(__xludf.DUMMYFUNCTION("""COMPUTED_VALUE"""),"三木露風")</f>
        <v>三木露風</v>
      </c>
      <c r="F897" s="6" t="s">
        <v>1715</v>
      </c>
    </row>
    <row r="898" spans="1:6" ht="13.8">
      <c r="A898" s="1" t="str">
        <f t="array" aca="1" ref="A898" ca="1">IF(B898="", "", IFERROR(INDEX(声優一覧!A:A, MATCH(B898, 声優一覧!B:B, 0)), "該当なし"))</f>
        <v>va_124</v>
      </c>
      <c r="B898" s="1" t="str">
        <f ca="1">IFERROR(__xludf.DUMMYFUNCTION("""COMPUTED_VALUE"""),"寺島惇太")</f>
        <v>寺島惇太</v>
      </c>
      <c r="C898" s="1" t="s">
        <v>244</v>
      </c>
      <c r="D898" s="1" t="str">
        <f>IF(C898="", "", IFERROR(VLOOKUP(C898, 作品一覧!A:B, 2, FALSE), "該当なし"))</f>
        <v>文豪とアルケミスト</v>
      </c>
      <c r="E898" s="1" t="str">
        <f ca="1">IFERROR(__xludf.DUMMYFUNCTION("""COMPUTED_VALUE"""),"三好達治")</f>
        <v>三好達治</v>
      </c>
      <c r="F898" s="6" t="s">
        <v>1716</v>
      </c>
    </row>
    <row r="899" spans="1:6" ht="13.8">
      <c r="A899" s="1" t="str">
        <f t="array" aca="1" ref="A899" ca="1">IF(B899="", "", IFERROR(INDEX(声優一覧!A:A, MATCH(B899, 声優一覧!B:B, 0)), "該当なし"))</f>
        <v>va_183</v>
      </c>
      <c r="B899" s="1" t="str">
        <f ca="1">IFERROR(__xludf.DUMMYFUNCTION("""COMPUTED_VALUE"""),"村瀬歩")</f>
        <v>村瀬歩</v>
      </c>
      <c r="C899" s="1" t="s">
        <v>244</v>
      </c>
      <c r="D899" s="1" t="str">
        <f>IF(C899="", "", IFERROR(VLOOKUP(C899, 作品一覧!A:B, 2, FALSE), "該当なし"))</f>
        <v>文豪とアルケミスト</v>
      </c>
      <c r="E899" s="1" t="str">
        <f ca="1">IFERROR(__xludf.DUMMYFUNCTION("""COMPUTED_VALUE"""),"新美南吉")</f>
        <v>新美南吉</v>
      </c>
      <c r="F899" s="6" t="s">
        <v>1717</v>
      </c>
    </row>
    <row r="900" spans="1:6" ht="13.8">
      <c r="A900" s="1" t="str">
        <f t="array" aca="1" ref="A900" ca="1">IF(B900="", "", IFERROR(INDEX(声優一覧!A:A, MATCH(B900, 声優一覧!B:B, 0)), "該当なし"))</f>
        <v>va_195</v>
      </c>
      <c r="B900" s="1" t="str">
        <f ca="1">IFERROR(__xludf.DUMMYFUNCTION("""COMPUTED_VALUE"""),"山本和臣")</f>
        <v>山本和臣</v>
      </c>
      <c r="C900" s="1" t="s">
        <v>244</v>
      </c>
      <c r="D900" s="1" t="str">
        <f>IF(C900="", "", IFERROR(VLOOKUP(C900, 作品一覧!A:B, 2, FALSE), "該当なし"))</f>
        <v>文豪とアルケミスト</v>
      </c>
      <c r="E900" s="1" t="str">
        <f ca="1">IFERROR(__xludf.DUMMYFUNCTION("""COMPUTED_VALUE"""),"小川未明")</f>
        <v>小川未明</v>
      </c>
      <c r="F900" s="6" t="s">
        <v>1718</v>
      </c>
    </row>
    <row r="901" spans="1:6" ht="13.8">
      <c r="A901" s="1" t="str">
        <f t="array" aca="1" ref="A901" ca="1">IF(B901="", "", IFERROR(INDEX(声優一覧!A:A, MATCH(B901, 声優一覧!B:B, 0)), "該当なし"))</f>
        <v>va_090</v>
      </c>
      <c r="B901" s="1" t="str">
        <f ca="1">IFERROR(__xludf.DUMMYFUNCTION("""COMPUTED_VALUE"""),"佐藤拓也")</f>
        <v>佐藤拓也</v>
      </c>
      <c r="C901" s="1" t="s">
        <v>244</v>
      </c>
      <c r="D901" s="1" t="str">
        <f>IF(C901="", "", IFERROR(VLOOKUP(C901, 作品一覧!A:B, 2, FALSE), "該当なし"))</f>
        <v>文豪とアルケミスト</v>
      </c>
      <c r="E901" s="1" t="str">
        <f ca="1">IFERROR(__xludf.DUMMYFUNCTION("""COMPUTED_VALUE"""),"吉井勇")</f>
        <v>吉井勇</v>
      </c>
      <c r="F901" s="6" t="s">
        <v>1719</v>
      </c>
    </row>
    <row r="902" spans="1:6" ht="13.8">
      <c r="A902" s="1" t="str">
        <f t="array" aca="1" ref="A902" ca="1">IF(B902="", "", IFERROR(INDEX(声優一覧!A:A, MATCH(B902, 声優一覧!B:B, 0)), "該当なし"))</f>
        <v>va_006</v>
      </c>
      <c r="B902" s="1" t="str">
        <f ca="1">IFERROR(__xludf.DUMMYFUNCTION("""COMPUTED_VALUE"""),"阿部敦")</f>
        <v>阿部敦</v>
      </c>
      <c r="C902" s="1" t="s">
        <v>244</v>
      </c>
      <c r="D902" s="1" t="str">
        <f>IF(C902="", "", IFERROR(VLOOKUP(C902, 作品一覧!A:B, 2, FALSE), "該当なし"))</f>
        <v>文豪とアルケミスト</v>
      </c>
      <c r="E902" s="1" t="str">
        <f ca="1">IFERROR(__xludf.DUMMYFUNCTION("""COMPUTED_VALUE"""),"種田山頭火")</f>
        <v>種田山頭火</v>
      </c>
      <c r="F902" s="6" t="s">
        <v>1720</v>
      </c>
    </row>
    <row r="903" spans="1:6" ht="13.8">
      <c r="A903" s="1" t="str">
        <f t="array" aca="1" ref="A903" ca="1">IF(B903="", "", IFERROR(INDEX(声優一覧!A:A, MATCH(B903, 声優一覧!B:B, 0)), "該当なし"))</f>
        <v>va_101</v>
      </c>
      <c r="B903" s="1" t="str">
        <f ca="1">IFERROR(__xludf.DUMMYFUNCTION("""COMPUTED_VALUE"""),"鈴木崚汰")</f>
        <v>鈴木崚汰</v>
      </c>
      <c r="C903" s="1" t="s">
        <v>244</v>
      </c>
      <c r="D903" s="1" t="str">
        <f>IF(C903="", "", IFERROR(VLOOKUP(C903, 作品一覧!A:B, 2, FALSE), "該当なし"))</f>
        <v>文豪とアルケミスト</v>
      </c>
      <c r="E903" s="1" t="str">
        <f ca="1">IFERROR(__xludf.DUMMYFUNCTION("""COMPUTED_VALUE"""),"尾崎放哉")</f>
        <v>尾崎放哉</v>
      </c>
      <c r="F903" s="6" t="s">
        <v>1721</v>
      </c>
    </row>
    <row r="904" spans="1:6" ht="13.8">
      <c r="A904" s="1" t="str">
        <f t="array" aca="1" ref="A904" ca="1">IF(B904="", "", IFERROR(INDEX(声優一覧!A:A, MATCH(B904, 声優一覧!B:B, 0)), "該当なし"))</f>
        <v>va_075</v>
      </c>
      <c r="B904" s="1" t="str">
        <f ca="1">IFERROR(__xludf.DUMMYFUNCTION("""COMPUTED_VALUE"""),"小林裕介")</f>
        <v>小林裕介</v>
      </c>
      <c r="C904" s="1" t="s">
        <v>244</v>
      </c>
      <c r="D904" s="1" t="str">
        <f>IF(C904="", "", IFERROR(VLOOKUP(C904, 作品一覧!A:B, 2, FALSE), "該当なし"))</f>
        <v>文豪とアルケミスト</v>
      </c>
      <c r="E904" s="1" t="str">
        <f ca="1">IFERROR(__xludf.DUMMYFUNCTION("""COMPUTED_VALUE"""),"山田美妙")</f>
        <v>山田美妙</v>
      </c>
      <c r="F904" s="6" t="s">
        <v>1722</v>
      </c>
    </row>
    <row r="905" spans="1:6" ht="13.8">
      <c r="A905" s="1" t="str">
        <f t="array" aca="1" ref="A905" ca="1">IF(B905="", "", IFERROR(INDEX(声優一覧!A:A, MATCH(B905, 声優一覧!B:B, 0)), "該当なし"))</f>
        <v>va_199</v>
      </c>
      <c r="B905" s="1" t="str">
        <f ca="1">IFERROR(__xludf.DUMMYFUNCTION("""COMPUTED_VALUE"""),"米内佑希")</f>
        <v>米内佑希</v>
      </c>
      <c r="C905" s="1" t="s">
        <v>244</v>
      </c>
      <c r="D905" s="1" t="str">
        <f>IF(C905="", "", IFERROR(VLOOKUP(C905, 作品一覧!A:B, 2, FALSE), "該当なし"))</f>
        <v>文豪とアルケミスト</v>
      </c>
      <c r="E905" s="1" t="str">
        <f ca="1">IFERROR(__xludf.DUMMYFUNCTION("""COMPUTED_VALUE"""),"鈴木三重吉")</f>
        <v>鈴木三重吉</v>
      </c>
      <c r="F905" s="6" t="s">
        <v>1723</v>
      </c>
    </row>
    <row r="906" spans="1:6" ht="13.8">
      <c r="A906" s="1" t="str">
        <f t="array" aca="1" ref="A906" ca="1">IF(B906="", "", IFERROR(INDEX(声優一覧!A:A, MATCH(B906, 声優一覧!B:B, 0)), "該当なし"))</f>
        <v>va_188</v>
      </c>
      <c r="B906" s="1" t="str">
        <f ca="1">IFERROR(__xludf.DUMMYFUNCTION("""COMPUTED_VALUE"""),"八代拓")</f>
        <v>八代拓</v>
      </c>
      <c r="C906" s="1" t="s">
        <v>244</v>
      </c>
      <c r="D906" s="1" t="str">
        <f>IF(C906="", "", IFERROR(VLOOKUP(C906, 作品一覧!A:B, 2, FALSE), "該当なし"))</f>
        <v>文豪とアルケミスト</v>
      </c>
      <c r="E906" s="1" t="str">
        <f ca="1">IFERROR(__xludf.DUMMYFUNCTION("""COMPUTED_VALUE"""),"内田百閒")</f>
        <v>内田百閒</v>
      </c>
      <c r="F906" s="6" t="s">
        <v>1724</v>
      </c>
    </row>
    <row r="907" spans="1:6" ht="13.8">
      <c r="A907" s="1" t="str">
        <f t="array" aca="1" ref="A907" ca="1">IF(B907="", "", IFERROR(INDEX(声優一覧!A:A, MATCH(B907, 声優一覧!B:B, 0)), "該当なし"))</f>
        <v>va_304</v>
      </c>
      <c r="B907" s="1" t="str">
        <f ca="1">IFERROR(__xludf.DUMMYFUNCTION("""COMPUTED_VALUE"""),"櫻井孝宏")</f>
        <v>櫻井孝宏</v>
      </c>
      <c r="C907" s="1" t="s">
        <v>244</v>
      </c>
      <c r="D907" s="1" t="str">
        <f>IF(C907="", "", IFERROR(VLOOKUP(C907, 作品一覧!A:B, 2, FALSE), "該当なし"))</f>
        <v>文豪とアルケミスト</v>
      </c>
      <c r="E907" s="1" t="str">
        <f ca="1">IFERROR(__xludf.DUMMYFUNCTION("""COMPUTED_VALUE"""),"斎藤茂吉")</f>
        <v>斎藤茂吉</v>
      </c>
      <c r="F907" s="6" t="s">
        <v>1725</v>
      </c>
    </row>
    <row r="908" spans="1:6" ht="13.8">
      <c r="A908" s="1" t="str">
        <f t="array" aca="1" ref="A908" ca="1">IF(B908="", "", IFERROR(INDEX(声優一覧!A:A, MATCH(B908, 声優一覧!B:B, 0)), "該当なし"))</f>
        <v>va_141</v>
      </c>
      <c r="B908" s="1" t="str">
        <f ca="1">IFERROR(__xludf.DUMMYFUNCTION("""COMPUTED_VALUE"""),"西山宏太朗")</f>
        <v>西山宏太朗</v>
      </c>
      <c r="C908" s="1" t="s">
        <v>244</v>
      </c>
      <c r="D908" s="1" t="str">
        <f>IF(C908="", "", IFERROR(VLOOKUP(C908, 作品一覧!A:B, 2, FALSE), "該当なし"))</f>
        <v>文豪とアルケミスト</v>
      </c>
      <c r="E908" s="1" t="str">
        <f ca="1">IFERROR(__xludf.DUMMYFUNCTION("""COMPUTED_VALUE"""),"草野心平")</f>
        <v>草野心平</v>
      </c>
      <c r="F908" s="6" t="s">
        <v>1726</v>
      </c>
    </row>
    <row r="909" spans="1:6" ht="13.8">
      <c r="A909" s="1" t="str">
        <f t="array" aca="1" ref="A909" ca="1">IF(B909="", "", IFERROR(INDEX(声優一覧!A:A, MATCH(B909, 声優一覧!B:B, 0)), "該当なし"))</f>
        <v>va_265</v>
      </c>
      <c r="B909" s="1" t="str">
        <f ca="1">IFERROR(__xludf.DUMMYFUNCTION("""COMPUTED_VALUE"""),"石田彰")</f>
        <v>石田彰</v>
      </c>
      <c r="C909" s="1" t="s">
        <v>244</v>
      </c>
      <c r="D909" s="1" t="str">
        <f>IF(C909="", "", IFERROR(VLOOKUP(C909, 作品一覧!A:B, 2, FALSE), "該当なし"))</f>
        <v>文豪とアルケミスト</v>
      </c>
      <c r="E909" s="1" t="str">
        <f ca="1">IFERROR(__xludf.DUMMYFUNCTION("""COMPUTED_VALUE"""),"里見弴")</f>
        <v>里見弴</v>
      </c>
      <c r="F909" s="6" t="s">
        <v>1727</v>
      </c>
    </row>
    <row r="910" spans="1:6" ht="13.8">
      <c r="A910" s="1" t="str">
        <f t="array" aca="1" ref="A910" ca="1">IF(B910="", "", IFERROR(INDEX(声優一覧!A:A, MATCH(B910, 声優一覧!B:B, 0)), "該当なし"))</f>
        <v>va_044</v>
      </c>
      <c r="B910" s="1" t="str">
        <f ca="1">IFERROR(__xludf.DUMMYFUNCTION("""COMPUTED_VALUE"""),"興津和幸")</f>
        <v>興津和幸</v>
      </c>
      <c r="C910" s="1" t="s">
        <v>244</v>
      </c>
      <c r="D910" s="1" t="str">
        <f>IF(C910="", "", IFERROR(VLOOKUP(C910, 作品一覧!A:B, 2, FALSE), "該当なし"))</f>
        <v>文豪とアルケミスト</v>
      </c>
      <c r="E910" s="1" t="str">
        <f ca="1">IFERROR(__xludf.DUMMYFUNCTION("""COMPUTED_VALUE"""),"折口信夫")</f>
        <v>折口信夫</v>
      </c>
      <c r="F910" s="6" t="s">
        <v>1728</v>
      </c>
    </row>
    <row r="911" spans="1:6" ht="13.8">
      <c r="A911" s="1" t="str">
        <f t="array" aca="1" ref="A911" ca="1">IF(B911="", "", IFERROR(INDEX(声優一覧!A:A, MATCH(B911, 声優一覧!B:B, 0)), "該当なし"))</f>
        <v>va_238</v>
      </c>
      <c r="B911" s="1" t="str">
        <f ca="1">IFERROR(__xludf.DUMMYFUNCTION("""COMPUTED_VALUE"""),"小野大輔")</f>
        <v>小野大輔</v>
      </c>
      <c r="C911" s="1" t="s">
        <v>244</v>
      </c>
      <c r="D911" s="1" t="str">
        <f>IF(C911="", "", IFERROR(VLOOKUP(C911, 作品一覧!A:B, 2, FALSE), "該当なし"))</f>
        <v>文豪とアルケミスト</v>
      </c>
      <c r="E911" s="1" t="str">
        <f ca="1">IFERROR(__xludf.DUMMYFUNCTION("""COMPUTED_VALUE"""),"柳田國男")</f>
        <v>柳田國男</v>
      </c>
      <c r="F911" s="6" t="s">
        <v>1729</v>
      </c>
    </row>
    <row r="912" spans="1:6" ht="13.8">
      <c r="A912" s="1" t="str">
        <f t="array" aca="1" ref="A912" ca="1">IF(B912="", "", IFERROR(INDEX(声優一覧!A:A, MATCH(B912, 声優一覧!B:B, 0)), "該当なし"))</f>
        <v>va_096</v>
      </c>
      <c r="B912" s="1" t="str">
        <f ca="1">IFERROR(__xludf.DUMMYFUNCTION("""COMPUTED_VALUE"""),"白井悠介")</f>
        <v>白井悠介</v>
      </c>
      <c r="C912" s="1" t="s">
        <v>244</v>
      </c>
      <c r="D912" s="1" t="str">
        <f>IF(C912="", "", IFERROR(VLOOKUP(C912, 作品一覧!A:B, 2, FALSE), "該当なし"))</f>
        <v>文豪とアルケミスト</v>
      </c>
      <c r="E912" s="1" t="str">
        <f ca="1">IFERROR(__xludf.DUMMYFUNCTION("""COMPUTED_VALUE"""),"島田清次郎")</f>
        <v>島田清次郎</v>
      </c>
      <c r="F912" s="6" t="s">
        <v>1730</v>
      </c>
    </row>
    <row r="913" spans="1:6" ht="13.8">
      <c r="A913" s="1" t="str">
        <f t="array" aca="1" ref="A913" ca="1">IF(B913="", "", IFERROR(INDEX(声優一覧!A:A, MATCH(B913, 声優一覧!B:B, 0)), "該当なし"))</f>
        <v>va_046</v>
      </c>
      <c r="B913" s="1" t="str">
        <f ca="1">IFERROR(__xludf.DUMMYFUNCTION("""COMPUTED_VALUE"""),"小野友樹")</f>
        <v>小野友樹</v>
      </c>
      <c r="C913" s="1" t="s">
        <v>244</v>
      </c>
      <c r="D913" s="1" t="str">
        <f>IF(C913="", "", IFERROR(VLOOKUP(C913, 作品一覧!A:B, 2, FALSE), "該当なし"))</f>
        <v>文豪とアルケミスト</v>
      </c>
      <c r="E913" s="1" t="str">
        <f ca="1">IFERROR(__xludf.DUMMYFUNCTION("""COMPUTED_VALUE"""),"檀一雄")</f>
        <v>檀一雄</v>
      </c>
      <c r="F913" s="6" t="s">
        <v>1731</v>
      </c>
    </row>
    <row r="914" spans="1:6" ht="13.8">
      <c r="A914" s="1" t="str">
        <f t="array" aca="1" ref="A914" ca="1">IF(B914="", "", IFERROR(INDEX(声優一覧!A:A, MATCH(B914, 声優一覧!B:B, 0)), "該当なし"))</f>
        <v>va_237</v>
      </c>
      <c r="B914" s="1" t="str">
        <f ca="1">IFERROR(__xludf.DUMMYFUNCTION("""COMPUTED_VALUE"""),"鈴木達央")</f>
        <v>鈴木達央</v>
      </c>
      <c r="C914" s="1" t="s">
        <v>244</v>
      </c>
      <c r="D914" s="1" t="str">
        <f>IF(C914="", "", IFERROR(VLOOKUP(C914, 作品一覧!A:B, 2, FALSE), "該当なし"))</f>
        <v>文豪とアルケミスト</v>
      </c>
      <c r="E914" s="1" t="str">
        <f ca="1">IFERROR(__xludf.DUMMYFUNCTION("""COMPUTED_VALUE"""),"高浜虚子")</f>
        <v>高浜虚子</v>
      </c>
      <c r="F914" s="6" t="s">
        <v>1732</v>
      </c>
    </row>
    <row r="915" spans="1:6" ht="13.8">
      <c r="A915" s="1" t="str">
        <f t="array" aca="1" ref="A915" ca="1">IF(B915="", "", IFERROR(INDEX(声優一覧!A:A, MATCH(B915, 声優一覧!B:B, 0)), "該当なし"))</f>
        <v>va_094</v>
      </c>
      <c r="B915" s="1" t="str">
        <f ca="1">IFERROR(__xludf.DUMMYFUNCTION("""COMPUTED_VALUE"""),"島﨑信長")</f>
        <v>島﨑信長</v>
      </c>
      <c r="C915" s="1" t="s">
        <v>244</v>
      </c>
      <c r="D915" s="1" t="str">
        <f>IF(C915="", "", IFERROR(VLOOKUP(C915, 作品一覧!A:B, 2, FALSE), "該当なし"))</f>
        <v>文豪とアルケミスト</v>
      </c>
      <c r="E915" s="1" t="str">
        <f ca="1">IFERROR(__xludf.DUMMYFUNCTION("""COMPUTED_VALUE"""),"河東碧梧桐")</f>
        <v>河東碧梧桐</v>
      </c>
      <c r="F915" s="6" t="s">
        <v>1733</v>
      </c>
    </row>
    <row r="916" spans="1:6" ht="13.8">
      <c r="A916" s="1" t="str">
        <f t="array" aca="1" ref="A916" ca="1">IF(B916="", "", IFERROR(INDEX(声優一覧!A:A, MATCH(B916, 声優一覧!B:B, 0)), "該当なし"))</f>
        <v>va_007</v>
      </c>
      <c r="B916" s="1" t="str">
        <f ca="1">IFERROR(__xludf.DUMMYFUNCTION("""COMPUTED_VALUE"""),"天﨑滉平")</f>
        <v>天﨑滉平</v>
      </c>
      <c r="C916" s="1" t="s">
        <v>244</v>
      </c>
      <c r="D916" s="1" t="str">
        <f>IF(C916="", "", IFERROR(VLOOKUP(C916, 作品一覧!A:B, 2, FALSE), "該当なし"))</f>
        <v>文豪とアルケミスト</v>
      </c>
      <c r="E916" s="1" t="str">
        <f ca="1">IFERROR(__xludf.DUMMYFUNCTION("""COMPUTED_VALUE"""),"北村透谷")</f>
        <v>北村透谷</v>
      </c>
      <c r="F916" s="6" t="s">
        <v>1734</v>
      </c>
    </row>
    <row r="917" spans="1:6" ht="13.8">
      <c r="A917" s="1" t="str">
        <f t="array" aca="1" ref="A917" ca="1">IF(B917="", "", IFERROR(INDEX(声優一覧!A:A, MATCH(B917, 声優一覧!B:B, 0)), "該当なし"))</f>
        <v>va_204</v>
      </c>
      <c r="B917" s="1" t="str">
        <f ca="1">IFERROR(__xludf.DUMMYFUNCTION("""COMPUTED_VALUE"""),"渡辺拓海")</f>
        <v>渡辺拓海</v>
      </c>
      <c r="C917" s="1" t="s">
        <v>244</v>
      </c>
      <c r="D917" s="1" t="str">
        <f>IF(C917="", "", IFERROR(VLOOKUP(C917, 作品一覧!A:B, 2, FALSE), "該当なし"))</f>
        <v>文豪とアルケミスト</v>
      </c>
      <c r="E917" s="1" t="str">
        <f ca="1">IFERROR(__xludf.DUMMYFUNCTION("""COMPUTED_VALUE"""),"徳田秋声")</f>
        <v>徳田秋声</v>
      </c>
      <c r="F917" s="6" t="s">
        <v>1735</v>
      </c>
    </row>
    <row r="918" spans="1:6" ht="13.8">
      <c r="A918" s="1" t="str">
        <f t="array" aca="1" ref="A918" ca="1">IF(B918="", "", IFERROR(INDEX(声優一覧!A:A, MATCH(B918, 声優一覧!B:B, 0)), "該当なし"))</f>
        <v>va_095</v>
      </c>
      <c r="B918" s="1" t="str">
        <f ca="1">IFERROR(__xludf.DUMMYFUNCTION("""COMPUTED_VALUE"""),"下野紘")</f>
        <v>下野紘</v>
      </c>
      <c r="C918" s="1" t="s">
        <v>244</v>
      </c>
      <c r="D918" s="1" t="str">
        <f>IF(C918="", "", IFERROR(VLOOKUP(C918, 作品一覧!A:B, 2, FALSE), "該当なし"))</f>
        <v>文豪とアルケミスト</v>
      </c>
      <c r="E918" s="1" t="str">
        <f ca="1">IFERROR(__xludf.DUMMYFUNCTION("""COMPUTED_VALUE"""),"トルストイ")</f>
        <v>トルストイ</v>
      </c>
      <c r="F918" s="6" t="s">
        <v>1736</v>
      </c>
    </row>
    <row r="919" spans="1:6" ht="13.8">
      <c r="A919" s="1" t="str">
        <f t="array" aca="1" ref="A919" ca="1">IF(B919="", "", IFERROR(INDEX(声優一覧!A:A, MATCH(B919, 声優一覧!B:B, 0)), "該当なし"))</f>
        <v>va_186</v>
      </c>
      <c r="B919" s="1" t="str">
        <f ca="1">IFERROR(__xludf.DUMMYFUNCTION("""COMPUTED_VALUE"""),"森川智之")</f>
        <v>森川智之</v>
      </c>
      <c r="C919" s="1" t="s">
        <v>244</v>
      </c>
      <c r="D919" s="1" t="str">
        <f>IF(C919="", "", IFERROR(VLOOKUP(C919, 作品一覧!A:B, 2, FALSE), "該当なし"))</f>
        <v>文豪とアルケミスト</v>
      </c>
      <c r="E919" s="1" t="str">
        <f ca="1">IFERROR(__xludf.DUMMYFUNCTION("""COMPUTED_VALUE"""),"ドストエフスキー")</f>
        <v>ドストエフスキー</v>
      </c>
      <c r="F919" s="6" t="s">
        <v>1737</v>
      </c>
    </row>
    <row r="920" spans="1:6" ht="13.8">
      <c r="A920" s="1" t="str">
        <f t="array" aca="1" ref="A920" ca="1">IF(B920="", "", IFERROR(INDEX(声優一覧!A:A, MATCH(B920, 声優一覧!B:B, 0)), "該当なし"))</f>
        <v>va_021</v>
      </c>
      <c r="B920" s="1" t="str">
        <f ca="1">IFERROR(__xludf.DUMMYFUNCTION("""COMPUTED_VALUE"""),"井上和彦")</f>
        <v>井上和彦</v>
      </c>
      <c r="C920" s="1" t="s">
        <v>244</v>
      </c>
      <c r="D920" s="1" t="str">
        <f>IF(C920="", "", IFERROR(VLOOKUP(C920, 作品一覧!A:B, 2, FALSE), "該当なし"))</f>
        <v>文豪とアルケミスト</v>
      </c>
      <c r="E920" s="1" t="str">
        <f ca="1">IFERROR(__xludf.DUMMYFUNCTION("""COMPUTED_VALUE"""),"ゲーテ")</f>
        <v>ゲーテ</v>
      </c>
      <c r="F920" s="6" t="s">
        <v>1738</v>
      </c>
    </row>
    <row r="921" spans="1:6" ht="13.8">
      <c r="A921" s="1" t="str">
        <f t="array" aca="1" ref="A921" ca="1">IF(B921="", "", IFERROR(INDEX(声優一覧!A:A, MATCH(B921, 声優一覧!B:B, 0)), "該当なし"))</f>
        <v>va_066</v>
      </c>
      <c r="B921" s="1" t="str">
        <f ca="1">IFERROR(__xludf.DUMMYFUNCTION("""COMPUTED_VALUE"""),"木村良平")</f>
        <v>木村良平</v>
      </c>
      <c r="C921" s="1" t="s">
        <v>244</v>
      </c>
      <c r="D921" s="1" t="str">
        <f>IF(C921="", "", IFERROR(VLOOKUP(C921, 作品一覧!A:B, 2, FALSE), "該当なし"))</f>
        <v>文豪とアルケミスト</v>
      </c>
      <c r="E921" s="1" t="str">
        <f ca="1">IFERROR(__xludf.DUMMYFUNCTION("""COMPUTED_VALUE"""),"ボードレール")</f>
        <v>ボードレール</v>
      </c>
      <c r="F921" s="6" t="s">
        <v>1739</v>
      </c>
    </row>
    <row r="922" spans="1:6" ht="13.8">
      <c r="A922" s="1" t="str">
        <f t="array" aca="1" ref="A922" ca="1">IF(B922="", "", IFERROR(INDEX(声優一覧!A:A, MATCH(B922, 声優一覧!B:B, 0)), "該当なし"))</f>
        <v>va_072</v>
      </c>
      <c r="B922" s="1" t="str">
        <f ca="1">IFERROR(__xludf.DUMMYFUNCTION("""COMPUTED_VALUE"""),"小林千晃")</f>
        <v>小林千晃</v>
      </c>
      <c r="C922" s="1" t="s">
        <v>244</v>
      </c>
      <c r="D922" s="1" t="str">
        <f>IF(C922="", "", IFERROR(VLOOKUP(C922, 作品一覧!A:B, 2, FALSE), "該当なし"))</f>
        <v>文豪とアルケミスト</v>
      </c>
      <c r="E922" s="1" t="str">
        <f ca="1">IFERROR(__xludf.DUMMYFUNCTION("""COMPUTED_VALUE"""),"ランボー")</f>
        <v>ランボー</v>
      </c>
      <c r="F922" s="6" t="s">
        <v>1740</v>
      </c>
    </row>
    <row r="923" spans="1:6" ht="13.8">
      <c r="A923" s="1" t="str">
        <f t="array" aca="1" ref="A923" ca="1">IF(B923="", "", IFERROR(INDEX(声優一覧!A:A, MATCH(B923, 声優一覧!B:B, 0)), "該当なし"))</f>
        <v>va_206</v>
      </c>
      <c r="B923" s="1" t="str">
        <f ca="1">IFERROR(__xludf.DUMMYFUNCTION("""COMPUTED_VALUE"""),"黒田崇矢")</f>
        <v>黒田崇矢</v>
      </c>
      <c r="C923" s="1" t="s">
        <v>244</v>
      </c>
      <c r="D923" s="1" t="str">
        <f>IF(C923="", "", IFERROR(VLOOKUP(C923, 作品一覧!A:B, 2, FALSE), "該当なし"))</f>
        <v>文豪とアルケミスト</v>
      </c>
      <c r="E923" s="1" t="str">
        <f ca="1">IFERROR(__xludf.DUMMYFUNCTION("""COMPUTED_VALUE"""),"ヘミングウェイ")</f>
        <v>ヘミングウェイ</v>
      </c>
      <c r="F923" s="6" t="s">
        <v>1741</v>
      </c>
    </row>
    <row r="924" spans="1:6" ht="13.8">
      <c r="A924" s="1" t="str">
        <f t="array" aca="1" ref="A924" ca="1">IF(B924="", "", IFERROR(INDEX(声優一覧!A:A, MATCH(B924, 声優一覧!B:B, 0)), "該当なし"))</f>
        <v>va_077</v>
      </c>
      <c r="B924" s="1" t="str">
        <f ca="1">IFERROR(__xludf.DUMMYFUNCTION("""COMPUTED_VALUE"""),"駒田航")</f>
        <v>駒田航</v>
      </c>
      <c r="C924" s="1" t="s">
        <v>244</v>
      </c>
      <c r="D924" s="1" t="str">
        <f>IF(C924="", "", IFERROR(VLOOKUP(C924, 作品一覧!A:B, 2, FALSE), "該当なし"))</f>
        <v>文豪とアルケミスト</v>
      </c>
      <c r="E924" s="1" t="str">
        <f ca="1">IFERROR(__xludf.DUMMYFUNCTION("""COMPUTED_VALUE"""),"フィッツジェラルド")</f>
        <v>フィッツジェラルド</v>
      </c>
      <c r="F924" s="6" t="s">
        <v>1742</v>
      </c>
    </row>
    <row r="925" spans="1:6" ht="13.8">
      <c r="A925" s="1" t="str">
        <f t="array" aca="1" ref="A925" ca="1">IF(B925="", "", IFERROR(INDEX(声優一覧!A:A, MATCH(B925, 声優一覧!B:B, 0)), "該当なし"))</f>
        <v>va_305</v>
      </c>
      <c r="B925" s="1" t="str">
        <f ca="1">IFERROR(__xludf.DUMMYFUNCTION("""COMPUTED_VALUE"""),"伊藤健太郎")</f>
        <v>伊藤健太郎</v>
      </c>
      <c r="C925" s="1" t="s">
        <v>244</v>
      </c>
      <c r="D925" s="1" t="str">
        <f>IF(C925="", "", IFERROR(VLOOKUP(C925, 作品一覧!A:B, 2, FALSE), "該当なし"))</f>
        <v>文豪とアルケミスト</v>
      </c>
      <c r="E925" s="1" t="str">
        <f ca="1">IFERROR(__xludf.DUMMYFUNCTION("""COMPUTED_VALUE"""),"ポー")</f>
        <v>ポー</v>
      </c>
      <c r="F925" s="6" t="s">
        <v>1743</v>
      </c>
    </row>
    <row r="926" spans="1:6" ht="13.8">
      <c r="A926" s="1" t="str">
        <f t="array" aca="1" ref="A926" ca="1">IF(B926="", "", IFERROR(INDEX(声優一覧!A:A, MATCH(B926, 声優一覧!B:B, 0)), "該当なし"))</f>
        <v>va_306</v>
      </c>
      <c r="B926" s="1" t="str">
        <f ca="1">IFERROR(__xludf.DUMMYFUNCTION("""COMPUTED_VALUE"""),"村上聡")</f>
        <v>村上聡</v>
      </c>
      <c r="C926" s="1" t="s">
        <v>244</v>
      </c>
      <c r="D926" s="1" t="str">
        <f>IF(C926="", "", IFERROR(VLOOKUP(C926, 作品一覧!A:B, 2, FALSE), "該当なし"))</f>
        <v>文豪とアルケミスト</v>
      </c>
      <c r="E926" s="1" t="str">
        <f ca="1">IFERROR(__xludf.DUMMYFUNCTION("""COMPUTED_VALUE"""),"ラヴクラフト")</f>
        <v>ラヴクラフト</v>
      </c>
      <c r="F926" s="6" t="s">
        <v>1744</v>
      </c>
    </row>
    <row r="927" spans="1:6" ht="13.8">
      <c r="A927" s="1" t="str">
        <f t="array" aca="1" ref="A927" ca="1">IF(B927="", "", IFERROR(INDEX(声優一覧!A:A, MATCH(B927, 声優一覧!B:B, 0)), "該当なし"))</f>
        <v>va_307</v>
      </c>
      <c r="B927" s="1" t="str">
        <f ca="1">IFERROR(__xludf.DUMMYFUNCTION("""COMPUTED_VALUE"""),"三上哲")</f>
        <v>三上哲</v>
      </c>
      <c r="C927" s="1" t="s">
        <v>244</v>
      </c>
      <c r="D927" s="1" t="str">
        <f>IF(C927="", "", IFERROR(VLOOKUP(C927, 作品一覧!A:B, 2, FALSE), "該当なし"))</f>
        <v>文豪とアルケミスト</v>
      </c>
      <c r="E927" s="1" t="str">
        <f ca="1">IFERROR(__xludf.DUMMYFUNCTION("""COMPUTED_VALUE"""),"コナン・ドイル")</f>
        <v>コナン・ドイル</v>
      </c>
      <c r="F927" s="6" t="s">
        <v>1745</v>
      </c>
    </row>
    <row r="928" spans="1:6" ht="13.8">
      <c r="A928" s="1" t="str">
        <f t="array" aca="1" ref="A928" ca="1">IF(B928="", "", IFERROR(INDEX(声優一覧!A:A, MATCH(B928, 声優一覧!B:B, 0)), "該当なし"))</f>
        <v>va_009</v>
      </c>
      <c r="B928" s="1" t="str">
        <f ca="1">IFERROR(__xludf.DUMMYFUNCTION("""COMPUTED_VALUE"""),"蒼井翔太")</f>
        <v>蒼井翔太</v>
      </c>
      <c r="C928" s="1" t="s">
        <v>244</v>
      </c>
      <c r="D928" s="1" t="str">
        <f>IF(C928="", "", IFERROR(VLOOKUP(C928, 作品一覧!A:B, 2, FALSE), "該当なし"))</f>
        <v>文豪とアルケミスト</v>
      </c>
      <c r="E928" s="1" t="str">
        <f ca="1">IFERROR(__xludf.DUMMYFUNCTION("""COMPUTED_VALUE"""),"ルイス・キャロル")</f>
        <v>ルイス・キャロル</v>
      </c>
      <c r="F928" s="6" t="s">
        <v>1746</v>
      </c>
    </row>
    <row r="929" spans="1:6" ht="13.8">
      <c r="A929" s="1" t="str">
        <f t="array" aca="1" ref="A929" ca="1">IF(B929="", "", IFERROR(INDEX(声優一覧!A:A, MATCH(B929, 声優一覧!B:B, 0)), "該当なし"))</f>
        <v>va_097</v>
      </c>
      <c r="B929" s="1" t="str">
        <f ca="1">IFERROR(__xludf.DUMMYFUNCTION("""COMPUTED_VALUE"""),"杉田智和")</f>
        <v>杉田智和</v>
      </c>
      <c r="C929" s="1" t="s">
        <v>29</v>
      </c>
      <c r="D929" s="1" t="str">
        <f>IF(C929="", "", IFERROR(VLOOKUP(C929, 作品一覧!A:B, 2, FALSE), "該当なし"))</f>
        <v>イケメン戦国 時をかける恋</v>
      </c>
      <c r="E929" s="1" t="str">
        <f ca="1">IFERROR(__xludf.DUMMYFUNCTION("""COMPUTED_VALUE"""),"織田信長")</f>
        <v>織田信長</v>
      </c>
      <c r="F929" s="6" t="s">
        <v>1747</v>
      </c>
    </row>
    <row r="930" spans="1:6" ht="13.8">
      <c r="A930" s="1" t="str">
        <f t="array" aca="1" ref="A930" ca="1">IF(B930="", "", IFERROR(INDEX(声優一覧!A:A, MATCH(B930, 声優一覧!B:B, 0)), "該当なし"))</f>
        <v>va_049</v>
      </c>
      <c r="B930" s="1" t="str">
        <f ca="1">IFERROR(__xludf.DUMMYFUNCTION("""COMPUTED_VALUE"""),"加藤和樹")</f>
        <v>加藤和樹</v>
      </c>
      <c r="C930" s="1" t="s">
        <v>29</v>
      </c>
      <c r="D930" s="1" t="str">
        <f>IF(C930="", "", IFERROR(VLOOKUP(C930, 作品一覧!A:B, 2, FALSE), "該当なし"))</f>
        <v>イケメン戦国 時をかける恋</v>
      </c>
      <c r="E930" s="1" t="str">
        <f ca="1">IFERROR(__xludf.DUMMYFUNCTION("""COMPUTED_VALUE"""),"伊達政宗")</f>
        <v>伊達政宗</v>
      </c>
      <c r="F930" s="6" t="s">
        <v>1748</v>
      </c>
    </row>
    <row r="931" spans="1:6" ht="13.8">
      <c r="A931" s="1" t="str">
        <f t="array" aca="1" ref="A931" ca="1">IF(B931="", "", IFERROR(INDEX(声優一覧!A:A, MATCH(B931, 声優一覧!B:B, 0)), "該当なし"))</f>
        <v>va_132</v>
      </c>
      <c r="B931" s="1" t="str">
        <f ca="1">IFERROR(__xludf.DUMMYFUNCTION("""COMPUTED_VALUE"""),"鳥海浩輔")</f>
        <v>鳥海浩輔</v>
      </c>
      <c r="C931" s="1" t="s">
        <v>29</v>
      </c>
      <c r="D931" s="1" t="str">
        <f>IF(C931="", "", IFERROR(VLOOKUP(C931, 作品一覧!A:B, 2, FALSE), "該当なし"))</f>
        <v>イケメン戦国 時をかける恋</v>
      </c>
      <c r="E931" s="1" t="str">
        <f ca="1">IFERROR(__xludf.DUMMYFUNCTION("""COMPUTED_VALUE"""),"豊臣秀吉")</f>
        <v>豊臣秀吉</v>
      </c>
      <c r="F931" s="6" t="s">
        <v>1749</v>
      </c>
    </row>
    <row r="932" spans="1:6" ht="13.8">
      <c r="A932" s="1" t="str">
        <f t="array" aca="1" ref="A932" ca="1">IF(B932="", "", IFERROR(INDEX(声優一覧!A:A, MATCH(B932, 声優一覧!B:B, 0)), "該当なし"))</f>
        <v>va_172</v>
      </c>
      <c r="B932" s="1" t="str">
        <f ca="1">IFERROR(__xludf.DUMMYFUNCTION("""COMPUTED_VALUE"""),"増田俊樹")</f>
        <v>増田俊樹</v>
      </c>
      <c r="C932" s="1" t="s">
        <v>29</v>
      </c>
      <c r="D932" s="1" t="str">
        <f>IF(C932="", "", IFERROR(VLOOKUP(C932, 作品一覧!A:B, 2, FALSE), "該当なし"))</f>
        <v>イケメン戦国 時をかける恋</v>
      </c>
      <c r="E932" s="1" t="str">
        <f ca="1">IFERROR(__xludf.DUMMYFUNCTION("""COMPUTED_VALUE"""),"徳川家康")</f>
        <v>徳川家康</v>
      </c>
      <c r="F932" s="6" t="s">
        <v>1750</v>
      </c>
    </row>
    <row r="933" spans="1:6" ht="13.8">
      <c r="A933" s="1" t="str">
        <f t="array" aca="1" ref="A933" ca="1">IF(B933="", "", IFERROR(INDEX(声優一覧!A:A, MATCH(B933, 声優一覧!B:B, 0)), "該当なし"))</f>
        <v>va_112</v>
      </c>
      <c r="B933" s="1" t="str">
        <f ca="1">IFERROR(__xludf.DUMMYFUNCTION("""COMPUTED_VALUE"""),"武内駿輔")</f>
        <v>武内駿輔</v>
      </c>
      <c r="C933" s="1" t="s">
        <v>29</v>
      </c>
      <c r="D933" s="1" t="str">
        <f>IF(C933="", "", IFERROR(VLOOKUP(C933, 作品一覧!A:B, 2, FALSE), "該当なし"))</f>
        <v>イケメン戦国 時をかける恋</v>
      </c>
      <c r="E933" s="1" t="str">
        <f ca="1">IFERROR(__xludf.DUMMYFUNCTION("""COMPUTED_VALUE"""),"明智光秀")</f>
        <v>明智光秀</v>
      </c>
      <c r="F933" s="6" t="s">
        <v>1751</v>
      </c>
    </row>
    <row r="934" spans="1:6" ht="13.8">
      <c r="A934" s="1" t="str">
        <f t="array" aca="1" ref="A934" ca="1">IF(B934="", "", IFERROR(INDEX(声優一覧!A:A, MATCH(B934, 声優一覧!B:B, 0)), "該当なし"))</f>
        <v>va_196</v>
      </c>
      <c r="B934" s="1" t="str">
        <f ca="1">IFERROR(__xludf.DUMMYFUNCTION("""COMPUTED_VALUE"""),"山谷祥生")</f>
        <v>山谷祥生</v>
      </c>
      <c r="C934" s="1" t="s">
        <v>29</v>
      </c>
      <c r="D934" s="1" t="str">
        <f>IF(C934="", "", IFERROR(VLOOKUP(C934, 作品一覧!A:B, 2, FALSE), "該当なし"))</f>
        <v>イケメン戦国 時をかける恋</v>
      </c>
      <c r="E934" s="1" t="str">
        <f ca="1">IFERROR(__xludf.DUMMYFUNCTION("""COMPUTED_VALUE"""),"石田三成")</f>
        <v>石田三成</v>
      </c>
      <c r="F934" s="6" t="s">
        <v>1752</v>
      </c>
    </row>
    <row r="935" spans="1:6" ht="13.8">
      <c r="A935" s="1" t="str">
        <f t="array" aca="1" ref="A935" ca="1">IF(B935="", "", IFERROR(INDEX(声優一覧!A:A, MATCH(B935, 声優一覧!B:B, 0)), "該当なし"))</f>
        <v>va_009</v>
      </c>
      <c r="B935" s="1" t="str">
        <f ca="1">IFERROR(__xludf.DUMMYFUNCTION("""COMPUTED_VALUE"""),"蒼井翔太")</f>
        <v>蒼井翔太</v>
      </c>
      <c r="C935" s="1" t="s">
        <v>29</v>
      </c>
      <c r="D935" s="1" t="str">
        <f>IF(C935="", "", IFERROR(VLOOKUP(C935, 作品一覧!A:B, 2, FALSE), "該当なし"))</f>
        <v>イケメン戦国 時をかける恋</v>
      </c>
      <c r="E935" s="1" t="str">
        <f ca="1">IFERROR(__xludf.DUMMYFUNCTION("""COMPUTED_VALUE"""),"森蘭丸")</f>
        <v>森蘭丸</v>
      </c>
      <c r="F935" s="6" t="s">
        <v>1753</v>
      </c>
    </row>
    <row r="936" spans="1:6" ht="13.8">
      <c r="A936" s="1" t="str">
        <f t="array" aca="1" ref="A936" ca="1">IF(B936="", "", IFERROR(INDEX(声優一覧!A:A, MATCH(B936, 声優一覧!B:B, 0)), "該当なし"))</f>
        <v>va_092</v>
      </c>
      <c r="B936" s="1" t="str">
        <f ca="1">IFERROR(__xludf.DUMMYFUNCTION("""COMPUTED_VALUE"""),"沢城千春")</f>
        <v>沢城千春</v>
      </c>
      <c r="C936" s="1" t="s">
        <v>29</v>
      </c>
      <c r="D936" s="1" t="str">
        <f>IF(C936="", "", IFERROR(VLOOKUP(C936, 作品一覧!A:B, 2, FALSE), "該当なし"))</f>
        <v>イケメン戦国 時をかける恋</v>
      </c>
      <c r="E936" s="1" t="str">
        <f ca="1">IFERROR(__xludf.DUMMYFUNCTION("""COMPUTED_VALUE"""),"前田慶次")</f>
        <v>前田慶次</v>
      </c>
      <c r="F936" s="6" t="s">
        <v>1754</v>
      </c>
    </row>
    <row r="937" spans="1:6" ht="13.8">
      <c r="A937" s="1" t="str">
        <f t="array" aca="1" ref="A937" ca="1">IF(B937="", "", IFERROR(INDEX(声優一覧!A:A, MATCH(B937, 声優一覧!B:B, 0)), "該当なし"))</f>
        <v>va_308</v>
      </c>
      <c r="B937" s="1" t="str">
        <f ca="1">IFERROR(__xludf.DUMMYFUNCTION("""COMPUTED_VALUE"""),"三浦祥朗")</f>
        <v>三浦祥朗</v>
      </c>
      <c r="C937" s="1" t="s">
        <v>29</v>
      </c>
      <c r="D937" s="1" t="str">
        <f>IF(C937="", "", IFERROR(VLOOKUP(C937, 作品一覧!A:B, 2, FALSE), "該当なし"))</f>
        <v>イケメン戦国 時をかける恋</v>
      </c>
      <c r="E937" s="1" t="str">
        <f ca="1">IFERROR(__xludf.DUMMYFUNCTION("""COMPUTED_VALUE"""),"上杉謙信")</f>
        <v>上杉謙信</v>
      </c>
      <c r="F937" s="10" t="s">
        <v>1755</v>
      </c>
    </row>
    <row r="938" spans="1:6" ht="13.8">
      <c r="A938" s="1" t="str">
        <f t="array" aca="1" ref="A938" ca="1">IF(B938="", "", IFERROR(INDEX(声優一覧!A:A, MATCH(B938, 声優一覧!B:B, 0)), "該当なし"))</f>
        <v>va_033</v>
      </c>
      <c r="B938" s="1" t="str">
        <f ca="1">IFERROR(__xludf.DUMMYFUNCTION("""COMPUTED_VALUE"""),"梅原裕一郎")</f>
        <v>梅原裕一郎</v>
      </c>
      <c r="C938" s="1" t="s">
        <v>29</v>
      </c>
      <c r="D938" s="1" t="str">
        <f>IF(C938="", "", IFERROR(VLOOKUP(C938, 作品一覧!A:B, 2, FALSE), "該当なし"))</f>
        <v>イケメン戦国 時をかける恋</v>
      </c>
      <c r="E938" s="1" t="str">
        <f ca="1">IFERROR(__xludf.DUMMYFUNCTION("""COMPUTED_VALUE"""),"武田信玄")</f>
        <v>武田信玄</v>
      </c>
      <c r="F938" s="10" t="s">
        <v>1756</v>
      </c>
    </row>
    <row r="939" spans="1:6" ht="13.8">
      <c r="A939" s="1" t="str">
        <f t="array" aca="1" ref="A939" ca="1">IF(B939="", "", IFERROR(INDEX(声優一覧!A:A, MATCH(B939, 声優一覧!B:B, 0)), "該当なし"))</f>
        <v>va_002</v>
      </c>
      <c r="B939" s="1" t="str">
        <f ca="1">IFERROR(__xludf.DUMMYFUNCTION("""COMPUTED_VALUE"""),"赤羽根健治")</f>
        <v>赤羽根健治</v>
      </c>
      <c r="C939" s="1" t="s">
        <v>29</v>
      </c>
      <c r="D939" s="1" t="str">
        <f>IF(C939="", "", IFERROR(VLOOKUP(C939, 作品一覧!A:B, 2, FALSE), "該当なし"))</f>
        <v>イケメン戦国 時をかける恋</v>
      </c>
      <c r="E939" s="1" t="str">
        <f ca="1">IFERROR(__xludf.DUMMYFUNCTION("""COMPUTED_VALUE"""),"猿飛佐助")</f>
        <v>猿飛佐助</v>
      </c>
      <c r="F939" s="10" t="s">
        <v>1757</v>
      </c>
    </row>
    <row r="940" spans="1:6" ht="13.8">
      <c r="A940" s="1" t="str">
        <f t="array" aca="1" ref="A940" ca="1">IF(B940="", "", IFERROR(INDEX(声優一覧!A:A, MATCH(B940, 声優一覧!B:B, 0)), "該当なし"))</f>
        <v>va_045</v>
      </c>
      <c r="B940" s="1" t="str">
        <f ca="1">IFERROR(__xludf.DUMMYFUNCTION("""COMPUTED_VALUE"""),"小野賢章")</f>
        <v>小野賢章</v>
      </c>
      <c r="C940" s="1" t="s">
        <v>29</v>
      </c>
      <c r="D940" s="1" t="str">
        <f>IF(C940="", "", IFERROR(VLOOKUP(C940, 作品一覧!A:B, 2, FALSE), "該当なし"))</f>
        <v>イケメン戦国 時をかける恋</v>
      </c>
      <c r="E940" s="1" t="str">
        <f ca="1">IFERROR(__xludf.DUMMYFUNCTION("""COMPUTED_VALUE"""),"真田幸村")</f>
        <v>真田幸村</v>
      </c>
      <c r="F940" s="10" t="s">
        <v>1758</v>
      </c>
    </row>
    <row r="941" spans="1:6" ht="13.8">
      <c r="A941" s="1" t="str">
        <f t="array" aca="1" ref="A941" ca="1">IF(B941="", "", IFERROR(INDEX(声優一覧!A:A, MATCH(B941, 声優一覧!B:B, 0)), "該当なし"))</f>
        <v>va_309</v>
      </c>
      <c r="B941" s="1" t="str">
        <f ca="1">IFERROR(__xludf.DUMMYFUNCTION("""COMPUTED_VALUE"""),"中川晃教")</f>
        <v>中川晃教</v>
      </c>
      <c r="C941" s="1" t="s">
        <v>29</v>
      </c>
      <c r="D941" s="1" t="str">
        <f>IF(C941="", "", IFERROR(VLOOKUP(C941, 作品一覧!A:B, 2, FALSE), "該当なし"))</f>
        <v>イケメン戦国 時をかける恋</v>
      </c>
      <c r="E941" s="1" t="str">
        <f ca="1">IFERROR(__xludf.DUMMYFUNCTION("""COMPUTED_VALUE"""),"直江兼続")</f>
        <v>直江兼続</v>
      </c>
      <c r="F941" s="10" t="s">
        <v>1759</v>
      </c>
    </row>
    <row r="942" spans="1:6" ht="13.8">
      <c r="A942" s="1" t="str">
        <f t="array" aca="1" ref="A942" ca="1">IF(B942="", "", IFERROR(INDEX(声優一覧!A:A, MATCH(B942, 声優一覧!B:B, 0)), "該当なし"))</f>
        <v>va_188</v>
      </c>
      <c r="B942" s="1" t="str">
        <f ca="1">IFERROR(__xludf.DUMMYFUNCTION("""COMPUTED_VALUE"""),"八代拓")</f>
        <v>八代拓</v>
      </c>
      <c r="C942" s="1" t="s">
        <v>29</v>
      </c>
      <c r="D942" s="1" t="str">
        <f>IF(C942="", "", IFERROR(VLOOKUP(C942, 作品一覧!A:B, 2, FALSE), "該当なし"))</f>
        <v>イケメン戦国 時をかける恋</v>
      </c>
      <c r="E942" s="1" t="str">
        <f ca="1">IFERROR(__xludf.DUMMYFUNCTION("""COMPUTED_VALUE"""),"今川義元")</f>
        <v>今川義元</v>
      </c>
      <c r="F942" s="10" t="s">
        <v>1760</v>
      </c>
    </row>
    <row r="943" spans="1:6" ht="13.8">
      <c r="A943" s="1" t="str">
        <f t="array" aca="1" ref="A943" ca="1">IF(B943="", "", IFERROR(INDEX(声優一覧!A:A, MATCH(B943, 声優一覧!B:B, 0)), "該当なし"))</f>
        <v>va_201</v>
      </c>
      <c r="B943" s="1" t="str">
        <f ca="1">IFERROR(__xludf.DUMMYFUNCTION("""COMPUTED_VALUE"""),"新垣樽助")</f>
        <v>新垣樽助</v>
      </c>
      <c r="C943" s="1" t="s">
        <v>29</v>
      </c>
      <c r="D943" s="1" t="str">
        <f>IF(C943="", "", IFERROR(VLOOKUP(C943, 作品一覧!A:B, 2, FALSE), "該当なし"))</f>
        <v>イケメン戦国 時をかける恋</v>
      </c>
      <c r="E943" s="1" t="str">
        <f ca="1">IFERROR(__xludf.DUMMYFUNCTION("""COMPUTED_VALUE"""),"顕如")</f>
        <v>顕如</v>
      </c>
      <c r="F943" s="10" t="s">
        <v>1761</v>
      </c>
    </row>
    <row r="944" spans="1:6" ht="13.8">
      <c r="A944" s="1" t="str">
        <f t="array" aca="1" ref="A944" ca="1">IF(B944="", "", IFERROR(INDEX(声優一覧!A:A, MATCH(B944, 声優一覧!B:B, 0)), "該当なし"))</f>
        <v>va_078</v>
      </c>
      <c r="B944" s="1" t="str">
        <f ca="1">IFERROR(__xludf.DUMMYFUNCTION("""COMPUTED_VALUE"""),"小西克幸")</f>
        <v>小西克幸</v>
      </c>
      <c r="C944" s="1" t="s">
        <v>29</v>
      </c>
      <c r="D944" s="1" t="str">
        <f>IF(C944="", "", IFERROR(VLOOKUP(C944, 作品一覧!A:B, 2, FALSE), "該当なし"))</f>
        <v>イケメン戦国 時をかける恋</v>
      </c>
      <c r="E944" s="1" t="str">
        <f ca="1">IFERROR(__xludf.DUMMYFUNCTION("""COMPUTED_VALUE"""),"毛利元就")</f>
        <v>毛利元就</v>
      </c>
      <c r="F944" s="10" t="s">
        <v>1762</v>
      </c>
    </row>
    <row r="945" spans="1:6" ht="13.8">
      <c r="A945" s="1" t="str">
        <f t="array" aca="1" ref="A945" ca="1">IF(B945="", "", IFERROR(INDEX(声優一覧!A:A, MATCH(B945, 声優一覧!B:B, 0)), "該当なし"))</f>
        <v>va_051</v>
      </c>
      <c r="B945" s="1" t="str">
        <f ca="1">IFERROR(__xludf.DUMMYFUNCTION("""COMPUTED_VALUE"""),"梶裕貴")</f>
        <v>梶裕貴</v>
      </c>
      <c r="C945" s="1" t="s">
        <v>29</v>
      </c>
      <c r="D945" s="1" t="str">
        <f>IF(C945="", "", IFERROR(VLOOKUP(C945, 作品一覧!A:B, 2, FALSE), "該当なし"))</f>
        <v>イケメン戦国 時をかける恋</v>
      </c>
      <c r="E945" s="1" t="str">
        <f ca="1">IFERROR(__xludf.DUMMYFUNCTION("""COMPUTED_VALUE"""),"帰蝶")</f>
        <v>帰蝶</v>
      </c>
      <c r="F945" s="10" t="s">
        <v>1763</v>
      </c>
    </row>
    <row r="946" spans="1:6" ht="13.8">
      <c r="A946" s="1" t="str">
        <f t="array" aca="1" ref="A946" ca="1">IF(B946="", "", IFERROR(INDEX(声優一覧!A:A, MATCH(B946, 声優一覧!B:B, 0)), "該当なし"))</f>
        <v>va_193</v>
      </c>
      <c r="B946" s="1" t="str">
        <f ca="1">IFERROR(__xludf.DUMMYFUNCTION("""COMPUTED_VALUE"""),"山下大輝")</f>
        <v>山下大輝</v>
      </c>
      <c r="C946" s="1" t="s">
        <v>29</v>
      </c>
      <c r="D946" s="1" t="str">
        <f>IF(C946="", "", IFERROR(VLOOKUP(C946, 作品一覧!A:B, 2, FALSE), "該当なし"))</f>
        <v>イケメン戦国 時をかける恋</v>
      </c>
      <c r="E946" s="1" t="str">
        <f ca="1">IFERROR(__xludf.DUMMYFUNCTION("""COMPUTED_VALUE"""),"足利義輝")</f>
        <v>足利義輝</v>
      </c>
      <c r="F946" s="10" t="s">
        <v>1764</v>
      </c>
    </row>
    <row r="947" spans="1:6" ht="13.8">
      <c r="A947" s="1" t="str">
        <f t="array" aca="1" ref="A947" ca="1">IF(B947="", "", IFERROR(INDEX(声優一覧!A:A, MATCH(B947, 声優一覧!B:B, 0)), "該当なし"))</f>
        <v>va_086</v>
      </c>
      <c r="B947" s="1" t="str">
        <f ca="1">IFERROR(__xludf.DUMMYFUNCTION("""COMPUTED_VALUE"""),"坂田将吾")</f>
        <v>坂田将吾</v>
      </c>
      <c r="C947" s="1" t="s">
        <v>29</v>
      </c>
      <c r="D947" s="1" t="str">
        <f>IF(C947="", "", IFERROR(VLOOKUP(C947, 作品一覧!A:B, 2, FALSE), "該当なし"))</f>
        <v>イケメン戦国 時をかける恋</v>
      </c>
      <c r="E947" s="1" t="str">
        <f ca="1">IFERROR(__xludf.DUMMYFUNCTION("""COMPUTED_VALUE"""),"松永久秀")</f>
        <v>松永久秀</v>
      </c>
      <c r="F947" s="10" t="s">
        <v>1765</v>
      </c>
    </row>
    <row r="948" spans="1:6" ht="13.8">
      <c r="A948" s="1" t="str">
        <f t="array" aca="1" ref="A948" ca="1">IF(B948="", "", IFERROR(INDEX(声優一覧!A:A, MATCH(B948, 声優一覧!B:B, 0)), "該当なし"))</f>
        <v>va_090</v>
      </c>
      <c r="B948" s="1" t="str">
        <f ca="1">IFERROR(__xludf.DUMMYFUNCTION("""COMPUTED_VALUE"""),"佐藤拓也")</f>
        <v>佐藤拓也</v>
      </c>
      <c r="C948" s="1" t="s">
        <v>29</v>
      </c>
      <c r="D948" s="1" t="str">
        <f>IF(C948="", "", IFERROR(VLOOKUP(C948, 作品一覧!A:B, 2, FALSE), "該当なし"))</f>
        <v>イケメン戦国 時をかける恋</v>
      </c>
      <c r="E948" s="1" t="str">
        <f ca="1">IFERROR(__xludf.DUMMYFUNCTION("""COMPUTED_VALUE"""),"黒田官兵衛")</f>
        <v>黒田官兵衛</v>
      </c>
      <c r="F948" s="10" t="s">
        <v>1766</v>
      </c>
    </row>
    <row r="949" spans="1:6" ht="13.8">
      <c r="A949" s="1" t="str">
        <f t="array" aca="1" ref="A949" ca="1">IF(B949="", "", IFERROR(INDEX(声優一覧!A:A, MATCH(B949, 声優一覧!B:B, 0)), "該当なし"))</f>
        <v>va_072</v>
      </c>
      <c r="B949" s="1" t="str">
        <f ca="1">IFERROR(__xludf.DUMMYFUNCTION("""COMPUTED_VALUE"""),"小林千晃")</f>
        <v>小林千晃</v>
      </c>
      <c r="C949" s="1" t="s">
        <v>29</v>
      </c>
      <c r="D949" s="1" t="str">
        <f>IF(C949="", "", IFERROR(VLOOKUP(C949, 作品一覧!A:B, 2, FALSE), "該当なし"))</f>
        <v>イケメン戦国 時をかける恋</v>
      </c>
      <c r="E949" s="1" t="str">
        <f ca="1">IFERROR(__xludf.DUMMYFUNCTION("""COMPUTED_VALUE"""),"霧隠才蔵")</f>
        <v>霧隠才蔵</v>
      </c>
      <c r="F949" s="10" t="s">
        <v>1767</v>
      </c>
    </row>
    <row r="950" spans="1:6" ht="13.8">
      <c r="A950" s="1" t="str">
        <f t="array" aca="1" ref="A950" ca="1">IF(B950="", "", IFERROR(INDEX(声優一覧!A:A, MATCH(B950, 声優一覧!B:B, 0)), "該当なし"))</f>
        <v>va_128</v>
      </c>
      <c r="B950" s="1" t="str">
        <f ca="1">IFERROR(__xludf.DUMMYFUNCTION("""COMPUTED_VALUE"""),"堂島颯人")</f>
        <v>堂島颯人</v>
      </c>
      <c r="C950" s="1" t="s">
        <v>29</v>
      </c>
      <c r="D950" s="1" t="str">
        <f>IF(C950="", "", IFERROR(VLOOKUP(C950, 作品一覧!A:B, 2, FALSE), "該当なし"))</f>
        <v>イケメン戦国 時をかける恋</v>
      </c>
      <c r="E950" s="1" t="str">
        <f ca="1">IFERROR(__xludf.DUMMYFUNCTION("""COMPUTED_VALUE"""),"千利休")</f>
        <v>千利休</v>
      </c>
      <c r="F950" s="10" t="s">
        <v>1768</v>
      </c>
    </row>
    <row r="951" spans="1:6" ht="13.8">
      <c r="A951" s="1" t="str">
        <f t="array" aca="1" ref="A951" ca="1">IF(B951="", "", IFERROR(INDEX(声優一覧!A:A, MATCH(B951, 声優一覧!B:B, 0)), "該当なし"))</f>
        <v>va_114</v>
      </c>
      <c r="B951" s="1" t="str">
        <f ca="1">IFERROR(__xludf.DUMMYFUNCTION("""COMPUTED_VALUE"""),"立花慎之介")</f>
        <v>立花慎之介</v>
      </c>
      <c r="C951" s="1" t="s">
        <v>32</v>
      </c>
      <c r="D951" s="1" t="str">
        <f>IF(C951="", "", IFERROR(VLOOKUP(C951, 作品一覧!A:B, 2, FALSE), "該当なし"))</f>
        <v>イケメンヴィラン 闇夜にひらく悪の恋</v>
      </c>
      <c r="E951" s="1" t="str">
        <f ca="1">IFERROR(__xludf.DUMMYFUNCTION("""COMPUTED_VALUE"""),"ウィリアム・レックス")</f>
        <v>ウィリアム・レックス</v>
      </c>
      <c r="F951" s="10" t="s">
        <v>1769</v>
      </c>
    </row>
    <row r="952" spans="1:6" ht="13.8">
      <c r="A952" s="1" t="str">
        <f t="array" aca="1" ref="A952" ca="1">IF(B952="", "", IFERROR(INDEX(声優一覧!A:A, MATCH(B952, 声優一覧!B:B, 0)), "該当なし"))</f>
        <v>va_098</v>
      </c>
      <c r="B952" s="1" t="str">
        <f ca="1">IFERROR(__xludf.DUMMYFUNCTION("""COMPUTED_VALUE"""),"杉山紀彰")</f>
        <v>杉山紀彰</v>
      </c>
      <c r="C952" s="1" t="s">
        <v>32</v>
      </c>
      <c r="D952" s="1" t="str">
        <f>IF(C952="", "", IFERROR(VLOOKUP(C952, 作品一覧!A:B, 2, FALSE), "該当なし"))</f>
        <v>イケメンヴィラン 闇夜にひらく悪の恋</v>
      </c>
      <c r="E952" s="1" t="str">
        <f ca="1">IFERROR(__xludf.DUMMYFUNCTION("""COMPUTED_VALUE"""),"ハリソン・グレイ")</f>
        <v>ハリソン・グレイ</v>
      </c>
      <c r="F952" s="10" t="s">
        <v>1770</v>
      </c>
    </row>
    <row r="953" spans="1:6" ht="13.8">
      <c r="A953" s="1" t="str">
        <f t="array" aca="1" ref="A953" ca="1">IF(B953="", "", IFERROR(INDEX(声優一覧!A:A, MATCH(B953, 声優一覧!B:B, 0)), "該当なし"))</f>
        <v>va_041</v>
      </c>
      <c r="B953" s="1" t="str">
        <f ca="1">IFERROR(__xludf.DUMMYFUNCTION("""COMPUTED_VALUE"""),"大塚剛央")</f>
        <v>大塚剛央</v>
      </c>
      <c r="C953" s="1" t="s">
        <v>32</v>
      </c>
      <c r="D953" s="1" t="str">
        <f>IF(C953="", "", IFERROR(VLOOKUP(C953, 作品一覧!A:B, 2, FALSE), "該当なし"))</f>
        <v>イケメンヴィラン 闇夜にひらく悪の恋</v>
      </c>
      <c r="E953" s="1" t="str">
        <f ca="1">IFERROR(__xludf.DUMMYFUNCTION("""COMPUTED_VALUE"""),"エルバート・グリーティア")</f>
        <v>エルバート・グリーティア</v>
      </c>
      <c r="F953" s="10" t="s">
        <v>1771</v>
      </c>
    </row>
    <row r="954" spans="1:6" ht="13.8">
      <c r="A954" s="1" t="str">
        <f t="array" aca="1" ref="A954" ca="1">IF(B954="", "", IFERROR(INDEX(声優一覧!A:A, MATCH(B954, 声優一覧!B:B, 0)), "該当なし"))</f>
        <v>va_141</v>
      </c>
      <c r="B954" s="1" t="str">
        <f ca="1">IFERROR(__xludf.DUMMYFUNCTION("""COMPUTED_VALUE"""),"西山宏太朗")</f>
        <v>西山宏太朗</v>
      </c>
      <c r="C954" s="1" t="s">
        <v>32</v>
      </c>
      <c r="D954" s="1" t="str">
        <f>IF(C954="", "", IFERROR(VLOOKUP(C954, 作品一覧!A:B, 2, FALSE), "該当なし"))</f>
        <v>イケメンヴィラン 闇夜にひらく悪の恋</v>
      </c>
      <c r="E954" s="1" t="str">
        <f ca="1">IFERROR(__xludf.DUMMYFUNCTION("""COMPUTED_VALUE"""),"リアム・エヴァンス")</f>
        <v>リアム・エヴァンス</v>
      </c>
      <c r="F954" s="10" t="s">
        <v>1772</v>
      </c>
    </row>
    <row r="955" spans="1:6" ht="13.8">
      <c r="A955" s="1" t="str">
        <f t="array" aca="1" ref="A955" ca="1">IF(B955="", "", IFERROR(INDEX(声優一覧!A:A, MATCH(B955, 声優一覧!B:B, 0)), "該当なし"))</f>
        <v>va_083</v>
      </c>
      <c r="B955" s="1" t="str">
        <f ca="1">IFERROR(__xludf.DUMMYFUNCTION("""COMPUTED_VALUE"""),"斉藤壮馬")</f>
        <v>斉藤壮馬</v>
      </c>
      <c r="C955" s="1" t="s">
        <v>32</v>
      </c>
      <c r="D955" s="1" t="str">
        <f>IF(C955="", "", IFERROR(VLOOKUP(C955, 作品一覧!A:B, 2, FALSE), "該当なし"))</f>
        <v>イケメンヴィラン 闇夜にひらく悪の恋</v>
      </c>
      <c r="E955" s="1" t="str">
        <f ca="1">IFERROR(__xludf.DUMMYFUNCTION("""COMPUTED_VALUE"""),"アルフォンス・シルベチカ")</f>
        <v>アルフォンス・シルベチカ</v>
      </c>
      <c r="F955" s="10" t="s">
        <v>1773</v>
      </c>
    </row>
    <row r="956" spans="1:6" ht="13.8">
      <c r="A956" s="1" t="str">
        <f t="array" aca="1" ref="A956" ca="1">IF(B956="", "", IFERROR(INDEX(声優一覧!A:A, MATCH(B956, 声優一覧!B:B, 0)), "該当なし"))</f>
        <v>va_035</v>
      </c>
      <c r="B956" s="1" t="str">
        <f ca="1">IFERROR(__xludf.DUMMYFUNCTION("""COMPUTED_VALUE"""),"江口拓也")</f>
        <v>江口拓也</v>
      </c>
      <c r="C956" s="1" t="s">
        <v>32</v>
      </c>
      <c r="D956" s="1" t="str">
        <f>IF(C956="", "", IFERROR(VLOOKUP(C956, 作品一覧!A:B, 2, FALSE), "該当なし"))</f>
        <v>イケメンヴィラン 闇夜にひらく悪の恋</v>
      </c>
      <c r="E956" s="1" t="str">
        <f ca="1">IFERROR(__xludf.DUMMYFUNCTION("""COMPUTED_VALUE"""),"ロジャー・バレル")</f>
        <v>ロジャー・バレル</v>
      </c>
      <c r="F956" s="10" t="s">
        <v>1774</v>
      </c>
    </row>
    <row r="957" spans="1:6" ht="13.8">
      <c r="A957" s="1" t="str">
        <f t="array" aca="1" ref="A957" ca="1">IF(B957="", "", IFERROR(INDEX(声優一覧!A:A, MATCH(B957, 声優一覧!B:B, 0)), "該当なし"))</f>
        <v>va_288</v>
      </c>
      <c r="B957" s="1" t="str">
        <f ca="1">IFERROR(__xludf.DUMMYFUNCTION("""COMPUTED_VALUE"""),"竹田海渡")</f>
        <v>竹田海渡</v>
      </c>
      <c r="C957" s="1" t="s">
        <v>32</v>
      </c>
      <c r="D957" s="1" t="str">
        <f>IF(C957="", "", IFERROR(VLOOKUP(C957, 作品一覧!A:B, 2, FALSE), "該当なし"))</f>
        <v>イケメンヴィラン 闇夜にひらく悪の恋</v>
      </c>
      <c r="E957" s="1" t="str">
        <f ca="1">IFERROR(__xludf.DUMMYFUNCTION("""COMPUTED_VALUE"""),"ジュード・ジャザ")</f>
        <v>ジュード・ジャザ</v>
      </c>
      <c r="F957" s="10" t="s">
        <v>1775</v>
      </c>
    </row>
    <row r="958" spans="1:6" ht="13.8">
      <c r="A958" s="1" t="str">
        <f t="array" aca="1" ref="A958" ca="1">IF(B958="", "", IFERROR(INDEX(声優一覧!A:A, MATCH(B958, 声優一覧!B:B, 0)), "該当なし"))</f>
        <v>va_310</v>
      </c>
      <c r="B958" s="1" t="str">
        <f ca="1">IFERROR(__xludf.DUMMYFUNCTION("""COMPUTED_VALUE"""),"佐藤元")</f>
        <v>佐藤元</v>
      </c>
      <c r="C958" s="1" t="s">
        <v>32</v>
      </c>
      <c r="D958" s="1" t="str">
        <f>IF(C958="", "", IFERROR(VLOOKUP(C958, 作品一覧!A:B, 2, FALSE), "該当なし"))</f>
        <v>イケメンヴィラン 闇夜にひらく悪の恋</v>
      </c>
      <c r="E958" s="1" t="str">
        <f ca="1">IFERROR(__xludf.DUMMYFUNCTION("""COMPUTED_VALUE"""),"エリス・トワイライト")</f>
        <v>エリス・トワイライト</v>
      </c>
      <c r="F958" s="10" t="s">
        <v>1776</v>
      </c>
    </row>
    <row r="959" spans="1:6" ht="13.8">
      <c r="A959" s="1" t="str">
        <f t="array" aca="1" ref="A959" ca="1">IF(B959="", "", IFERROR(INDEX(声優一覧!A:A, MATCH(B959, 声優一覧!B:B, 0)), "該当なし"))</f>
        <v>va_111</v>
      </c>
      <c r="B959" s="1" t="str">
        <f ca="1">IFERROR(__xludf.DUMMYFUNCTION("""COMPUTED_VALUE"""),"高橋広樹")</f>
        <v>高橋広樹</v>
      </c>
      <c r="C959" s="1" t="s">
        <v>32</v>
      </c>
      <c r="D959" s="1" t="str">
        <f>IF(C959="", "", IFERROR(VLOOKUP(C959, 作品一覧!A:B, 2, FALSE), "該当なし"))</f>
        <v>イケメンヴィラン 闇夜にひらく悪の恋</v>
      </c>
      <c r="E959" s="1" t="str">
        <f ca="1">IFERROR(__xludf.DUMMYFUNCTION("""COMPUTED_VALUE"""),"ヴィクトル")</f>
        <v>ヴィクトル</v>
      </c>
      <c r="F959" s="6" t="s">
        <v>1777</v>
      </c>
    </row>
    <row r="960" spans="1:6" ht="13.8">
      <c r="A960" s="1" t="str">
        <f t="array" aca="1" ref="A960" ca="1">IF(B960="", "", IFERROR(INDEX(声優一覧!A:A, MATCH(B960, 声優一覧!B:B, 0)), "該当なし"))</f>
        <v>va_093</v>
      </c>
      <c r="B960" s="1" t="str">
        <f ca="1">IFERROR(__xludf.DUMMYFUNCTION("""COMPUTED_VALUE"""),"重松千晴")</f>
        <v>重松千晴</v>
      </c>
      <c r="C960" s="1" t="s">
        <v>32</v>
      </c>
      <c r="D960" s="1" t="str">
        <f>IF(C960="", "", IFERROR(VLOOKUP(C960, 作品一覧!A:B, 2, FALSE), "該当なし"))</f>
        <v>イケメンヴィラン 闇夜にひらく悪の恋</v>
      </c>
      <c r="E960" s="1" t="str">
        <f ca="1">IFERROR(__xludf.DUMMYFUNCTION("""COMPUTED_VALUE"""),"ダリウス・フォーゲル")</f>
        <v>ダリウス・フォーゲル</v>
      </c>
      <c r="F960" s="6" t="s">
        <v>1778</v>
      </c>
    </row>
    <row r="961" spans="1:6" ht="13.8">
      <c r="A961" s="1" t="str">
        <f t="array" aca="1" ref="A961" ca="1">IF(B961="", "", IFERROR(INDEX(声優一覧!A:A, MATCH(B961, 声優一覧!B:B, 0)), "該当なし"))</f>
        <v>va_048</v>
      </c>
      <c r="B961" s="1" t="str">
        <f ca="1">IFERROR(__xludf.DUMMYFUNCTION("""COMPUTED_VALUE"""),"柿原徹也")</f>
        <v>柿原徹也</v>
      </c>
      <c r="C961" s="1" t="s">
        <v>32</v>
      </c>
      <c r="D961" s="1" t="str">
        <f>IF(C961="", "", IFERROR(VLOOKUP(C961, 作品一覧!A:B, 2, FALSE), "該当なし"))</f>
        <v>イケメンヴィラン 闇夜にひらく悪の恋</v>
      </c>
      <c r="E961" s="1" t="str">
        <f ca="1">IFERROR(__xludf.DUMMYFUNCTION("""COMPUTED_VALUE"""),"ニカ・シュワルツ")</f>
        <v>ニカ・シュワルツ</v>
      </c>
      <c r="F961" s="6" t="s">
        <v>1779</v>
      </c>
    </row>
    <row r="962" spans="1:6" ht="13.8">
      <c r="A962" s="1" t="str">
        <f t="array" aca="1" ref="A962" ca="1">IF(B962="", "", IFERROR(INDEX(声優一覧!A:A, MATCH(B962, 声優一覧!B:B, 0)), "該当なし"))</f>
        <v>va_276</v>
      </c>
      <c r="B962" s="1" t="str">
        <f ca="1">IFERROR(__xludf.DUMMYFUNCTION("""COMPUTED_VALUE"""),"田邊幸輔")</f>
        <v>田邊幸輔</v>
      </c>
      <c r="C962" s="1" t="s">
        <v>32</v>
      </c>
      <c r="D962" s="1" t="str">
        <f>IF(C962="", "", IFERROR(VLOOKUP(C962, 作品一覧!A:B, 2, FALSE), "該当なし"))</f>
        <v>イケメンヴィラン 闇夜にひらく悪の恋</v>
      </c>
      <c r="E962" s="1" t="str">
        <f ca="1">IFERROR(__xludf.DUMMYFUNCTION("""COMPUTED_VALUE"""),"リン・シュワルツ")</f>
        <v>リン・シュワルツ</v>
      </c>
      <c r="F962" s="6" t="s">
        <v>1780</v>
      </c>
    </row>
    <row r="963" spans="1:6" ht="13.8">
      <c r="A963" s="1" t="str">
        <f t="array" aca="1" ref="A963" ca="1">IF(B963="", "", IFERROR(INDEX(声優一覧!A:A, MATCH(B963, 声優一覧!B:B, 0)), "該当なし"))</f>
        <v>va_058</v>
      </c>
      <c r="B963" s="1" t="str">
        <f ca="1">IFERROR(__xludf.DUMMYFUNCTION("""COMPUTED_VALUE"""),"河西健吾")</f>
        <v>河西健吾</v>
      </c>
      <c r="C963" s="1" t="s">
        <v>32</v>
      </c>
      <c r="D963" s="1" t="str">
        <f>IF(C963="", "", IFERROR(VLOOKUP(C963, 作品一覧!A:B, 2, FALSE), "該当なし"))</f>
        <v>イケメンヴィラン 闇夜にひらく悪の恋</v>
      </c>
      <c r="E963" s="1" t="str">
        <f ca="1">IFERROR(__xludf.DUMMYFUNCTION("""COMPUTED_VALUE"""),"ユーレン")</f>
        <v>ユーレン</v>
      </c>
      <c r="F963" s="6" t="s">
        <v>1781</v>
      </c>
    </row>
    <row r="964" spans="1:6" ht="13.8">
      <c r="A964" s="1" t="str">
        <f t="array" aca="1" ref="A964" ca="1">IF(B964="", "", IFERROR(INDEX(声優一覧!A:A, MATCH(B964, 声優一覧!B:B, 0)), "該当なし"))</f>
        <v>va_019</v>
      </c>
      <c r="B964" s="1" t="str">
        <f ca="1">IFERROR(__xludf.DUMMYFUNCTION("""COMPUTED_VALUE"""),"伊東健人")</f>
        <v>伊東健人</v>
      </c>
      <c r="C964" s="1" t="s">
        <v>32</v>
      </c>
      <c r="D964" s="1" t="str">
        <f>IF(C964="", "", IFERROR(VLOOKUP(C964, 作品一覧!A:B, 2, FALSE), "該当なし"))</f>
        <v>イケメンヴィラン 闇夜にひらく悪の恋</v>
      </c>
      <c r="E964" s="1" t="str">
        <f ca="1">IFERROR(__xludf.DUMMYFUNCTION("""COMPUTED_VALUE"""),"ゼイン・レグルス")</f>
        <v>ゼイン・レグルス</v>
      </c>
      <c r="F964" s="6" t="s">
        <v>1782</v>
      </c>
    </row>
    <row r="965" spans="1:6" ht="13.8">
      <c r="A965" s="1" t="str">
        <f t="array" aca="1" ref="A965" ca="1">IF(B965="", "", IFERROR(INDEX(声優一覧!A:A, MATCH(B965, 声優一覧!B:B, 0)), "該当なし"))</f>
        <v>va_169</v>
      </c>
      <c r="B965" s="1" t="str">
        <f ca="1">IFERROR(__xludf.DUMMYFUNCTION("""COMPUTED_VALUE"""),"前野智昭")</f>
        <v>前野智昭</v>
      </c>
      <c r="C965" s="1" t="s">
        <v>32</v>
      </c>
      <c r="D965" s="1" t="str">
        <f>IF(C965="", "", IFERROR(VLOOKUP(C965, 作品一覧!A:B, 2, FALSE), "該当なし"))</f>
        <v>イケメンヴィラン 闇夜にひらく悪の恋</v>
      </c>
      <c r="E965" s="1" t="str">
        <f ca="1">IFERROR(__xludf.DUMMYFUNCTION("""COMPUTED_VALUE"""),"ルシアン・モルサンドル")</f>
        <v>ルシアン・モルサンドル</v>
      </c>
      <c r="F965" s="6" t="s">
        <v>1783</v>
      </c>
    </row>
    <row r="966" spans="1:6" ht="13.8">
      <c r="A966" s="1" t="str">
        <f t="array" aca="1" ref="A966" ca="1">IF(B966="", "", IFERROR(INDEX(声優一覧!A:A, MATCH(B966, 声優一覧!B:B, 0)), "該当なし"))</f>
        <v>va_049</v>
      </c>
      <c r="B966" s="1" t="str">
        <f ca="1">IFERROR(__xludf.DUMMYFUNCTION("""COMPUTED_VALUE"""),"加藤和樹")</f>
        <v>加藤和樹</v>
      </c>
      <c r="C966" s="1" t="s">
        <v>34</v>
      </c>
      <c r="D966" s="1" t="str">
        <f>IF(C966="", "", IFERROR(VLOOKUP(C966, 作品一覧!A:B, 2, FALSE), "該当なし"))</f>
        <v>イケメン王子 美女と野獣の最後の恋</v>
      </c>
      <c r="E966" s="1" t="str">
        <f ca="1">IFERROR(__xludf.DUMMYFUNCTION("""COMPUTED_VALUE"""),"レオン＝ドントゥール")</f>
        <v>レオン＝ドントゥール</v>
      </c>
      <c r="F966" s="6" t="s">
        <v>1784</v>
      </c>
    </row>
    <row r="967" spans="1:6" ht="13.8">
      <c r="A967" s="1" t="str">
        <f t="array" aca="1" ref="A967" ca="1">IF(B967="", "", IFERROR(INDEX(声優一覧!A:A, MATCH(B967, 声優一覧!B:B, 0)), "該当なし"))</f>
        <v>va_046</v>
      </c>
      <c r="B967" s="1" t="str">
        <f ca="1">IFERROR(__xludf.DUMMYFUNCTION("""COMPUTED_VALUE"""),"小野友樹")</f>
        <v>小野友樹</v>
      </c>
      <c r="C967" s="1" t="s">
        <v>34</v>
      </c>
      <c r="D967" s="1" t="str">
        <f>IF(C967="", "", IFERROR(VLOOKUP(C967, 作品一覧!A:B, 2, FALSE), "該当なし"))</f>
        <v>イケメン王子 美女と野獣の最後の恋</v>
      </c>
      <c r="E967" s="1" t="str">
        <f ca="1">IFERROR(__xludf.DUMMYFUNCTION("""COMPUTED_VALUE"""),"シュヴァリエ＝ミシェーレ")</f>
        <v>シュヴァリエ＝ミシェーレ</v>
      </c>
      <c r="F967" s="6" t="s">
        <v>1785</v>
      </c>
    </row>
    <row r="968" spans="1:6" ht="13.8">
      <c r="A968" s="1" t="str">
        <f t="array" aca="1" ref="A968" ca="1">IF(B968="", "", IFERROR(INDEX(声優一覧!A:A, MATCH(B968, 声優一覧!B:B, 0)), "該当なし"))</f>
        <v>va_030</v>
      </c>
      <c r="B968" s="1" t="str">
        <f ca="1">IFERROR(__xludf.DUMMYFUNCTION("""COMPUTED_VALUE"""),"内田雄馬")</f>
        <v>内田雄馬</v>
      </c>
      <c r="C968" s="1" t="s">
        <v>34</v>
      </c>
      <c r="D968" s="1" t="str">
        <f>IF(C968="", "", IFERROR(VLOOKUP(C968, 作品一覧!A:B, 2, FALSE), "該当なし"))</f>
        <v>イケメン王子 美女と野獣の最後の恋</v>
      </c>
      <c r="E968" s="1" t="str">
        <f ca="1">IFERROR(__xludf.DUMMYFUNCTION("""COMPUTED_VALUE"""),"イヴ＝クロス")</f>
        <v>イヴ＝クロス</v>
      </c>
      <c r="F968" s="6" t="s">
        <v>1786</v>
      </c>
    </row>
    <row r="969" spans="1:6" ht="13.8">
      <c r="A969" s="1" t="str">
        <f t="array" aca="1" ref="A969" ca="1">IF(B969="", "", IFERROR(INDEX(声優一覧!A:A, MATCH(B969, 声優一覧!B:B, 0)), "該当なし"))</f>
        <v>va_035</v>
      </c>
      <c r="B969" s="1" t="str">
        <f ca="1">IFERROR(__xludf.DUMMYFUNCTION("""COMPUTED_VALUE"""),"江口拓也")</f>
        <v>江口拓也</v>
      </c>
      <c r="C969" s="1" t="s">
        <v>34</v>
      </c>
      <c r="D969" s="1" t="str">
        <f>IF(C969="", "", IFERROR(VLOOKUP(C969, 作品一覧!A:B, 2, FALSE), "該当なし"))</f>
        <v>イケメン王子 美女と野獣の最後の恋</v>
      </c>
      <c r="E969" s="1" t="str">
        <f ca="1">IFERROR(__xludf.DUMMYFUNCTION("""COMPUTED_VALUE"""),"ノクト＝クライン")</f>
        <v>ノクト＝クライン</v>
      </c>
      <c r="F969" s="6" t="s">
        <v>1787</v>
      </c>
    </row>
    <row r="970" spans="1:6" ht="13.8">
      <c r="A970" s="1" t="str">
        <f t="array" aca="1" ref="A970" ca="1">IF(B970="", "", IFERROR(INDEX(声優一覧!A:A, MATCH(B970, 声優一覧!B:B, 0)), "該当なし"))</f>
        <v>va_143</v>
      </c>
      <c r="B970" s="1" t="str">
        <f ca="1">IFERROR(__xludf.DUMMYFUNCTION("""COMPUTED_VALUE"""),"野島健児")</f>
        <v>野島健児</v>
      </c>
      <c r="C970" s="1" t="s">
        <v>34</v>
      </c>
      <c r="D970" s="1" t="str">
        <f>IF(C970="", "", IFERROR(VLOOKUP(C970, 作品一覧!A:B, 2, FALSE), "該当なし"))</f>
        <v>イケメン王子 美女と野獣の最後の恋</v>
      </c>
      <c r="E970" s="1" t="str">
        <f ca="1">IFERROR(__xludf.DUMMYFUNCTION("""COMPUTED_VALUE"""),"クラヴィス＝ルルーシュ")</f>
        <v>クラヴィス＝ルルーシュ</v>
      </c>
      <c r="F970" s="6" t="s">
        <v>1788</v>
      </c>
    </row>
    <row r="971" spans="1:6" ht="13.8">
      <c r="A971" s="1" t="str">
        <f t="array" aca="1" ref="A971" ca="1">IF(B971="", "", IFERROR(INDEX(声優一覧!A:A, MATCH(B971, 声優一覧!B:B, 0)), "該当なし"))</f>
        <v>va_311</v>
      </c>
      <c r="B971" s="1" t="str">
        <f ca="1">IFERROR(__xludf.DUMMYFUNCTION("""COMPUTED_VALUE"""),"大海将一郎")</f>
        <v>大海将一郎</v>
      </c>
      <c r="C971" s="1" t="s">
        <v>34</v>
      </c>
      <c r="D971" s="1" t="str">
        <f>IF(C971="", "", IFERROR(VLOOKUP(C971, 作品一覧!A:B, 2, FALSE), "該当なし"))</f>
        <v>イケメン王子 美女と野獣の最後の恋</v>
      </c>
      <c r="E971" s="1" t="str">
        <f ca="1">IFERROR(__xludf.DUMMYFUNCTION("""COMPUTED_VALUE"""),"リヒト＝クライン")</f>
        <v>リヒト＝クライン</v>
      </c>
      <c r="F971" s="6" t="s">
        <v>1789</v>
      </c>
    </row>
    <row r="972" spans="1:6" ht="13.8">
      <c r="A972" s="1" t="str">
        <f t="array" aca="1" ref="A972" ca="1">IF(B972="", "", IFERROR(INDEX(声優一覧!A:A, MATCH(B972, 声優一覧!B:B, 0)), "該当なし"))</f>
        <v>va_189</v>
      </c>
      <c r="B972" s="1" t="str">
        <f ca="1">IFERROR(__xludf.DUMMYFUNCTION("""COMPUTED_VALUE"""),"安元洋貴")</f>
        <v>安元洋貴</v>
      </c>
      <c r="C972" s="1" t="s">
        <v>34</v>
      </c>
      <c r="D972" s="1" t="str">
        <f>IF(C972="", "", IFERROR(VLOOKUP(C972, 作品一覧!A:B, 2, FALSE), "該当なし"))</f>
        <v>イケメン王子 美女と野獣の最後の恋</v>
      </c>
      <c r="E972" s="1" t="str">
        <f ca="1">IFERROR(__xludf.DUMMYFUNCTION("""COMPUTED_VALUE"""),"ジン＝グランデ")</f>
        <v>ジン＝グランデ</v>
      </c>
      <c r="F972" s="6" t="s">
        <v>1790</v>
      </c>
    </row>
    <row r="973" spans="1:6" ht="13.8">
      <c r="A973" s="1" t="str">
        <f t="array" aca="1" ref="A973" ca="1">IF(B973="", "", IFERROR(INDEX(声優一覧!A:A, MATCH(B973, 声優一覧!B:B, 0)), "該当なし"))</f>
        <v>va_284</v>
      </c>
      <c r="B973" s="1" t="str">
        <f ca="1">IFERROR(__xludf.DUMMYFUNCTION("""COMPUTED_VALUE"""),"吉高志音")</f>
        <v>吉高志音</v>
      </c>
      <c r="C973" s="1" t="s">
        <v>34</v>
      </c>
      <c r="D973" s="1" t="str">
        <f>IF(C973="", "", IFERROR(VLOOKUP(C973, 作品一覧!A:B, 2, FALSE), "該当なし"))</f>
        <v>イケメン王子 美女と野獣の最後の恋</v>
      </c>
      <c r="E973" s="1" t="str">
        <f ca="1">IFERROR(__xludf.DUMMYFUNCTION("""COMPUTED_VALUE"""),"ルーク＝ランドルフ")</f>
        <v>ルーク＝ランドルフ</v>
      </c>
      <c r="F973" s="6" t="s">
        <v>1791</v>
      </c>
    </row>
    <row r="974" spans="1:6" ht="13.8">
      <c r="A974" s="1" t="str">
        <f t="array" aca="1" ref="A974" ca="1">IF(B974="", "", IFERROR(INDEX(声優一覧!A:A, MATCH(B974, 声優一覧!B:B, 0)), "該当なし"))</f>
        <v>va_205</v>
      </c>
      <c r="B974" s="1" t="str">
        <f ca="1">IFERROR(__xludf.DUMMYFUNCTION("""COMPUTED_VALUE"""),"速水奨")</f>
        <v>速水奨</v>
      </c>
      <c r="C974" s="1" t="s">
        <v>34</v>
      </c>
      <c r="D974" s="1" t="str">
        <f>IF(C974="", "", IFERROR(VLOOKUP(C974, 作品一覧!A:B, 2, FALSE), "該当なし"))</f>
        <v>イケメン王子 美女と野獣の最後の恋</v>
      </c>
      <c r="E974" s="1" t="str">
        <f ca="1">IFERROR(__xludf.DUMMYFUNCTION("""COMPUTED_VALUE"""),"サリエル＝ノワール")</f>
        <v>サリエル＝ノワール</v>
      </c>
      <c r="F974" s="6" t="s">
        <v>1792</v>
      </c>
    </row>
    <row r="975" spans="1:6" ht="13.8">
      <c r="A975" s="1" t="str">
        <f t="array" aca="1" ref="A975" ca="1">IF(B975="", "", IFERROR(INDEX(声優一覧!A:A, MATCH(B975, 声優一覧!B:B, 0)), "該当なし"))</f>
        <v>va_312</v>
      </c>
      <c r="B975" s="1" t="str">
        <f ca="1">IFERROR(__xludf.DUMMYFUNCTION("""COMPUTED_VALUE"""),"峯田大夢")</f>
        <v>峯田大夢</v>
      </c>
      <c r="C975" s="1" t="s">
        <v>34</v>
      </c>
      <c r="D975" s="1" t="str">
        <f>IF(C975="", "", IFERROR(VLOOKUP(C975, 作品一覧!A:B, 2, FALSE), "該当なし"))</f>
        <v>イケメン王子 美女と野獣の最後の恋</v>
      </c>
      <c r="E975" s="1" t="str">
        <f ca="1">IFERROR(__xludf.DUMMYFUNCTION("""COMPUTED_VALUE"""),"リオ＝オルティス")</f>
        <v>リオ＝オルティス</v>
      </c>
      <c r="F975" s="6" t="s">
        <v>1793</v>
      </c>
    </row>
    <row r="976" spans="1:6" ht="13.8">
      <c r="A976" s="1" t="str">
        <f t="array" aca="1" ref="A976" ca="1">IF(B976="", "", IFERROR(INDEX(声優一覧!A:A, MATCH(B976, 声優一覧!B:B, 0)), "該当なし"))</f>
        <v>va_004</v>
      </c>
      <c r="B976" s="1" t="str">
        <f ca="1">IFERROR(__xludf.DUMMYFUNCTION("""COMPUTED_VALUE"""),"浅沼晋太郎")</f>
        <v>浅沼晋太郎</v>
      </c>
      <c r="C976" s="1" t="s">
        <v>34</v>
      </c>
      <c r="D976" s="1" t="str">
        <f>IF(C976="", "", IFERROR(VLOOKUP(C976, 作品一覧!A:B, 2, FALSE), "該当なし"))</f>
        <v>イケメン王子 美女と野獣の最後の恋</v>
      </c>
      <c r="E976" s="1" t="str">
        <f ca="1">IFERROR(__xludf.DUMMYFUNCTION("""COMPUTED_VALUE"""),"ギルベルト＝フォン＝オブシディアン")</f>
        <v>ギルベルト＝フォン＝オブシディアン</v>
      </c>
      <c r="F976" s="6" t="s">
        <v>1794</v>
      </c>
    </row>
    <row r="977" spans="1:6" ht="13.8">
      <c r="A977" s="1" t="str">
        <f t="array" aca="1" ref="A977" ca="1">IF(B977="", "", IFERROR(INDEX(声優一覧!A:A, MATCH(B977, 声優一覧!B:B, 0)), "該当なし"))</f>
        <v>va_148</v>
      </c>
      <c r="B977" s="1" t="str">
        <f ca="1">IFERROR(__xludf.DUMMYFUNCTION("""COMPUTED_VALUE"""),"羽多野渉")</f>
        <v>羽多野渉</v>
      </c>
      <c r="C977" s="1" t="s">
        <v>34</v>
      </c>
      <c r="D977" s="1" t="str">
        <f>IF(C977="", "", IFERROR(VLOOKUP(C977, 作品一覧!A:B, 2, FALSE), "該当なし"))</f>
        <v>イケメン王子 美女と野獣の最後の恋</v>
      </c>
      <c r="E977" s="1" t="str">
        <f ca="1">IFERROR(__xludf.DUMMYFUNCTION("""COMPUTED_VALUE"""),"キース＝ハウエル")</f>
        <v>キース＝ハウエル</v>
      </c>
      <c r="F977" s="6" t="s">
        <v>1795</v>
      </c>
    </row>
    <row r="978" spans="1:6" ht="13.8">
      <c r="A978" s="1" t="str">
        <f t="array" aca="1" ref="A978" ca="1">IF(B978="", "", IFERROR(INDEX(声優一覧!A:A, MATCH(B978, 声優一覧!B:B, 0)), "該当なし"))</f>
        <v>va_090</v>
      </c>
      <c r="B978" s="1" t="str">
        <f ca="1">IFERROR(__xludf.DUMMYFUNCTION("""COMPUTED_VALUE"""),"佐藤拓也")</f>
        <v>佐藤拓也</v>
      </c>
      <c r="C978" s="1" t="s">
        <v>34</v>
      </c>
      <c r="D978" s="1" t="str">
        <f>IF(C978="", "", IFERROR(VLOOKUP(C978, 作品一覧!A:B, 2, FALSE), "該当なし"))</f>
        <v>イケメン王子 美女と野獣の最後の恋</v>
      </c>
      <c r="E978" s="1" t="str">
        <f ca="1">IFERROR(__xludf.DUMMYFUNCTION("""COMPUTED_VALUE"""),"シルヴィオ＝リッチ")</f>
        <v>シルヴィオ＝リッチ</v>
      </c>
      <c r="F978" s="6" t="s">
        <v>1796</v>
      </c>
    </row>
    <row r="979" spans="1:6" ht="13.8">
      <c r="A979" s="1" t="str">
        <f t="array" aca="1" ref="A979" ca="1">IF(B979="", "", IFERROR(INDEX(声優一覧!A:A, MATCH(B979, 声優一覧!B:B, 0)), "該当なし"))</f>
        <v>va_125</v>
      </c>
      <c r="B979" s="1" t="str">
        <f ca="1">IFERROR(__xludf.DUMMYFUNCTION("""COMPUTED_VALUE"""),"寺島拓篤")</f>
        <v>寺島拓篤</v>
      </c>
      <c r="C979" s="1" t="s">
        <v>34</v>
      </c>
      <c r="D979" s="1" t="str">
        <f>IF(C979="", "", IFERROR(VLOOKUP(C979, 作品一覧!A:B, 2, FALSE), "該当なし"))</f>
        <v>イケメン王子 美女と野獣の最後の恋</v>
      </c>
      <c r="E979" s="1" t="str">
        <f ca="1">IFERROR(__xludf.DUMMYFUNCTION("""COMPUTED_VALUE"""),"アゼル＝ラドワーン")</f>
        <v>アゼル＝ラドワーン</v>
      </c>
      <c r="F979" s="6" t="s">
        <v>1797</v>
      </c>
    </row>
    <row r="980" spans="1:6" ht="13.8">
      <c r="A980" s="1" t="str">
        <f t="array" aca="1" ref="A980" ca="1">IF(B980="", "", IFERROR(INDEX(声優一覧!A:A, MATCH(B980, 声優一覧!B:B, 0)), "該当なし"))</f>
        <v>va_003</v>
      </c>
      <c r="B980" s="1" t="str">
        <f ca="1">IFERROR(__xludf.DUMMYFUNCTION("""COMPUTED_VALUE"""),"阿座上洋平")</f>
        <v>阿座上洋平</v>
      </c>
      <c r="C980" s="1" t="s">
        <v>34</v>
      </c>
      <c r="D980" s="1" t="str">
        <f>IF(C980="", "", IFERROR(VLOOKUP(C980, 作品一覧!A:B, 2, FALSE), "該当なし"))</f>
        <v>イケメン王子 美女と野獣の最後の恋</v>
      </c>
      <c r="E980" s="1" t="str">
        <f ca="1">IFERROR(__xludf.DUMMYFUNCTION("""COMPUTED_VALUE"""),"マティアス＝オースブリンク")</f>
        <v>マティアス＝オースブリンク</v>
      </c>
      <c r="F980" s="6" t="s">
        <v>1798</v>
      </c>
    </row>
    <row r="981" spans="1:6" ht="13.8">
      <c r="A981" s="1" t="str">
        <f t="array" aca="1" ref="A981" ca="1">IF(B981="", "", IFERROR(INDEX(声優一覧!A:A, MATCH(B981, 声優一覧!B:B, 0)), "該当なし"))</f>
        <v>va_119</v>
      </c>
      <c r="B981" s="1" t="str">
        <f ca="1">IFERROR(__xludf.DUMMYFUNCTION("""COMPUTED_VALUE"""),"千葉翔也")</f>
        <v>千葉翔也</v>
      </c>
      <c r="C981" s="1" t="s">
        <v>34</v>
      </c>
      <c r="D981" s="1" t="str">
        <f>IF(C981="", "", IFERROR(VLOOKUP(C981, 作品一覧!A:B, 2, FALSE), "該当なし"))</f>
        <v>イケメン王子 美女と野獣の最後の恋</v>
      </c>
      <c r="E981" s="1" t="str">
        <f ca="1">IFERROR(__xludf.DUMMYFUNCTION("""COMPUTED_VALUE"""),"カガリ＝アマガセ")</f>
        <v>カガリ＝アマガセ</v>
      </c>
      <c r="F981" s="6" t="s">
        <v>1799</v>
      </c>
    </row>
    <row r="982" spans="1:6" ht="13.8">
      <c r="A982" s="1" t="str">
        <f t="array" aca="1" ref="A982" ca="1">IF(B982="", "", IFERROR(INDEX(声優一覧!A:A, MATCH(B982, 声優一覧!B:B, 0)), "該当なし"))</f>
        <v>va_160</v>
      </c>
      <c r="B982" s="1" t="str">
        <f ca="1">IFERROR(__xludf.DUMMYFUNCTION("""COMPUTED_VALUE"""),"福山潤")</f>
        <v>福山潤</v>
      </c>
      <c r="C982" s="1" t="s">
        <v>36</v>
      </c>
      <c r="D982" s="1" t="str">
        <f>IF(C982="", "", IFERROR(VLOOKUP(C982, 作品一覧!A:B, 2, FALSE), "該当なし"))</f>
        <v>イケメン源氏伝 あやかし恋えにし</v>
      </c>
      <c r="E982" s="1" t="str">
        <f ca="1">IFERROR(__xludf.DUMMYFUNCTION("""COMPUTED_VALUE"""),"源頼朝")</f>
        <v>源頼朝</v>
      </c>
      <c r="F982" s="6" t="s">
        <v>1800</v>
      </c>
    </row>
    <row r="983" spans="1:6" ht="13.8">
      <c r="A983" s="1" t="str">
        <f t="array" aca="1" ref="A983" ca="1">IF(B983="", "", IFERROR(INDEX(声優一覧!A:A, MATCH(B983, 声優一覧!B:B, 0)), "該当なし"))</f>
        <v>va_080</v>
      </c>
      <c r="B983" s="1" t="str">
        <f ca="1">IFERROR(__xludf.DUMMYFUNCTION("""COMPUTED_VALUE"""),"子安武人")</f>
        <v>子安武人</v>
      </c>
      <c r="C983" s="1" t="s">
        <v>36</v>
      </c>
      <c r="D983" s="1" t="str">
        <f>IF(C983="", "", IFERROR(VLOOKUP(C983, 作品一覧!A:B, 2, FALSE), "該当なし"))</f>
        <v>イケメン源氏伝 あやかし恋えにし</v>
      </c>
      <c r="E983" s="1" t="str">
        <f ca="1">IFERROR(__xludf.DUMMYFUNCTION("""COMPUTED_VALUE"""),"梶原景時")</f>
        <v>梶原景時</v>
      </c>
      <c r="F983" s="6" t="s">
        <v>1801</v>
      </c>
    </row>
    <row r="984" spans="1:6" ht="13.8">
      <c r="A984" s="1" t="str">
        <f t="array" aca="1" ref="A984" ca="1">IF(B984="", "", IFERROR(INDEX(声優一覧!A:A, MATCH(B984, 声優一覧!B:B, 0)), "該当なし"))</f>
        <v>va_176</v>
      </c>
      <c r="B984" s="1" t="str">
        <f ca="1">IFERROR(__xludf.DUMMYFUNCTION("""COMPUTED_VALUE"""),"三木眞一郎")</f>
        <v>三木眞一郎</v>
      </c>
      <c r="C984" s="1" t="s">
        <v>36</v>
      </c>
      <c r="D984" s="1" t="str">
        <f>IF(C984="", "", IFERROR(VLOOKUP(C984, 作品一覧!A:B, 2, FALSE), "該当なし"))</f>
        <v>イケメン源氏伝 あやかし恋えにし</v>
      </c>
      <c r="E984" s="1" t="str">
        <f ca="1">IFERROR(__xludf.DUMMYFUNCTION("""COMPUTED_VALUE"""),"安達盛長")</f>
        <v>安達盛長</v>
      </c>
      <c r="F984" s="6" t="s">
        <v>1802</v>
      </c>
    </row>
    <row r="985" spans="1:6" ht="13.8">
      <c r="A985" s="1" t="str">
        <f t="array" aca="1" ref="A985" ca="1">IF(B985="", "", IFERROR(INDEX(声優一覧!A:A, MATCH(B985, 声優一覧!B:B, 0)), "該当なし"))</f>
        <v>va_015</v>
      </c>
      <c r="B985" s="1" t="str">
        <f ca="1">IFERROR(__xludf.DUMMYFUNCTION("""COMPUTED_VALUE"""),"市川蒼")</f>
        <v>市川蒼</v>
      </c>
      <c r="C985" s="1" t="s">
        <v>36</v>
      </c>
      <c r="D985" s="1" t="str">
        <f>IF(C985="", "", IFERROR(VLOOKUP(C985, 作品一覧!A:B, 2, FALSE), "該当なし"))</f>
        <v>イケメン源氏伝 あやかし恋えにし</v>
      </c>
      <c r="E985" s="1" t="str">
        <f ca="1">IFERROR(__xludf.DUMMYFUNCTION("""COMPUTED_VALUE"""),"平重衡")</f>
        <v>平重衡</v>
      </c>
      <c r="F985" s="6" t="s">
        <v>1803</v>
      </c>
    </row>
    <row r="986" spans="1:6" ht="13.8">
      <c r="A986" s="1" t="str">
        <f t="array" aca="1" ref="A986" ca="1">IF(B986="", "", IFERROR(INDEX(声優一覧!A:A, MATCH(B986, 声優一覧!B:B, 0)), "該当なし"))</f>
        <v>va_117</v>
      </c>
      <c r="B986" s="1" t="str">
        <f ca="1">IFERROR(__xludf.DUMMYFUNCTION("""COMPUTED_VALUE"""),"田丸篤志")</f>
        <v>田丸篤志</v>
      </c>
      <c r="C986" s="1" t="s">
        <v>36</v>
      </c>
      <c r="D986" s="1" t="str">
        <f>IF(C986="", "", IFERROR(VLOOKUP(C986, 作品一覧!A:B, 2, FALSE), "該当なし"))</f>
        <v>イケメン源氏伝 あやかし恋えにし</v>
      </c>
      <c r="E986" s="1" t="str">
        <f ca="1">IFERROR(__xludf.DUMMYFUNCTION("""COMPUTED_VALUE"""),"玉藻")</f>
        <v>玉藻</v>
      </c>
      <c r="F986" s="6" t="s">
        <v>1804</v>
      </c>
    </row>
    <row r="987" spans="1:6" ht="13.8">
      <c r="A987" s="1" t="str">
        <f t="array" aca="1" ref="A987" ca="1">IF(B987="", "", IFERROR(INDEX(声優一覧!A:A, MATCH(B987, 声優一覧!B:B, 0)), "該当なし"))</f>
        <v>va_265</v>
      </c>
      <c r="B987" s="1" t="str">
        <f ca="1">IFERROR(__xludf.DUMMYFUNCTION("""COMPUTED_VALUE"""),"石田彰")</f>
        <v>石田彰</v>
      </c>
      <c r="C987" s="1" t="s">
        <v>36</v>
      </c>
      <c r="D987" s="1" t="str">
        <f>IF(C987="", "", IFERROR(VLOOKUP(C987, 作品一覧!A:B, 2, FALSE), "該当なし"))</f>
        <v>イケメン源氏伝 あやかし恋えにし</v>
      </c>
      <c r="E987" s="1" t="str">
        <f ca="1">IFERROR(__xludf.DUMMYFUNCTION("""COMPUTED_VALUE"""),"源義経")</f>
        <v>源義経</v>
      </c>
      <c r="F987" s="6" t="s">
        <v>1805</v>
      </c>
    </row>
    <row r="988" spans="1:6" ht="13.8">
      <c r="A988" s="1" t="str">
        <f t="array" aca="1" ref="A988" ca="1">IF(B988="", "", IFERROR(INDEX(声優一覧!A:A, MATCH(B988, 声優一覧!B:B, 0)), "該当なし"))</f>
        <v>va_101</v>
      </c>
      <c r="B988" s="1" t="str">
        <f ca="1">IFERROR(__xludf.DUMMYFUNCTION("""COMPUTED_VALUE"""),"鈴木崚汰")</f>
        <v>鈴木崚汰</v>
      </c>
      <c r="C988" s="1" t="s">
        <v>36</v>
      </c>
      <c r="D988" s="1" t="str">
        <f>IF(C988="", "", IFERROR(VLOOKUP(C988, 作品一覧!A:B, 2, FALSE), "該当なし"))</f>
        <v>イケメン源氏伝 あやかし恋えにし</v>
      </c>
      <c r="E988" s="1" t="str">
        <f ca="1">IFERROR(__xludf.DUMMYFUNCTION("""COMPUTED_VALUE"""),"那須与一")</f>
        <v>那須与一</v>
      </c>
      <c r="F988" s="6" t="s">
        <v>1806</v>
      </c>
    </row>
    <row r="989" spans="1:6" ht="13.8">
      <c r="A989" s="1" t="str">
        <f t="array" aca="1" ref="A989" ca="1">IF(B989="", "", IFERROR(INDEX(声優一覧!A:A, MATCH(B989, 声優一覧!B:B, 0)), "該当なし"))</f>
        <v>va_291</v>
      </c>
      <c r="B989" s="1" t="str">
        <f ca="1">IFERROR(__xludf.DUMMYFUNCTION("""COMPUTED_VALUE"""),"関智一")</f>
        <v>関智一</v>
      </c>
      <c r="C989" s="1" t="s">
        <v>36</v>
      </c>
      <c r="D989" s="1" t="str">
        <f>IF(C989="", "", IFERROR(VLOOKUP(C989, 作品一覧!A:B, 2, FALSE), "該当なし"))</f>
        <v>イケメン源氏伝 あやかし恋えにし</v>
      </c>
      <c r="E989" s="1" t="str">
        <f ca="1">IFERROR(__xludf.DUMMYFUNCTION("""COMPUTED_VALUE"""),"武蔵坊弁慶")</f>
        <v>武蔵坊弁慶</v>
      </c>
      <c r="F989" s="6" t="s">
        <v>1807</v>
      </c>
    </row>
    <row r="990" spans="1:6" ht="13.8">
      <c r="A990" s="1" t="str">
        <f t="array" aca="1" ref="A990" ca="1">IF(B990="", "", IFERROR(INDEX(声優一覧!A:A, MATCH(B990, 声優一覧!B:B, 0)), "該当なし"))</f>
        <v>va_186</v>
      </c>
      <c r="B990" s="1" t="str">
        <f ca="1">IFERROR(__xludf.DUMMYFUNCTION("""COMPUTED_VALUE"""),"森川智之")</f>
        <v>森川智之</v>
      </c>
      <c r="C990" s="1" t="s">
        <v>36</v>
      </c>
      <c r="D990" s="1" t="str">
        <f>IF(C990="", "", IFERROR(VLOOKUP(C990, 作品一覧!A:B, 2, FALSE), "該当なし"))</f>
        <v>イケメン源氏伝 あやかし恋えにし</v>
      </c>
      <c r="E990" s="1" t="str">
        <f ca="1">IFERROR(__xludf.DUMMYFUNCTION("""COMPUTED_VALUE"""),"鞍馬")</f>
        <v>鞍馬</v>
      </c>
      <c r="F990" s="6" t="s">
        <v>1808</v>
      </c>
    </row>
    <row r="991" spans="1:6" ht="13.8">
      <c r="A991" s="1" t="str">
        <f t="array" aca="1" ref="A991" ca="1">IF(B991="", "", IFERROR(INDEX(声優一覧!A:A, MATCH(B991, 声優一覧!B:B, 0)), "該当なし"))</f>
        <v>va_138</v>
      </c>
      <c r="B991" s="1" t="str">
        <f ca="1">IFERROR(__xludf.DUMMYFUNCTION("""COMPUTED_VALUE"""),"浪川大輔")</f>
        <v>浪川大輔</v>
      </c>
      <c r="C991" s="1" t="s">
        <v>36</v>
      </c>
      <c r="D991" s="1" t="str">
        <f>IF(C991="", "", IFERROR(VLOOKUP(C991, 作品一覧!A:B, 2, FALSE), "該当なし"))</f>
        <v>イケメン源氏伝 あやかし恋えにし</v>
      </c>
      <c r="E991" s="1" t="str">
        <f ca="1">IFERROR(__xludf.DUMMYFUNCTION("""COMPUTED_VALUE"""),"安倍泰親")</f>
        <v>安倍泰親</v>
      </c>
      <c r="F991" s="6" t="s">
        <v>1809</v>
      </c>
    </row>
    <row r="992" spans="1:6" ht="13.8">
      <c r="A992" s="1" t="str">
        <f t="array" aca="1" ref="A992" ca="1">IF(B992="", "", IFERROR(INDEX(声優一覧!A:A, MATCH(B992, 声優一覧!B:B, 0)), "該当なし"))</f>
        <v>va_076</v>
      </c>
      <c r="B992" s="1" t="str">
        <f ca="1">IFERROR(__xludf.DUMMYFUNCTION("""COMPUTED_VALUE"""),"小松昌平")</f>
        <v>小松昌平</v>
      </c>
      <c r="C992" s="1" t="s">
        <v>36</v>
      </c>
      <c r="D992" s="1" t="str">
        <f>IF(C992="", "", IFERROR(VLOOKUP(C992, 作品一覧!A:B, 2, FALSE), "該当なし"))</f>
        <v>イケメン源氏伝 あやかし恋えにし</v>
      </c>
      <c r="E992" s="1" t="str">
        <f ca="1">IFERROR(__xludf.DUMMYFUNCTION("""COMPUTED_VALUE"""),"橘次末春")</f>
        <v>橘次末春</v>
      </c>
      <c r="F992" s="6" t="s">
        <v>1810</v>
      </c>
    </row>
    <row r="993" spans="1:6" ht="13.8">
      <c r="A993" s="1" t="str">
        <f t="array" aca="1" ref="A993" ca="1">IF(B993="", "", IFERROR(INDEX(声優一覧!A:A, MATCH(B993, 声優一覧!B:B, 0)), "該当なし"))</f>
        <v>va_102</v>
      </c>
      <c r="B993" s="1" t="str">
        <f ca="1">IFERROR(__xludf.DUMMYFUNCTION("""COMPUTED_VALUE"""),"諏訪部順一")</f>
        <v>諏訪部順一</v>
      </c>
      <c r="C993" s="1" t="s">
        <v>36</v>
      </c>
      <c r="D993" s="1" t="str">
        <f>IF(C993="", "", IFERROR(VLOOKUP(C993, 作品一覧!A:B, 2, FALSE), "該当なし"))</f>
        <v>イケメン源氏伝 あやかし恋えにし</v>
      </c>
      <c r="E993" s="1" t="str">
        <f ca="1">IFERROR(__xludf.DUMMYFUNCTION("""COMPUTED_VALUE"""),"伊吹")</f>
        <v>伊吹</v>
      </c>
      <c r="F993" s="6" t="s">
        <v>1811</v>
      </c>
    </row>
    <row r="994" spans="1:6" ht="13.8">
      <c r="A994" s="1" t="str">
        <f t="array" aca="1" ref="A994" ca="1">IF(B994="", "", IFERROR(INDEX(声優一覧!A:A, MATCH(B994, 声優一覧!B:B, 0)), "該当なし"))</f>
        <v>va_313</v>
      </c>
      <c r="B994" s="1" t="str">
        <f ca="1">IFERROR(__xludf.DUMMYFUNCTION("""COMPUTED_VALUE"""),"岩永徹也")</f>
        <v>岩永徹也</v>
      </c>
      <c r="C994" s="1" t="s">
        <v>36</v>
      </c>
      <c r="D994" s="1" t="str">
        <f>IF(C994="", "", IFERROR(VLOOKUP(C994, 作品一覧!A:B, 2, FALSE), "該当なし"))</f>
        <v>イケメン源氏伝 あやかし恋えにし</v>
      </c>
      <c r="E994" s="1" t="str">
        <f ca="1">IFERROR(__xludf.DUMMYFUNCTION("""COMPUTED_VALUE"""),"崇徳院/顕仁")</f>
        <v>崇徳院/顕仁</v>
      </c>
      <c r="F994" s="6" t="s">
        <v>1812</v>
      </c>
    </row>
    <row r="995" spans="1:6" ht="13.8">
      <c r="A995" s="1" t="str">
        <f t="array" aca="1" ref="A995" ca="1">IF(B995="", "", IFERROR(INDEX(声優一覧!A:A, MATCH(B995, 声優一覧!B:B, 0)), "該当なし"))</f>
        <v>va_133</v>
      </c>
      <c r="B995" s="1" t="str">
        <f ca="1">IFERROR(__xludf.DUMMYFUNCTION("""COMPUTED_VALUE"""),"中澤まさとも")</f>
        <v>中澤まさとも</v>
      </c>
      <c r="C995" s="1" t="s">
        <v>36</v>
      </c>
      <c r="D995" s="1" t="str">
        <f>IF(C995="", "", IFERROR(VLOOKUP(C995, 作品一覧!A:B, 2, FALSE), "該当なし"))</f>
        <v>イケメン源氏伝 あやかし恋えにし</v>
      </c>
      <c r="E995" s="1" t="str">
        <f ca="1">IFERROR(__xludf.DUMMYFUNCTION("""COMPUTED_VALUE"""),"六花")</f>
        <v>六花</v>
      </c>
      <c r="F995" s="6" t="s">
        <v>1813</v>
      </c>
    </row>
    <row r="996" spans="1:6" ht="13.8">
      <c r="A996" s="1" t="str">
        <f t="array" aca="1" ref="A996" ca="1">IF(B996="", "", IFERROR(INDEX(声優一覧!A:A, MATCH(B996, 声優一覧!B:B, 0)), "該当なし"))</f>
        <v>va_200</v>
      </c>
      <c r="B996" s="1" t="str">
        <f ca="1">IFERROR(__xludf.DUMMYFUNCTION("""COMPUTED_VALUE"""),"KENN")</f>
        <v>KENN</v>
      </c>
      <c r="C996" s="1" t="s">
        <v>38</v>
      </c>
      <c r="D996" s="1" t="str">
        <f>IF(C996="", "", IFERROR(VLOOKUP(C996, 作品一覧!A:B, 2, FALSE), "該当なし"))</f>
        <v>イケメンライブ 恋の歌をキミに</v>
      </c>
      <c r="E996" s="1" t="str">
        <f ca="1">IFERROR(__xludf.DUMMYFUNCTION("""COMPUTED_VALUE"""),"朱真遥音")</f>
        <v>朱真遥音</v>
      </c>
      <c r="F996" s="6" t="s">
        <v>1814</v>
      </c>
    </row>
    <row r="997" spans="1:6" ht="13.8">
      <c r="A997" s="1" t="str">
        <f t="array" aca="1" ref="A997" ca="1">IF(B997="", "", IFERROR(INDEX(声優一覧!A:A, MATCH(B997, 声優一覧!B:B, 0)), "該当なし"))</f>
        <v>va_009</v>
      </c>
      <c r="B997" s="1" t="str">
        <f ca="1">IFERROR(__xludf.DUMMYFUNCTION("""COMPUTED_VALUE"""),"蒼井翔太")</f>
        <v>蒼井翔太</v>
      </c>
      <c r="C997" s="1" t="s">
        <v>38</v>
      </c>
      <c r="D997" s="1" t="str">
        <f>IF(C997="", "", IFERROR(VLOOKUP(C997, 作品一覧!A:B, 2, FALSE), "該当なし"))</f>
        <v>イケメンライブ 恋の歌をキミに</v>
      </c>
      <c r="E997" s="1" t="str">
        <f ca="1">IFERROR(__xludf.DUMMYFUNCTION("""COMPUTED_VALUE"""),"銀波律")</f>
        <v>銀波律</v>
      </c>
      <c r="F997" s="6" t="s">
        <v>1815</v>
      </c>
    </row>
    <row r="998" spans="1:6" ht="13.8">
      <c r="A998" s="1" t="str">
        <f t="array" aca="1" ref="A998" ca="1">IF(B998="", "", IFERROR(INDEX(声優一覧!A:A, MATCH(B998, 声優一覧!B:B, 0)), "該当なし"))</f>
        <v>va_115</v>
      </c>
      <c r="B998" s="1" t="str">
        <f ca="1">IFERROR(__xludf.DUMMYFUNCTION("""COMPUTED_VALUE"""),"谷山紀章")</f>
        <v>谷山紀章</v>
      </c>
      <c r="C998" s="1" t="s">
        <v>38</v>
      </c>
      <c r="D998" s="1" t="str">
        <f>IF(C998="", "", IFERROR(VLOOKUP(C998, 作品一覧!A:B, 2, FALSE), "該当なし"))</f>
        <v>イケメンライブ 恋の歌をキミに</v>
      </c>
      <c r="E998" s="1" t="str">
        <f ca="1">IFERROR(__xludf.DUMMYFUNCTION("""COMPUTED_VALUE"""),"東雲詠介")</f>
        <v>東雲詠介</v>
      </c>
      <c r="F998" s="6" t="s">
        <v>1816</v>
      </c>
    </row>
    <row r="999" spans="1:6" ht="13.8">
      <c r="A999" s="1" t="str">
        <f t="array" aca="1" ref="A999" ca="1">IF(B999="", "", IFERROR(INDEX(声優一覧!A:A, MATCH(B999, 声優一覧!B:B, 0)), "該当なし"))</f>
        <v>va_051</v>
      </c>
      <c r="B999" s="1" t="str">
        <f ca="1">IFERROR(__xludf.DUMMYFUNCTION("""COMPUTED_VALUE"""),"梶裕貴")</f>
        <v>梶裕貴</v>
      </c>
      <c r="C999" s="1" t="s">
        <v>38</v>
      </c>
      <c r="D999" s="1" t="str">
        <f>IF(C999="", "", IFERROR(VLOOKUP(C999, 作品一覧!A:B, 2, FALSE), "該当なし"))</f>
        <v>イケメンライブ 恋の歌をキミに</v>
      </c>
      <c r="E999" s="1" t="str">
        <f ca="1">IFERROR(__xludf.DUMMYFUNCTION("""COMPUTED_VALUE"""),"蘇芳楽")</f>
        <v>蘇芳楽</v>
      </c>
      <c r="F999" s="6" t="s">
        <v>1817</v>
      </c>
    </row>
    <row r="1000" spans="1:6" ht="13.8">
      <c r="A1000" s="1" t="str">
        <f t="array" aca="1" ref="A1000" ca="1">IF(B1000="", "", IFERROR(INDEX(声優一覧!A:A, MATCH(B1000, 声優一覧!B:B, 0)), "該当なし"))</f>
        <v>va_158</v>
      </c>
      <c r="B1000" s="1" t="str">
        <f ca="1">IFERROR(__xludf.DUMMYFUNCTION("""COMPUTED_VALUE"""),"深町寿成")</f>
        <v>深町寿成</v>
      </c>
      <c r="C1000" s="1" t="s">
        <v>38</v>
      </c>
      <c r="D1000" s="1" t="str">
        <f>IF(C1000="", "", IFERROR(VLOOKUP(C1000, 作品一覧!A:B, 2, FALSE), "該当なし"))</f>
        <v>イケメンライブ 恋の歌をキミに</v>
      </c>
      <c r="E1000" s="1" t="str">
        <f ca="1">IFERROR(__xludf.DUMMYFUNCTION("""COMPUTED_VALUE"""),"眞白奏")</f>
        <v>眞白奏</v>
      </c>
      <c r="F1000" s="6" t="s">
        <v>1818</v>
      </c>
    </row>
    <row r="1001" spans="1:6" ht="13.8">
      <c r="A1001" s="1" t="str">
        <f t="array" aca="1" ref="A1001" ca="1">IF(B1001="", "", IFERROR(INDEX(声優一覧!A:A, MATCH(B1001, 声優一覧!B:B, 0)), "該当なし"))</f>
        <v>va_019</v>
      </c>
      <c r="B1001" s="1" t="str">
        <f ca="1">IFERROR(__xludf.DUMMYFUNCTION("""COMPUTED_VALUE"""),"伊東健人")</f>
        <v>伊東健人</v>
      </c>
      <c r="C1001" s="1" t="s">
        <v>38</v>
      </c>
      <c r="D1001" s="1" t="str">
        <f>IF(C1001="", "", IFERROR(VLOOKUP(C1001, 作品一覧!A:B, 2, FALSE), "該当なし"))</f>
        <v>イケメンライブ 恋の歌をキミに</v>
      </c>
      <c r="E1001" s="1" t="str">
        <f ca="1">IFERROR(__xludf.DUMMYFUNCTION("""COMPUTED_VALUE"""),"千草響一郎")</f>
        <v>千草響一郎</v>
      </c>
      <c r="F1001" s="6" t="s">
        <v>1819</v>
      </c>
    </row>
    <row r="1002" spans="1:6" ht="15">
      <c r="A1002" s="1" t="str">
        <f t="array" aca="1" ref="A1002" ca="1">IF(B1002="", "", IFERROR(INDEX(声優一覧!A:A, MATCH(B1002, 声優一覧!B:B, 0)), "該当なし"))</f>
        <v>va_215</v>
      </c>
      <c r="B1002" s="1" t="str">
        <f ca="1">IFERROR(__xludf.DUMMYFUNCTION("""COMPUTED_VALUE"""),"大河元気")</f>
        <v>大河元気</v>
      </c>
      <c r="C1002" s="1" t="s">
        <v>38</v>
      </c>
      <c r="D1002" s="1" t="str">
        <f>IF(C1002="", "", IFERROR(VLOOKUP(C1002, 作品一覧!A:B, 2, FALSE), "該当なし"))</f>
        <v>イケメンライブ 恋の歌をキミに</v>
      </c>
      <c r="E1002" s="1" t="str">
        <f ca="1">IFERROR(__xludf.DUMMYFUNCTION("""COMPUTED_VALUE"""),"天宮アンリ")</f>
        <v>天宮アンリ</v>
      </c>
      <c r="F1002" s="11" t="s">
        <v>1820</v>
      </c>
    </row>
    <row r="1003" spans="1:6" ht="15">
      <c r="A1003" s="1" t="str">
        <f t="array" aca="1" ref="A1003" ca="1">IF(B1003="", "", IFERROR(INDEX(声優一覧!A:A, MATCH(B1003, 声優一覧!B:B, 0)), "該当なし"))</f>
        <v>va_081</v>
      </c>
      <c r="B1003" s="1" t="str">
        <f ca="1">IFERROR(__xludf.DUMMYFUNCTION("""COMPUTED_VALUE"""),"近藤隆")</f>
        <v>近藤隆</v>
      </c>
      <c r="C1003" s="1" t="s">
        <v>38</v>
      </c>
      <c r="D1003" s="1" t="str">
        <f>IF(C1003="", "", IFERROR(VLOOKUP(C1003, 作品一覧!A:B, 2, FALSE), "該当なし"))</f>
        <v>イケメンライブ 恋の歌をキミに</v>
      </c>
      <c r="E1003" s="1" t="str">
        <f ca="1">IFERROR(__xludf.DUMMYFUNCTION("""COMPUTED_VALUE"""),"藍墨晃揮")</f>
        <v>藍墨晃揮</v>
      </c>
      <c r="F1003" s="11" t="s">
        <v>1821</v>
      </c>
    </row>
    <row r="1004" spans="1:6" ht="13.8">
      <c r="A1004" s="1" t="str">
        <f t="array" aca="1" ref="A1004" ca="1">IF(B1004="", "", IFERROR(INDEX(声優一覧!A:A, MATCH(B1004, 声優一覧!B:B, 0)), "該当なし"))</f>
        <v>va_206</v>
      </c>
      <c r="B1004" s="1" t="str">
        <f ca="1">IFERROR(__xludf.DUMMYFUNCTION("""COMPUTED_VALUE"""),"黒田崇矢")</f>
        <v>黒田崇矢</v>
      </c>
      <c r="C1004" s="1" t="s">
        <v>38</v>
      </c>
      <c r="D1004" s="1" t="str">
        <f>IF(C1004="", "", IFERROR(VLOOKUP(C1004, 作品一覧!A:B, 2, FALSE), "該当なし"))</f>
        <v>イケメンライブ 恋の歌をキミに</v>
      </c>
      <c r="E1004" s="1" t="str">
        <f ca="1">IFERROR(__xludf.DUMMYFUNCTION("""COMPUTED_VALUE"""),"藤代旋")</f>
        <v>藤代旋</v>
      </c>
      <c r="F1004" s="6" t="s">
        <v>1822</v>
      </c>
    </row>
    <row r="1005" spans="1:6" ht="13.8">
      <c r="A1005" s="1" t="str">
        <f t="array" aca="1" ref="A1005" ca="1">IF(B1005="", "", IFERROR(INDEX(声優一覧!A:A, MATCH(B1005, 声優一覧!B:B, 0)), "該当なし"))</f>
        <v>va_314</v>
      </c>
      <c r="B1005" s="1" t="str">
        <f ca="1">IFERROR(__xludf.DUMMYFUNCTION("""COMPUTED_VALUE"""),"植田圭輔")</f>
        <v>植田圭輔</v>
      </c>
      <c r="C1005" s="1" t="s">
        <v>38</v>
      </c>
      <c r="D1005" s="1" t="str">
        <f>IF(C1005="", "", IFERROR(VLOOKUP(C1005, 作品一覧!A:B, 2, FALSE), "該当なし"))</f>
        <v>イケメンライブ 恋の歌をキミに</v>
      </c>
      <c r="E1005" s="1" t="str">
        <f ca="1">IFERROR(__xludf.DUMMYFUNCTION("""COMPUTED_VALUE"""),"銀波弓弦")</f>
        <v>銀波弓弦</v>
      </c>
      <c r="F1005" s="6" t="s">
        <v>1823</v>
      </c>
    </row>
    <row r="1006" spans="1:6" ht="13.8">
      <c r="A1006" s="1" t="str">
        <f t="array" aca="1" ref="A1006" ca="1">IF(B1006="", "", IFERROR(INDEX(声優一覧!A:A, MATCH(B1006, 声優一覧!B:B, 0)), "該当なし"))</f>
        <v>va_046</v>
      </c>
      <c r="B1006" s="1" t="str">
        <f ca="1">IFERROR(__xludf.DUMMYFUNCTION("""COMPUTED_VALUE"""),"小野友樹")</f>
        <v>小野友樹</v>
      </c>
      <c r="C1006" s="1" t="s">
        <v>38</v>
      </c>
      <c r="D1006" s="1" t="str">
        <f>IF(C1006="", "", IFERROR(VLOOKUP(C1006, 作品一覧!A:B, 2, FALSE), "該当なし"))</f>
        <v>イケメンライブ 恋の歌をキミに</v>
      </c>
      <c r="E1006" s="1" t="str">
        <f ca="1">IFERROR(__xludf.DUMMYFUNCTION("""COMPUTED_VALUE"""),"椿麻琴")</f>
        <v>椿麻琴</v>
      </c>
      <c r="F1006" s="6" t="s">
        <v>1824</v>
      </c>
    </row>
    <row r="1007" spans="1:6" ht="13.8">
      <c r="A1007" s="1" t="str">
        <f t="array" aca="1" ref="A1007" ca="1">IF(B1007="", "", IFERROR(INDEX(声優一覧!A:A, MATCH(B1007, 声優一覧!B:B, 0)), "該当なし"))</f>
        <v>va_016</v>
      </c>
      <c r="B1007" s="1" t="str">
        <f ca="1">IFERROR(__xludf.DUMMYFUNCTION("""COMPUTED_VALUE"""),"市川太一")</f>
        <v>市川太一</v>
      </c>
      <c r="C1007" s="1" t="s">
        <v>38</v>
      </c>
      <c r="D1007" s="1" t="str">
        <f>IF(C1007="", "", IFERROR(VLOOKUP(C1007, 作品一覧!A:B, 2, FALSE), "該当なし"))</f>
        <v>イケメンライブ 恋の歌をキミに</v>
      </c>
      <c r="E1007" s="1" t="str">
        <f ca="1">IFERROR(__xludf.DUMMYFUNCTION("""COMPUTED_VALUE"""),"木蘭宗詩")</f>
        <v>木蘭宗詩</v>
      </c>
      <c r="F1007" s="6" t="s">
        <v>1825</v>
      </c>
    </row>
    <row r="1008" spans="1:6" ht="13.8">
      <c r="A1008" s="1" t="str">
        <f t="array" aca="1" ref="A1008" ca="1">IF(B1008="", "", IFERROR(INDEX(声優一覧!A:A, MATCH(B1008, 声優一覧!B:B, 0)), "該当なし"))</f>
        <v>va_094</v>
      </c>
      <c r="B1008" s="1" t="str">
        <f ca="1">IFERROR(__xludf.DUMMYFUNCTION("""COMPUTED_VALUE"""),"島﨑信長")</f>
        <v>島﨑信長</v>
      </c>
      <c r="C1008" s="1" t="s">
        <v>42</v>
      </c>
      <c r="D1008" s="1" t="str">
        <f>IF(C1008="", "", IFERROR(VLOOKUP(C1008, 作品一覧!A:B, 2, FALSE), "該当なし"))</f>
        <v>イケメンヴァンパイア◆偉人たちと恋の誘惑</v>
      </c>
      <c r="E1008" s="1" t="str">
        <f ca="1">IFERROR(__xludf.DUMMYFUNCTION("""COMPUTED_VALUE"""),"ナポレオン・ボナパルト")</f>
        <v>ナポレオン・ボナパルト</v>
      </c>
      <c r="F1008" s="6" t="s">
        <v>1826</v>
      </c>
    </row>
    <row r="1009" spans="1:6" ht="13.8">
      <c r="A1009" s="1" t="str">
        <f t="array" aca="1" ref="A1009" ca="1">IF(B1009="", "", IFERROR(INDEX(声優一覧!A:A, MATCH(B1009, 声優一覧!B:B, 0)), "該当なし"))</f>
        <v>va_131</v>
      </c>
      <c r="B1009" s="1" t="str">
        <f ca="1">IFERROR(__xludf.DUMMYFUNCTION("""COMPUTED_VALUE"""),"豊永利行")</f>
        <v>豊永利行</v>
      </c>
      <c r="C1009" s="1" t="s">
        <v>42</v>
      </c>
      <c r="D1009" s="1" t="str">
        <f>IF(C1009="", "", IFERROR(VLOOKUP(C1009, 作品一覧!A:B, 2, FALSE), "該当なし"))</f>
        <v>イケメンヴァンパイア◆偉人たちと恋の誘惑</v>
      </c>
      <c r="E1009" s="1" t="str">
        <f ca="1">IFERROR(__xludf.DUMMYFUNCTION("""COMPUTED_VALUE"""),"ヴォルフガング・アマデウス・モーツァルト")</f>
        <v>ヴォルフガング・アマデウス・モーツァルト</v>
      </c>
      <c r="F1009" s="6" t="s">
        <v>1827</v>
      </c>
    </row>
    <row r="1010" spans="1:6" ht="13.8">
      <c r="A1010" s="1" t="str">
        <f t="array" aca="1" ref="A1010" ca="1">IF(B1010="", "", IFERROR(INDEX(声優一覧!A:A, MATCH(B1010, 声優一覧!B:B, 0)), "該当なし"))</f>
        <v>va_120</v>
      </c>
      <c r="B1010" s="1" t="str">
        <f ca="1">IFERROR(__xludf.DUMMYFUNCTION("""COMPUTED_VALUE"""),"津田健次郎")</f>
        <v>津田健次郎</v>
      </c>
      <c r="C1010" s="1" t="s">
        <v>42</v>
      </c>
      <c r="D1010" s="1" t="str">
        <f>IF(C1010="", "", IFERROR(VLOOKUP(C1010, 作品一覧!A:B, 2, FALSE), "該当なし"))</f>
        <v>イケメンヴァンパイア◆偉人たちと恋の誘惑</v>
      </c>
      <c r="E1010" s="1" t="str">
        <f ca="1">IFERROR(__xludf.DUMMYFUNCTION("""COMPUTED_VALUE"""),"レオナルド・ダ・ヴィンチ")</f>
        <v>レオナルド・ダ・ヴィンチ</v>
      </c>
      <c r="F1010" s="6" t="s">
        <v>1828</v>
      </c>
    </row>
    <row r="1011" spans="1:6" ht="13.8">
      <c r="A1011" s="1" t="str">
        <f t="array" aca="1" ref="A1011" ca="1">IF(B1011="", "", IFERROR(INDEX(声優一覧!A:A, MATCH(B1011, 声優一覧!B:B, 0)), "該当なし"))</f>
        <v>va_066</v>
      </c>
      <c r="B1011" s="1" t="str">
        <f ca="1">IFERROR(__xludf.DUMMYFUNCTION("""COMPUTED_VALUE"""),"木村良平")</f>
        <v>木村良平</v>
      </c>
      <c r="C1011" s="1" t="s">
        <v>42</v>
      </c>
      <c r="D1011" s="1" t="str">
        <f>IF(C1011="", "", IFERROR(VLOOKUP(C1011, 作品一覧!A:B, 2, FALSE), "該当なし"))</f>
        <v>イケメンヴァンパイア◆偉人たちと恋の誘惑</v>
      </c>
      <c r="E1011" s="1" t="str">
        <f ca="1">IFERROR(__xludf.DUMMYFUNCTION("""COMPUTED_VALUE"""),"アーサー・コナン・ドイル")</f>
        <v>アーサー・コナン・ドイル</v>
      </c>
      <c r="F1011" s="6" t="s">
        <v>1829</v>
      </c>
    </row>
    <row r="1012" spans="1:6" ht="13.8">
      <c r="A1012" s="1" t="str">
        <f t="array" aca="1" ref="A1012" ca="1">IF(B1012="", "", IFERROR(INDEX(声優一覧!A:A, MATCH(B1012, 声優一覧!B:B, 0)), "該当なし"))</f>
        <v>va_315</v>
      </c>
      <c r="B1012" s="1" t="str">
        <f ca="1">IFERROR(__xludf.DUMMYFUNCTION("""COMPUTED_VALUE"""),"荒牧慶彦")</f>
        <v>荒牧慶彦</v>
      </c>
      <c r="C1012" s="1" t="s">
        <v>42</v>
      </c>
      <c r="D1012" s="1" t="str">
        <f>IF(C1012="", "", IFERROR(VLOOKUP(C1012, 作品一覧!A:B, 2, FALSE), "該当なし"))</f>
        <v>イケメンヴァンパイア◆偉人たちと恋の誘惑</v>
      </c>
      <c r="E1012" s="1" t="str">
        <f ca="1">IFERROR(__xludf.DUMMYFUNCTION("""COMPUTED_VALUE"""),"フィンセント・ファン・ゴッホ")</f>
        <v>フィンセント・ファン・ゴッホ</v>
      </c>
      <c r="F1012" s="6" t="s">
        <v>1830</v>
      </c>
    </row>
    <row r="1013" spans="1:6" ht="13.8">
      <c r="A1013" s="1" t="str">
        <f t="array" aca="1" ref="A1013" ca="1">IF(B1013="", "", IFERROR(INDEX(声優一覧!A:A, MATCH(B1013, 声優一覧!B:B, 0)), "該当なし"))</f>
        <v>va_316</v>
      </c>
      <c r="B1013" s="1" t="str">
        <f ca="1">IFERROR(__xludf.DUMMYFUNCTION("""COMPUTED_VALUE"""),"佐藤永典")</f>
        <v>佐藤永典</v>
      </c>
      <c r="C1013" s="1" t="s">
        <v>42</v>
      </c>
      <c r="D1013" s="1" t="str">
        <f>IF(C1013="", "", IFERROR(VLOOKUP(C1013, 作品一覧!A:B, 2, FALSE), "該当なし"))</f>
        <v>イケメンヴァンパイア◆偉人たちと恋の誘惑</v>
      </c>
      <c r="E1013" s="1" t="str">
        <f ca="1">IFERROR(__xludf.DUMMYFUNCTION("""COMPUTED_VALUE"""),"テオドルス・ファン・ゴッホ")</f>
        <v>テオドルス・ファン・ゴッホ</v>
      </c>
      <c r="F1013" s="6" t="s">
        <v>1831</v>
      </c>
    </row>
    <row r="1014" spans="1:6" ht="15">
      <c r="A1014" s="1" t="str">
        <f t="array" aca="1" ref="A1014" ca="1">IF(B1014="", "", IFERROR(INDEX(声優一覧!A:A, MATCH(B1014, 声優一覧!B:B, 0)), "該当なし"))</f>
        <v>va_188</v>
      </c>
      <c r="B1014" s="1" t="str">
        <f ca="1">IFERROR(__xludf.DUMMYFUNCTION("""COMPUTED_VALUE"""),"八代拓")</f>
        <v>八代拓</v>
      </c>
      <c r="C1014" s="1" t="s">
        <v>42</v>
      </c>
      <c r="D1014" s="1" t="str">
        <f>IF(C1014="", "", IFERROR(VLOOKUP(C1014, 作品一覧!A:B, 2, FALSE), "該当なし"))</f>
        <v>イケメンヴァンパイア◆偉人たちと恋の誘惑</v>
      </c>
      <c r="E1014" s="1" t="str">
        <f ca="1">IFERROR(__xludf.DUMMYFUNCTION("""COMPUTED_VALUE"""),"太宰治")</f>
        <v>太宰治</v>
      </c>
      <c r="F1014" s="11" t="s">
        <v>1832</v>
      </c>
    </row>
    <row r="1015" spans="1:6" ht="15">
      <c r="A1015" s="1" t="str">
        <f t="array" aca="1" ref="A1015" ca="1">IF(B1015="", "", IFERROR(INDEX(声優一覧!A:A, MATCH(B1015, 声優一覧!B:B, 0)), "該当なし"))</f>
        <v>va_009</v>
      </c>
      <c r="B1015" s="1" t="str">
        <f ca="1">IFERROR(__xludf.DUMMYFUNCTION("""COMPUTED_VALUE"""),"蒼井翔太")</f>
        <v>蒼井翔太</v>
      </c>
      <c r="C1015" s="1" t="s">
        <v>42</v>
      </c>
      <c r="D1015" s="1" t="str">
        <f>IF(C1015="", "", IFERROR(VLOOKUP(C1015, 作品一覧!A:B, 2, FALSE), "該当なし"))</f>
        <v>イケメンヴァンパイア◆偉人たちと恋の誘惑</v>
      </c>
      <c r="E1015" s="1" t="str">
        <f ca="1">IFERROR(__xludf.DUMMYFUNCTION("""COMPUTED_VALUE"""),"アイザック・ニュートン")</f>
        <v>アイザック・ニュートン</v>
      </c>
      <c r="F1015" s="11" t="s">
        <v>1833</v>
      </c>
    </row>
    <row r="1016" spans="1:6" ht="13.8">
      <c r="A1016" s="1" t="str">
        <f t="array" aca="1" ref="A1016" ca="1">IF(B1016="", "", IFERROR(INDEX(声優一覧!A:A, MATCH(B1016, 声優一覧!B:B, 0)), "該当なし"))</f>
        <v>va_317</v>
      </c>
      <c r="B1016" s="1" t="str">
        <f ca="1">IFERROR(__xludf.DUMMYFUNCTION("""COMPUTED_VALUE"""),"染谷俊之")</f>
        <v>染谷俊之</v>
      </c>
      <c r="C1016" s="1" t="s">
        <v>42</v>
      </c>
      <c r="D1016" s="1" t="str">
        <f>IF(C1016="", "", IFERROR(VLOOKUP(C1016, 作品一覧!A:B, 2, FALSE), "該当なし"))</f>
        <v>イケメンヴァンパイア◆偉人たちと恋の誘惑</v>
      </c>
      <c r="E1016" s="1" t="str">
        <f ca="1">IFERROR(__xludf.DUMMYFUNCTION("""COMPUTED_VALUE"""),"ジャンヌ・ダルク")</f>
        <v>ジャンヌ・ダルク</v>
      </c>
      <c r="F1016" s="6" t="s">
        <v>1834</v>
      </c>
    </row>
    <row r="1017" spans="1:6" ht="13.8">
      <c r="A1017" s="1" t="str">
        <f t="array" aca="1" ref="A1017" ca="1">IF(B1017="", "", IFERROR(INDEX(声優一覧!A:A, MATCH(B1017, 声優一覧!B:B, 0)), "該当なし"))</f>
        <v>va_157</v>
      </c>
      <c r="B1017" s="1" t="str">
        <f ca="1">IFERROR(__xludf.DUMMYFUNCTION("""COMPUTED_VALUE"""),"平川大輔")</f>
        <v>平川大輔</v>
      </c>
      <c r="C1017" s="1" t="s">
        <v>42</v>
      </c>
      <c r="D1017" s="1" t="str">
        <f>IF(C1017="", "", IFERROR(VLOOKUP(C1017, 作品一覧!A:B, 2, FALSE), "該当なし"))</f>
        <v>イケメンヴァンパイア◆偉人たちと恋の誘惑</v>
      </c>
      <c r="E1017" s="1" t="str">
        <f ca="1">IFERROR(__xludf.DUMMYFUNCTION("""COMPUTED_VALUE"""),"ウィリアム・シェイクスピア")</f>
        <v>ウィリアム・シェイクスピア</v>
      </c>
      <c r="F1017" s="6" t="s">
        <v>1835</v>
      </c>
    </row>
    <row r="1018" spans="1:6" ht="13.8">
      <c r="A1018" s="1" t="str">
        <f t="array" aca="1" ref="A1018" ca="1">IF(B1018="", "", IFERROR(INDEX(声優一覧!A:A, MATCH(B1018, 声優一覧!B:B, 0)), "該当なし"))</f>
        <v>va_318</v>
      </c>
      <c r="B1018" s="1" t="str">
        <f ca="1">IFERROR(__xludf.DUMMYFUNCTION("""COMPUTED_VALUE"""),"堀江一眞")</f>
        <v>堀江一眞</v>
      </c>
      <c r="C1018" s="1" t="s">
        <v>42</v>
      </c>
      <c r="D1018" s="1" t="str">
        <f>IF(C1018="", "", IFERROR(VLOOKUP(C1018, 作品一覧!A:B, 2, FALSE), "該当なし"))</f>
        <v>イケメンヴァンパイア◆偉人たちと恋の誘惑</v>
      </c>
      <c r="E1018" s="1" t="str">
        <f ca="1">IFERROR(__xludf.DUMMYFUNCTION("""COMPUTED_VALUE"""),"サン・ジェルマン伯爵")</f>
        <v>サン・ジェルマン伯爵</v>
      </c>
      <c r="F1018" s="6" t="s">
        <v>1836</v>
      </c>
    </row>
    <row r="1019" spans="1:6" ht="13.8">
      <c r="A1019" s="1" t="str">
        <f t="array" aca="1" ref="A1019" ca="1">IF(B1019="", "", IFERROR(INDEX(声優一覧!A:A, MATCH(B1019, 声優一覧!B:B, 0)), "該当なし"))</f>
        <v>va_319</v>
      </c>
      <c r="B1019" s="1" t="str">
        <f ca="1">IFERROR(__xludf.DUMMYFUNCTION("""COMPUTED_VALUE"""),"森嶋秀太")</f>
        <v>森嶋秀太</v>
      </c>
      <c r="C1019" s="1" t="s">
        <v>42</v>
      </c>
      <c r="D1019" s="1" t="str">
        <f>IF(C1019="", "", IFERROR(VLOOKUP(C1019, 作品一覧!A:B, 2, FALSE), "該当なし"))</f>
        <v>イケメンヴァンパイア◆偉人たちと恋の誘惑</v>
      </c>
      <c r="E1019" s="1" t="str">
        <f ca="1">IFERROR(__xludf.DUMMYFUNCTION("""COMPUTED_VALUE"""),"セバスチャン")</f>
        <v>セバスチャン</v>
      </c>
      <c r="F1019" s="6" t="s">
        <v>1837</v>
      </c>
    </row>
    <row r="1020" spans="1:6" ht="13.8">
      <c r="A1020" s="1" t="str">
        <f t="array" aca="1" ref="A1020" ca="1">IF(B1020="", "", IFERROR(INDEX(声優一覧!A:A, MATCH(B1020, 声優一覧!B:B, 0)), "該当なし"))</f>
        <v>va_083</v>
      </c>
      <c r="B1020" s="1" t="str">
        <f ca="1">IFERROR(__xludf.DUMMYFUNCTION("""COMPUTED_VALUE"""),"斉藤壮馬")</f>
        <v>斉藤壮馬</v>
      </c>
      <c r="C1020" s="1" t="s">
        <v>42</v>
      </c>
      <c r="D1020" s="1" t="str">
        <f>IF(C1020="", "", IFERROR(VLOOKUP(C1020, 作品一覧!A:B, 2, FALSE), "該当なし"))</f>
        <v>イケメンヴァンパイア◆偉人たちと恋の誘惑</v>
      </c>
      <c r="E1020" s="1" t="str">
        <f ca="1">IFERROR(__xludf.DUMMYFUNCTION("""COMPUTED_VALUE"""),"ヴラド")</f>
        <v>ヴラド</v>
      </c>
      <c r="F1020" s="6" t="s">
        <v>1838</v>
      </c>
    </row>
    <row r="1021" spans="1:6" ht="13.8">
      <c r="A1021" s="1" t="str">
        <f t="array" aca="1" ref="A1021" ca="1">IF(B1021="", "", IFERROR(INDEX(声優一覧!A:A, MATCH(B1021, 声優一覧!B:B, 0)), "該当なし"))</f>
        <v>va_060</v>
      </c>
      <c r="B1021" s="1" t="str">
        <f ca="1">IFERROR(__xludf.DUMMYFUNCTION("""COMPUTED_VALUE"""),"神尾晋一郎")</f>
        <v>神尾晋一郎</v>
      </c>
      <c r="C1021" s="1" t="s">
        <v>42</v>
      </c>
      <c r="D1021" s="1" t="str">
        <f>IF(C1021="", "", IFERROR(VLOOKUP(C1021, 作品一覧!A:B, 2, FALSE), "該当なし"))</f>
        <v>イケメンヴァンパイア◆偉人たちと恋の誘惑</v>
      </c>
      <c r="E1021" s="1" t="str">
        <f ca="1">IFERROR(__xludf.DUMMYFUNCTION("""COMPUTED_VALUE"""),"ヨハン・ゲオルク・ファウスト")</f>
        <v>ヨハン・ゲオルク・ファウスト</v>
      </c>
      <c r="F1021" s="6" t="s">
        <v>1839</v>
      </c>
    </row>
    <row r="1022" spans="1:6" ht="13.8">
      <c r="A1022" s="1" t="str">
        <f t="array" aca="1" ref="A1022" ca="1">IF(B1022="", "", IFERROR(INDEX(声優一覧!A:A, MATCH(B1022, 声優一覧!B:B, 0)), "該当なし"))</f>
        <v>va_063</v>
      </c>
      <c r="B1022" s="1" t="str">
        <f ca="1">IFERROR(__xludf.DUMMYFUNCTION("""COMPUTED_VALUE"""),"木島隆一")</f>
        <v>木島隆一</v>
      </c>
      <c r="C1022" s="1" t="s">
        <v>42</v>
      </c>
      <c r="D1022" s="1" t="str">
        <f>IF(C1022="", "", IFERROR(VLOOKUP(C1022, 作品一覧!A:B, 2, FALSE), "該当なし"))</f>
        <v>イケメンヴァンパイア◆偉人たちと恋の誘惑</v>
      </c>
      <c r="E1022" s="1" t="str">
        <f ca="1">IFERROR(__xludf.DUMMYFUNCTION("""COMPUTED_VALUE"""),"シャルル＝アンリ・サンソン")</f>
        <v>シャルル＝アンリ・サンソン</v>
      </c>
      <c r="F1022" s="6" t="s">
        <v>1840</v>
      </c>
    </row>
    <row r="1023" spans="1:6" ht="13.8">
      <c r="A1023" s="1" t="str">
        <f t="array" aca="1" ref="A1023" ca="1">IF(B1023="", "", IFERROR(INDEX(声優一覧!A:A, MATCH(B1023, 声優一覧!B:B, 0)), "該当なし"))</f>
        <v>va_161</v>
      </c>
      <c r="B1023" s="1" t="str">
        <f ca="1">IFERROR(__xludf.DUMMYFUNCTION("""COMPUTED_VALUE"""),"古川慎")</f>
        <v>古川慎</v>
      </c>
      <c r="C1023" s="1" t="s">
        <v>42</v>
      </c>
      <c r="D1023" s="1" t="str">
        <f>IF(C1023="", "", IFERROR(VLOOKUP(C1023, 作品一覧!A:B, 2, FALSE), "該当なし"))</f>
        <v>イケメンヴァンパイア◆偉人たちと恋の誘惑</v>
      </c>
      <c r="E1023" s="1" t="str">
        <f ca="1">IFERROR(__xludf.DUMMYFUNCTION("""COMPUTED_VALUE"""),"ガリレオ・ガリレイ")</f>
        <v>ガリレオ・ガリレイ</v>
      </c>
      <c r="F1023" s="6" t="s">
        <v>1841</v>
      </c>
    </row>
    <row r="1024" spans="1:6" ht="13.8">
      <c r="A1024" s="1" t="str">
        <f t="array" aca="1" ref="A1024" ca="1">IF(B1024="", "", IFERROR(INDEX(声優一覧!A:A, MATCH(B1024, 声優一覧!B:B, 0)), "該当なし"))</f>
        <v>va_147</v>
      </c>
      <c r="B1024" s="1" t="str">
        <f ca="1">IFERROR(__xludf.DUMMYFUNCTION("""COMPUTED_VALUE"""),"畠中祐")</f>
        <v>畠中祐</v>
      </c>
      <c r="C1024" s="1" t="s">
        <v>42</v>
      </c>
      <c r="D1024" s="1" t="str">
        <f>IF(C1024="", "", IFERROR(VLOOKUP(C1024, 作品一覧!A:B, 2, FALSE), "該当なし"))</f>
        <v>イケメンヴァンパイア◆偉人たちと恋の誘惑</v>
      </c>
      <c r="E1024" s="1" t="str">
        <f ca="1">IFERROR(__xludf.DUMMYFUNCTION("""COMPUTED_VALUE"""),"フランシス・ドレーク")</f>
        <v>フランシス・ドレーク</v>
      </c>
      <c r="F1024" s="6" t="s">
        <v>1842</v>
      </c>
    </row>
    <row r="1025" spans="1:6" ht="13.8">
      <c r="A1025" s="1" t="str">
        <f t="array" aca="1" ref="A1025" ca="1">IF(B1025="", "", IFERROR(INDEX(声優一覧!A:A, MATCH(B1025, 声優一覧!B:B, 0)), "該当なし"))</f>
        <v>va_042</v>
      </c>
      <c r="B1025" s="1" t="str">
        <f ca="1">IFERROR(__xludf.DUMMYFUNCTION("""COMPUTED_VALUE"""),"岡本信彦")</f>
        <v>岡本信彦</v>
      </c>
      <c r="C1025" s="1" t="s">
        <v>44</v>
      </c>
      <c r="D1025" s="1" t="str">
        <f>IF(C1025="", "", IFERROR(VLOOKUP(C1025, 作品一覧!A:B, 2, FALSE), "該当なし"))</f>
        <v>イケメン革命◆アリスと恋の魔法</v>
      </c>
      <c r="E1025" s="1" t="str">
        <f ca="1">IFERROR(__xludf.DUMMYFUNCTION("""COMPUTED_VALUE"""),"ランスロット＝キングスレー")</f>
        <v>ランスロット＝キングスレー</v>
      </c>
      <c r="F1025" s="6" t="s">
        <v>1843</v>
      </c>
    </row>
    <row r="1026" spans="1:6" ht="13.8">
      <c r="A1026" s="1" t="str">
        <f t="array" aca="1" ref="A1026" ca="1">IF(B1026="", "", IFERROR(INDEX(声優一覧!A:A, MATCH(B1026, 声優一覧!B:B, 0)), "該当なし"))</f>
        <v>va_150</v>
      </c>
      <c r="B1026" s="1" t="str">
        <f ca="1">IFERROR(__xludf.DUMMYFUNCTION("""COMPUTED_VALUE"""),"花江夏樹")</f>
        <v>花江夏樹</v>
      </c>
      <c r="C1026" s="1" t="s">
        <v>44</v>
      </c>
      <c r="D1026" s="1" t="str">
        <f>IF(C1026="", "", IFERROR(VLOOKUP(C1026, 作品一覧!A:B, 2, FALSE), "該当なし"))</f>
        <v>イケメン革命◆アリスと恋の魔法</v>
      </c>
      <c r="E1026" s="1" t="str">
        <f ca="1">IFERROR(__xludf.DUMMYFUNCTION("""COMPUTED_VALUE"""),"ヨナ＝クレメンス")</f>
        <v>ヨナ＝クレメンス</v>
      </c>
      <c r="F1026" s="6" t="s">
        <v>1844</v>
      </c>
    </row>
    <row r="1027" spans="1:6" ht="13.8">
      <c r="A1027" s="1" t="str">
        <f t="array" aca="1" ref="A1027" ca="1">IF(B1027="", "", IFERROR(INDEX(声優一覧!A:A, MATCH(B1027, 声優一覧!B:B, 0)), "該当なし"))</f>
        <v>va_188</v>
      </c>
      <c r="B1027" s="1" t="str">
        <f ca="1">IFERROR(__xludf.DUMMYFUNCTION("""COMPUTED_VALUE"""),"八代拓")</f>
        <v>八代拓</v>
      </c>
      <c r="C1027" s="1" t="s">
        <v>44</v>
      </c>
      <c r="D1027" s="1" t="str">
        <f>IF(C1027="", "", IFERROR(VLOOKUP(C1027, 作品一覧!A:B, 2, FALSE), "該当なし"))</f>
        <v>イケメン革命◆アリスと恋の魔法</v>
      </c>
      <c r="E1027" s="1" t="str">
        <f ca="1">IFERROR(__xludf.DUMMYFUNCTION("""COMPUTED_VALUE"""),"エドガー＝ブライト")</f>
        <v>エドガー＝ブライト</v>
      </c>
      <c r="F1027" s="6" t="s">
        <v>1845</v>
      </c>
    </row>
    <row r="1028" spans="1:6" ht="13.8">
      <c r="A1028" s="1" t="str">
        <f t="array" aca="1" ref="A1028" ca="1">IF(B1028="", "", IFERROR(INDEX(声優一覧!A:A, MATCH(B1028, 声優一覧!B:B, 0)), "該当なし"))</f>
        <v>va_069</v>
      </c>
      <c r="B1028" s="1" t="str">
        <f ca="1">IFERROR(__xludf.DUMMYFUNCTION("""COMPUTED_VALUE"""),"熊谷健太郎")</f>
        <v>熊谷健太郎</v>
      </c>
      <c r="C1028" s="1" t="s">
        <v>44</v>
      </c>
      <c r="D1028" s="1" t="str">
        <f>IF(C1028="", "", IFERROR(VLOOKUP(C1028, 作品一覧!A:B, 2, FALSE), "該当なし"))</f>
        <v>イケメン革命◆アリスと恋の魔法</v>
      </c>
      <c r="E1028" s="1" t="str">
        <f ca="1">IFERROR(__xludf.DUMMYFUNCTION("""COMPUTED_VALUE"""),"ゼロ")</f>
        <v>ゼロ</v>
      </c>
      <c r="F1028" s="6" t="s">
        <v>1846</v>
      </c>
    </row>
    <row r="1029" spans="1:6" ht="13.8">
      <c r="A1029" s="1" t="str">
        <f t="array" aca="1" ref="A1029" ca="1">IF(B1029="", "", IFERROR(INDEX(声優一覧!A:A, MATCH(B1029, 声優一覧!B:B, 0)), "該当なし"))</f>
        <v>va_161</v>
      </c>
      <c r="B1029" s="1" t="str">
        <f ca="1">IFERROR(__xludf.DUMMYFUNCTION("""COMPUTED_VALUE"""),"古川慎")</f>
        <v>古川慎</v>
      </c>
      <c r="C1029" s="1" t="s">
        <v>44</v>
      </c>
      <c r="D1029" s="1" t="str">
        <f>IF(C1029="", "", IFERROR(VLOOKUP(C1029, 作品一覧!A:B, 2, FALSE), "該当なし"))</f>
        <v>イケメン革命◆アリスと恋の魔法</v>
      </c>
      <c r="E1029" s="1" t="str">
        <f ca="1">IFERROR(__xludf.DUMMYFUNCTION("""COMPUTED_VALUE"""),"カイル＝アッシュ")</f>
        <v>カイル＝アッシュ</v>
      </c>
      <c r="F1029" s="6" t="s">
        <v>1847</v>
      </c>
    </row>
    <row r="1030" spans="1:6" ht="13.8">
      <c r="A1030" s="1" t="str">
        <f t="array" aca="1" ref="A1030" ca="1">IF(B1030="", "", IFERROR(INDEX(声優一覧!A:A, MATCH(B1030, 声優一覧!B:B, 0)), "該当なし"))</f>
        <v>va_095</v>
      </c>
      <c r="B1030" s="1" t="str">
        <f ca="1">IFERROR(__xludf.DUMMYFUNCTION("""COMPUTED_VALUE"""),"下野紘")</f>
        <v>下野紘</v>
      </c>
      <c r="C1030" s="1" t="s">
        <v>44</v>
      </c>
      <c r="D1030" s="1" t="str">
        <f>IF(C1030="", "", IFERROR(VLOOKUP(C1030, 作品一覧!A:B, 2, FALSE), "該当なし"))</f>
        <v>イケメン革命◆アリスと恋の魔法</v>
      </c>
      <c r="E1030" s="1" t="str">
        <f ca="1">IFERROR(__xludf.DUMMYFUNCTION("""COMPUTED_VALUE"""),"レイ＝ブラックウェル")</f>
        <v>レイ＝ブラックウェル</v>
      </c>
      <c r="F1030" s="6" t="s">
        <v>1848</v>
      </c>
    </row>
    <row r="1031" spans="1:6" ht="13.8">
      <c r="A1031" s="1" t="str">
        <f t="array" aca="1" ref="A1031" ca="1">IF(B1031="", "", IFERROR(INDEX(声優一覧!A:A, MATCH(B1031, 声優一覧!B:B, 0)), "該当なし"))</f>
        <v>va_102</v>
      </c>
      <c r="B1031" s="1" t="str">
        <f ca="1">IFERROR(__xludf.DUMMYFUNCTION("""COMPUTED_VALUE"""),"諏訪部順一")</f>
        <v>諏訪部順一</v>
      </c>
      <c r="C1031" s="1" t="s">
        <v>44</v>
      </c>
      <c r="D1031" s="1" t="str">
        <f>IF(C1031="", "", IFERROR(VLOOKUP(C1031, 作品一覧!A:B, 2, FALSE), "該当なし"))</f>
        <v>イケメン革命◆アリスと恋の魔法</v>
      </c>
      <c r="E1031" s="1" t="str">
        <f ca="1">IFERROR(__xludf.DUMMYFUNCTION("""COMPUTED_VALUE"""),"シリウス＝オズワルド")</f>
        <v>シリウス＝オズワルド</v>
      </c>
      <c r="F1031" s="6" t="s">
        <v>1849</v>
      </c>
    </row>
    <row r="1032" spans="1:6" ht="13.8">
      <c r="A1032" s="1" t="str">
        <f t="array" aca="1" ref="A1032" ca="1">IF(B1032="", "", IFERROR(INDEX(声優一覧!A:A, MATCH(B1032, 声優一覧!B:B, 0)), "該当なし"))</f>
        <v>va_036</v>
      </c>
      <c r="B1032" s="1" t="str">
        <f ca="1">IFERROR(__xludf.DUMMYFUNCTION("""COMPUTED_VALUE"""),"榎木淳弥")</f>
        <v>榎木淳弥</v>
      </c>
      <c r="C1032" s="1" t="s">
        <v>44</v>
      </c>
      <c r="D1032" s="1" t="str">
        <f>IF(C1032="", "", IFERROR(VLOOKUP(C1032, 作品一覧!A:B, 2, FALSE), "該当なし"))</f>
        <v>イケメン革命◆アリスと恋の魔法</v>
      </c>
      <c r="E1032" s="1" t="str">
        <f ca="1">IFERROR(__xludf.DUMMYFUNCTION("""COMPUTED_VALUE"""),"ルカ＝クレメンス")</f>
        <v>ルカ＝クレメンス</v>
      </c>
      <c r="F1032" s="6" t="s">
        <v>1850</v>
      </c>
    </row>
    <row r="1033" spans="1:6" ht="13.8">
      <c r="A1033" s="1" t="str">
        <f t="array" aca="1" ref="A1033" ca="1">IF(B1033="", "", IFERROR(INDEX(声優一覧!A:A, MATCH(B1033, 声優一覧!B:B, 0)), "該当なし"))</f>
        <v>va_048</v>
      </c>
      <c r="B1033" s="1" t="str">
        <f ca="1">IFERROR(__xludf.DUMMYFUNCTION("""COMPUTED_VALUE"""),"柿原徹也")</f>
        <v>柿原徹也</v>
      </c>
      <c r="C1033" s="1" t="s">
        <v>44</v>
      </c>
      <c r="D1033" s="1" t="str">
        <f>IF(C1033="", "", IFERROR(VLOOKUP(C1033, 作品一覧!A:B, 2, FALSE), "該当なし"))</f>
        <v>イケメン革命◆アリスと恋の魔法</v>
      </c>
      <c r="E1033" s="1" t="str">
        <f ca="1">IFERROR(__xludf.DUMMYFUNCTION("""COMPUTED_VALUE"""),"フェンリル＝ゴッドスピード")</f>
        <v>フェンリル＝ゴッドスピード</v>
      </c>
      <c r="F1033" s="6" t="s">
        <v>1851</v>
      </c>
    </row>
    <row r="1034" spans="1:6" ht="13.8">
      <c r="A1034" s="1" t="str">
        <f t="array" aca="1" ref="A1034" ca="1">IF(B1034="", "", IFERROR(INDEX(声優一覧!A:A, MATCH(B1034, 声優一覧!B:B, 0)), "該当なし"))</f>
        <v>va_184</v>
      </c>
      <c r="B1034" s="1" t="str">
        <f ca="1">IFERROR(__xludf.DUMMYFUNCTION("""COMPUTED_VALUE"""),"村田太志")</f>
        <v>村田太志</v>
      </c>
      <c r="C1034" s="1" t="s">
        <v>44</v>
      </c>
      <c r="D1034" s="1" t="str">
        <f>IF(C1034="", "", IFERROR(VLOOKUP(C1034, 作品一覧!A:B, 2, FALSE), "該当なし"))</f>
        <v>イケメン革命◆アリスと恋の魔法</v>
      </c>
      <c r="E1034" s="1" t="str">
        <f ca="1">IFERROR(__xludf.DUMMYFUNCTION("""COMPUTED_VALUE"""),"セス＝ハイド")</f>
        <v>セス＝ハイド</v>
      </c>
      <c r="F1034" s="6" t="s">
        <v>1852</v>
      </c>
    </row>
    <row r="1035" spans="1:6" ht="13.8">
      <c r="A1035" s="1" t="str">
        <f t="array" aca="1" ref="A1035" ca="1">IF(B1035="", "", IFERROR(INDEX(声優一覧!A:A, MATCH(B1035, 声優一覧!B:B, 0)), "該当なし"))</f>
        <v>va_124</v>
      </c>
      <c r="B1035" s="1" t="str">
        <f ca="1">IFERROR(__xludf.DUMMYFUNCTION("""COMPUTED_VALUE"""),"寺島惇太")</f>
        <v>寺島惇太</v>
      </c>
      <c r="C1035" s="1" t="s">
        <v>44</v>
      </c>
      <c r="D1035" s="1" t="str">
        <f>IF(C1035="", "", IFERROR(VLOOKUP(C1035, 作品一覧!A:B, 2, FALSE), "該当なし"))</f>
        <v>イケメン革命◆アリスと恋の魔法</v>
      </c>
      <c r="E1035" s="1" t="str">
        <f ca="1">IFERROR(__xludf.DUMMYFUNCTION("""COMPUTED_VALUE"""),"ハール＝シルバー")</f>
        <v>ハール＝シルバー</v>
      </c>
      <c r="F1035" s="6" t="s">
        <v>1853</v>
      </c>
    </row>
    <row r="1036" spans="1:6" ht="13.8">
      <c r="A1036" s="1" t="str">
        <f t="array" aca="1" ref="A1036" ca="1">IF(B1036="", "", IFERROR(INDEX(声優一覧!A:A, MATCH(B1036, 声優一覧!B:B, 0)), "該当なし"))</f>
        <v>va_183</v>
      </c>
      <c r="B1036" s="1" t="str">
        <f ca="1">IFERROR(__xludf.DUMMYFUNCTION("""COMPUTED_VALUE"""),"村瀬歩")</f>
        <v>村瀬歩</v>
      </c>
      <c r="C1036" s="1" t="s">
        <v>44</v>
      </c>
      <c r="D1036" s="1" t="str">
        <f>IF(C1036="", "", IFERROR(VLOOKUP(C1036, 作品一覧!A:B, 2, FALSE), "該当なし"))</f>
        <v>イケメン革命◆アリスと恋の魔法</v>
      </c>
      <c r="E1036" s="1" t="str">
        <f ca="1">IFERROR(__xludf.DUMMYFUNCTION("""COMPUTED_VALUE"""),"ロキ＝ジェネッタ")</f>
        <v>ロキ＝ジェネッタ</v>
      </c>
      <c r="F1036" s="6" t="s">
        <v>1854</v>
      </c>
    </row>
    <row r="1037" spans="1:6" ht="13.8">
      <c r="A1037" s="1" t="str">
        <f t="array" aca="1" ref="A1037" ca="1">IF(B1037="", "", IFERROR(INDEX(声優一覧!A:A, MATCH(B1037, 声優一覧!B:B, 0)), "該当なし"))</f>
        <v>va_096</v>
      </c>
      <c r="B1037" s="1" t="str">
        <f ca="1">IFERROR(__xludf.DUMMYFUNCTION("""COMPUTED_VALUE"""),"白井悠介")</f>
        <v>白井悠介</v>
      </c>
      <c r="C1037" s="1" t="s">
        <v>44</v>
      </c>
      <c r="D1037" s="1" t="str">
        <f>IF(C1037="", "", IFERROR(VLOOKUP(C1037, 作品一覧!A:B, 2, FALSE), "該当なし"))</f>
        <v>イケメン革命◆アリスと恋の魔法</v>
      </c>
      <c r="E1037" s="1" t="str">
        <f ca="1">IFERROR(__xludf.DUMMYFUNCTION("""COMPUTED_VALUE"""),"ブラン＝ラパン")</f>
        <v>ブラン＝ラパン</v>
      </c>
      <c r="F1037" s="6" t="s">
        <v>1855</v>
      </c>
    </row>
    <row r="1038" spans="1:6" ht="13.8">
      <c r="A1038" s="1" t="str">
        <f t="array" aca="1" ref="A1038" ca="1">IF(B1038="", "", IFERROR(INDEX(声優一覧!A:A, MATCH(B1038, 声優一覧!B:B, 0)), "該当なし"))</f>
        <v>va_210</v>
      </c>
      <c r="B1038" s="1" t="str">
        <f ca="1">IFERROR(__xludf.DUMMYFUNCTION("""COMPUTED_VALUE"""),"濱野大輝")</f>
        <v>濱野大輝</v>
      </c>
      <c r="C1038" s="1" t="s">
        <v>44</v>
      </c>
      <c r="D1038" s="1" t="str">
        <f>IF(C1038="", "", IFERROR(VLOOKUP(C1038, 作品一覧!A:B, 2, FALSE), "該当なし"))</f>
        <v>イケメン革命◆アリスと恋の魔法</v>
      </c>
      <c r="E1038" s="1" t="str">
        <f ca="1">IFERROR(__xludf.DUMMYFUNCTION("""COMPUTED_VALUE"""),"オリヴァー＝ナイト")</f>
        <v>オリヴァー＝ナイト</v>
      </c>
      <c r="F1038" s="6" t="s">
        <v>1856</v>
      </c>
    </row>
    <row r="1039" spans="1:6" ht="13.8">
      <c r="A1039" s="1" t="str">
        <f t="array" aca="1" ref="A1039" ca="1">IF(B1039="", "", IFERROR(INDEX(声優一覧!A:A, MATCH(B1039, 声優一覧!B:B, 0)), "該当なし"))</f>
        <v>va_129</v>
      </c>
      <c r="B1039" s="1" t="str">
        <f ca="1">IFERROR(__xludf.DUMMYFUNCTION("""COMPUTED_VALUE"""),"土岐隼一")</f>
        <v>土岐隼一</v>
      </c>
      <c r="C1039" s="1" t="s">
        <v>44</v>
      </c>
      <c r="D1039" s="1" t="str">
        <f>IF(C1039="", "", IFERROR(VLOOKUP(C1039, 作品一覧!A:B, 2, FALSE), "該当なし"))</f>
        <v>イケメン革命◆アリスと恋の魔法</v>
      </c>
      <c r="E1039" s="1" t="str">
        <f ca="1">IFERROR(__xludf.DUMMYFUNCTION("""COMPUTED_VALUE"""),"ムース＝アトラス")</f>
        <v>ムース＝アトラス</v>
      </c>
      <c r="F1039" s="6" t="s">
        <v>1857</v>
      </c>
    </row>
    <row r="1040" spans="1:6" ht="13.8">
      <c r="A1040" s="1" t="str">
        <f t="array" aca="1" ref="A1040" ca="1">IF(B1040="", "", IFERROR(INDEX(声優一覧!A:A, MATCH(B1040, 声優一覧!B:B, 0)), "該当なし"))</f>
        <v>va_320</v>
      </c>
      <c r="B1040" s="1" t="str">
        <f ca="1">IFERROR(__xludf.DUMMYFUNCTION("""COMPUTED_VALUE"""),"和田雅成")</f>
        <v>和田雅成</v>
      </c>
      <c r="C1040" s="1" t="s">
        <v>44</v>
      </c>
      <c r="D1040" s="1" t="str">
        <f>IF(C1040="", "", IFERROR(VLOOKUP(C1040, 作品一覧!A:B, 2, FALSE), "該当なし"))</f>
        <v>イケメン革命◆アリスと恋の魔法</v>
      </c>
      <c r="E1040" s="1" t="str">
        <f ca="1">IFERROR(__xludf.DUMMYFUNCTION("""COMPUTED_VALUE"""),"ディーン＝トゥイードル")</f>
        <v>ディーン＝トゥイードル</v>
      </c>
      <c r="F1040" s="6" t="s">
        <v>1858</v>
      </c>
    </row>
    <row r="1041" spans="1:6" ht="13.8">
      <c r="A1041" s="1" t="str">
        <f t="array" aca="1" ref="A1041" ca="1">IF(B1041="", "", IFERROR(INDEX(声優一覧!A:A, MATCH(B1041, 声優一覧!B:B, 0)), "該当なし"))</f>
        <v>va_321</v>
      </c>
      <c r="B1041" s="1" t="str">
        <f ca="1">IFERROR(__xludf.DUMMYFUNCTION("""COMPUTED_VALUE"""),"安里勇哉")</f>
        <v>安里勇哉</v>
      </c>
      <c r="C1041" s="1" t="s">
        <v>44</v>
      </c>
      <c r="D1041" s="1" t="str">
        <f>IF(C1041="", "", IFERROR(VLOOKUP(C1041, 作品一覧!A:B, 2, FALSE), "該当なし"))</f>
        <v>イケメン革命◆アリスと恋の魔法</v>
      </c>
      <c r="E1041" s="1" t="str">
        <f ca="1">IFERROR(__xludf.DUMMYFUNCTION("""COMPUTED_VALUE"""),"ダム（ダリム＝トゥイードル）")</f>
        <v>ダム（ダリム＝トゥイードル）</v>
      </c>
      <c r="F1041" s="6" t="s">
        <v>1859</v>
      </c>
    </row>
    <row r="1042" spans="1:6" ht="13.8">
      <c r="A1042" s="1" t="str">
        <f t="array" aca="1" ref="A1042" ca="1">IF(B1042="", "", IFERROR(INDEX(声優一覧!A:A, MATCH(B1042, 声優一覧!B:B, 0)), "該当なし"))</f>
        <v>va_033</v>
      </c>
      <c r="B1042" s="1" t="str">
        <f ca="1">IFERROR(__xludf.DUMMYFUNCTION("""COMPUTED_VALUE"""),"梅原裕一郎")</f>
        <v>梅原裕一郎</v>
      </c>
      <c r="C1042" s="1" t="s">
        <v>46</v>
      </c>
      <c r="D1042" s="1" t="str">
        <f>IF(C1042="", "", IFERROR(VLOOKUP(C1042, 作品一覧!A:B, 2, FALSE), "該当なし"))</f>
        <v>イケメン幕末◆運命の恋</v>
      </c>
      <c r="E1042" s="1" t="str">
        <f ca="1">IFERROR(__xludf.DUMMYFUNCTION("""COMPUTED_VALUE"""),"坂本龍馬")</f>
        <v>坂本龍馬</v>
      </c>
      <c r="F1042" s="6" t="s">
        <v>1860</v>
      </c>
    </row>
    <row r="1043" spans="1:6" ht="13.8">
      <c r="A1043" s="1" t="str">
        <f t="array" aca="1" ref="A1043" ca="1">IF(B1043="", "", IFERROR(INDEX(声優一覧!A:A, MATCH(B1043, 声優一覧!B:B, 0)), "該当なし"))</f>
        <v>va_169</v>
      </c>
      <c r="B1043" s="1" t="str">
        <f ca="1">IFERROR(__xludf.DUMMYFUNCTION("""COMPUTED_VALUE"""),"前野智昭")</f>
        <v>前野智昭</v>
      </c>
      <c r="C1043" s="1" t="s">
        <v>46</v>
      </c>
      <c r="D1043" s="1" t="str">
        <f>IF(C1043="", "", IFERROR(VLOOKUP(C1043, 作品一覧!A:B, 2, FALSE), "該当なし"))</f>
        <v>イケメン幕末◆運命の恋</v>
      </c>
      <c r="E1043" s="1" t="str">
        <f ca="1">IFERROR(__xludf.DUMMYFUNCTION("""COMPUTED_VALUE"""),"土方歳三")</f>
        <v>土方歳三</v>
      </c>
      <c r="F1043" s="6" t="s">
        <v>1861</v>
      </c>
    </row>
    <row r="1044" spans="1:6" ht="13.8">
      <c r="A1044" s="1" t="str">
        <f t="array" aca="1" ref="A1044" ca="1">IF(B1044="", "", IFERROR(INDEX(声優一覧!A:A, MATCH(B1044, 声優一覧!B:B, 0)), "該当なし"))</f>
        <v>va_318</v>
      </c>
      <c r="B1044" s="1" t="str">
        <f ca="1">IFERROR(__xludf.DUMMYFUNCTION("""COMPUTED_VALUE"""),"堀江一眞")</f>
        <v>堀江一眞</v>
      </c>
      <c r="C1044" s="1" t="s">
        <v>46</v>
      </c>
      <c r="D1044" s="1" t="str">
        <f>IF(C1044="", "", IFERROR(VLOOKUP(C1044, 作品一覧!A:B, 2, FALSE), "該当なし"))</f>
        <v>イケメン幕末◆運命の恋</v>
      </c>
      <c r="E1044" s="1" t="str">
        <f ca="1">IFERROR(__xludf.DUMMYFUNCTION("""COMPUTED_VALUE"""),"徳川慶喜")</f>
        <v>徳川慶喜</v>
      </c>
      <c r="F1044" s="6" t="s">
        <v>1862</v>
      </c>
    </row>
    <row r="1045" spans="1:6" ht="13.8">
      <c r="A1045" s="1" t="str">
        <f t="array" aca="1" ref="A1045" ca="1">IF(B1045="", "", IFERROR(INDEX(声優一覧!A:A, MATCH(B1045, 声優一覧!B:B, 0)), "該当なし"))</f>
        <v>va_019</v>
      </c>
      <c r="B1045" s="1" t="str">
        <f ca="1">IFERROR(__xludf.DUMMYFUNCTION("""COMPUTED_VALUE"""),"伊東健人")</f>
        <v>伊東健人</v>
      </c>
      <c r="C1045" s="1" t="s">
        <v>46</v>
      </c>
      <c r="D1045" s="1" t="str">
        <f>IF(C1045="", "", IFERROR(VLOOKUP(C1045, 作品一覧!A:B, 2, FALSE), "該当なし"))</f>
        <v>イケメン幕末◆運命の恋</v>
      </c>
      <c r="E1045" s="1" t="str">
        <f ca="1">IFERROR(__xludf.DUMMYFUNCTION("""COMPUTED_VALUE"""),"高杉晋作")</f>
        <v>高杉晋作</v>
      </c>
      <c r="F1045" s="6" t="s">
        <v>1863</v>
      </c>
    </row>
    <row r="1046" spans="1:6" ht="13.8">
      <c r="A1046" s="1" t="str">
        <f t="array" aca="1" ref="A1046" ca="1">IF(B1046="", "", IFERROR(INDEX(声優一覧!A:A, MATCH(B1046, 声優一覧!B:B, 0)), "該当なし"))</f>
        <v>va_075</v>
      </c>
      <c r="B1046" s="1" t="str">
        <f ca="1">IFERROR(__xludf.DUMMYFUNCTION("""COMPUTED_VALUE"""),"小林裕介")</f>
        <v>小林裕介</v>
      </c>
      <c r="C1046" s="1" t="s">
        <v>46</v>
      </c>
      <c r="D1046" s="1" t="str">
        <f>IF(C1046="", "", IFERROR(VLOOKUP(C1046, 作品一覧!A:B, 2, FALSE), "該当なし"))</f>
        <v>イケメン幕末◆運命の恋</v>
      </c>
      <c r="E1046" s="1" t="str">
        <f ca="1">IFERROR(__xludf.DUMMYFUNCTION("""COMPUTED_VALUE"""),"沖田総司")</f>
        <v>沖田総司</v>
      </c>
      <c r="F1046" s="6" t="s">
        <v>1864</v>
      </c>
    </row>
    <row r="1047" spans="1:6" ht="13.8">
      <c r="A1047" s="1" t="str">
        <f t="array" aca="1" ref="A1047" ca="1">IF(B1047="", "", IFERROR(INDEX(声優一覧!A:A, MATCH(B1047, 声優一覧!B:B, 0)), "該当なし"))</f>
        <v>va_077</v>
      </c>
      <c r="B1047" s="1" t="str">
        <f ca="1">IFERROR(__xludf.DUMMYFUNCTION("""COMPUTED_VALUE"""),"駒田航")</f>
        <v>駒田航</v>
      </c>
      <c r="C1047" s="1" t="s">
        <v>46</v>
      </c>
      <c r="D1047" s="1" t="str">
        <f>IF(C1047="", "", IFERROR(VLOOKUP(C1047, 作品一覧!A:B, 2, FALSE), "該当なし"))</f>
        <v>イケメン幕末◆運命の恋</v>
      </c>
      <c r="E1047" s="1" t="str">
        <f ca="1">IFERROR(__xludf.DUMMYFUNCTION("""COMPUTED_VALUE"""),"桂小五郎")</f>
        <v>桂小五郎</v>
      </c>
      <c r="F1047" s="6" t="s">
        <v>1865</v>
      </c>
    </row>
    <row r="1048" spans="1:6" ht="13.8">
      <c r="A1048" s="1" t="str">
        <f t="array" aca="1" ref="A1048" ca="1">IF(B1048="", "", IFERROR(INDEX(声優一覧!A:A, MATCH(B1048, 声優一覧!B:B, 0)), "該当なし"))</f>
        <v>va_161</v>
      </c>
      <c r="B1048" s="1" t="str">
        <f ca="1">IFERROR(__xludf.DUMMYFUNCTION("""COMPUTED_VALUE"""),"古川慎")</f>
        <v>古川慎</v>
      </c>
      <c r="C1048" s="1" t="s">
        <v>46</v>
      </c>
      <c r="D1048" s="1" t="str">
        <f>IF(C1048="", "", IFERROR(VLOOKUP(C1048, 作品一覧!A:B, 2, FALSE), "該当なし"))</f>
        <v>イケメン幕末◆運命の恋</v>
      </c>
      <c r="E1048" s="1" t="str">
        <f ca="1">IFERROR(__xludf.DUMMYFUNCTION("""COMPUTED_VALUE"""),"齊藤一")</f>
        <v>齊藤一</v>
      </c>
      <c r="F1048" s="6" t="s">
        <v>1866</v>
      </c>
    </row>
    <row r="1049" spans="1:6" ht="13.8">
      <c r="A1049" s="1" t="str">
        <f t="array" aca="1" ref="A1049" ca="1">IF(B1049="", "", IFERROR(INDEX(声優一覧!A:A, MATCH(B1049, 声優一覧!B:B, 0)), "該当なし"))</f>
        <v>va_166</v>
      </c>
      <c r="B1049" s="1" t="str">
        <f ca="1">IFERROR(__xludf.DUMMYFUNCTION("""COMPUTED_VALUE"""),"堀江瞬")</f>
        <v>堀江瞬</v>
      </c>
      <c r="C1049" s="1" t="s">
        <v>46</v>
      </c>
      <c r="D1049" s="1" t="str">
        <f>IF(C1049="", "", IFERROR(VLOOKUP(C1049, 作品一覧!A:B, 2, FALSE), "該当なし"))</f>
        <v>イケメン幕末◆運命の恋</v>
      </c>
      <c r="E1049" s="1" t="str">
        <f ca="1">IFERROR(__xludf.DUMMYFUNCTION("""COMPUTED_VALUE"""),"大久保利通")</f>
        <v>大久保利通</v>
      </c>
      <c r="F1049" s="6" t="s">
        <v>1867</v>
      </c>
    </row>
    <row r="1050" spans="1:6" ht="13.8">
      <c r="A1050" s="1" t="str">
        <f t="array" aca="1" ref="A1050" ca="1">IF(B1050="", "", IFERROR(INDEX(声優一覧!A:A, MATCH(B1050, 声優一覧!B:B, 0)), "該当なし"))</f>
        <v>va_188</v>
      </c>
      <c r="B1050" s="1" t="str">
        <f ca="1">IFERROR(__xludf.DUMMYFUNCTION("""COMPUTED_VALUE"""),"八代拓")</f>
        <v>八代拓</v>
      </c>
      <c r="C1050" s="1" t="s">
        <v>46</v>
      </c>
      <c r="D1050" s="1" t="str">
        <f>IF(C1050="", "", IFERROR(VLOOKUP(C1050, 作品一覧!A:B, 2, FALSE), "該当なし"))</f>
        <v>イケメン幕末◆運命の恋</v>
      </c>
      <c r="E1050" s="1" t="str">
        <f ca="1">IFERROR(__xludf.DUMMYFUNCTION("""COMPUTED_VALUE"""),"篠宮恭")</f>
        <v>篠宮恭</v>
      </c>
      <c r="F1050" s="6" t="s">
        <v>1868</v>
      </c>
    </row>
    <row r="1051" spans="1:6" ht="13.8">
      <c r="A1051" s="1" t="str">
        <f t="array" aca="1" ref="A1051" ca="1">IF(B1051="", "", IFERROR(INDEX(声優一覧!A:A, MATCH(B1051, 声優一覧!B:B, 0)), "該当なし"))</f>
        <v>va_229</v>
      </c>
      <c r="B1051" s="1" t="str">
        <f ca="1">IFERROR(__xludf.DUMMYFUNCTION("""COMPUTED_VALUE"""),"菊池幸利")</f>
        <v>菊池幸利</v>
      </c>
      <c r="C1051" s="1" t="s">
        <v>46</v>
      </c>
      <c r="D1051" s="1" t="str">
        <f>IF(C1051="", "", IFERROR(VLOOKUP(C1051, 作品一覧!A:B, 2, FALSE), "該当なし"))</f>
        <v>イケメン幕末◆運命の恋</v>
      </c>
      <c r="E1051" s="1" t="str">
        <f ca="1">IFERROR(__xludf.DUMMYFUNCTION("""COMPUTED_VALUE"""),"山崎烝")</f>
        <v>山崎烝</v>
      </c>
      <c r="F1051" s="6" t="s">
        <v>1869</v>
      </c>
    </row>
    <row r="1052" spans="1:6" ht="13.8">
      <c r="A1052" s="1" t="str">
        <f t="array" aca="1" ref="A1052" ca="1">IF(B1052="", "", IFERROR(INDEX(声優一覧!A:A, MATCH(B1052, 声優一覧!B:B, 0)), "該当なし"))</f>
        <v>va_112</v>
      </c>
      <c r="B1052" s="1" t="str">
        <f ca="1">IFERROR(__xludf.DUMMYFUNCTION("""COMPUTED_VALUE"""),"武内駿輔")</f>
        <v>武内駿輔</v>
      </c>
      <c r="C1052" s="1" t="s">
        <v>46</v>
      </c>
      <c r="D1052" s="1" t="str">
        <f>IF(C1052="", "", IFERROR(VLOOKUP(C1052, 作品一覧!A:B, 2, FALSE), "該当なし"))</f>
        <v>イケメン幕末◆運命の恋</v>
      </c>
      <c r="E1052" s="1" t="str">
        <f ca="1">IFERROR(__xludf.DUMMYFUNCTION("""COMPUTED_VALUE"""),"東雲幸男")</f>
        <v>東雲幸男</v>
      </c>
      <c r="F1052" s="6" t="s">
        <v>1870</v>
      </c>
    </row>
    <row r="1053" spans="1:6" ht="13.8">
      <c r="A1053" s="1" t="str">
        <f t="array" aca="1" ref="A1053" ca="1">IF(B1053="", "", IFERROR(INDEX(声優一覧!A:A, MATCH(B1053, 声優一覧!B:B, 0)), "該当なし"))</f>
        <v>va_322</v>
      </c>
      <c r="B1053" s="1" t="str">
        <f ca="1">IFERROR(__xludf.DUMMYFUNCTION("""COMPUTED_VALUE"""),"朝霧友陽")</f>
        <v>朝霧友陽</v>
      </c>
      <c r="C1053" s="1" t="s">
        <v>46</v>
      </c>
      <c r="D1053" s="1" t="str">
        <f>IF(C1053="", "", IFERROR(VLOOKUP(C1053, 作品一覧!A:B, 2, FALSE), "該当なし"))</f>
        <v>イケメン幕末◆運命の恋</v>
      </c>
      <c r="E1053" s="1" t="str">
        <f ca="1">IFERROR(__xludf.DUMMYFUNCTION("""COMPUTED_VALUE"""),"近藤勇")</f>
        <v>近藤勇</v>
      </c>
      <c r="F1053" s="6" t="s">
        <v>1871</v>
      </c>
    </row>
    <row r="1054" spans="1:6" ht="13.8">
      <c r="A1054" s="1" t="str">
        <f t="array" aca="1" ref="A1054" ca="1">IF(B1054="", "", IFERROR(INDEX(声優一覧!A:A, MATCH(B1054, 声優一覧!B:B, 0)), "該当なし"))</f>
        <v>va_007</v>
      </c>
      <c r="B1054" s="1" t="str">
        <f ca="1">IFERROR(__xludf.DUMMYFUNCTION("""COMPUTED_VALUE"""),"天﨑滉平")</f>
        <v>天﨑滉平</v>
      </c>
      <c r="C1054" s="1" t="s">
        <v>46</v>
      </c>
      <c r="D1054" s="1" t="str">
        <f>IF(C1054="", "", IFERROR(VLOOKUP(C1054, 作品一覧!A:B, 2, FALSE), "該当なし"))</f>
        <v>イケメン幕末◆運命の恋</v>
      </c>
      <c r="E1054" s="1" t="str">
        <f ca="1">IFERROR(__xludf.DUMMYFUNCTION("""COMPUTED_VALUE"""),"霧里[玄明]")</f>
        <v>霧里[玄明]</v>
      </c>
      <c r="F1054" s="6" t="s">
        <v>1872</v>
      </c>
    </row>
    <row r="1055" spans="1:6" ht="13.8">
      <c r="A1055" s="1" t="str">
        <f t="array" aca="1" ref="A1055" ca="1">IF(B1055="", "", IFERROR(INDEX(声優一覧!A:A, MATCH(B1055, 声優一覧!B:B, 0)), "該当なし"))</f>
        <v>va_188</v>
      </c>
      <c r="B1055" s="1" t="str">
        <f ca="1">IFERROR(__xludf.DUMMYFUNCTION("""COMPUTED_VALUE"""),"八代拓")</f>
        <v>八代拓</v>
      </c>
      <c r="C1055" s="1" t="s">
        <v>46</v>
      </c>
      <c r="D1055" s="1" t="str">
        <f>IF(C1055="", "", IFERROR(VLOOKUP(C1055, 作品一覧!A:B, 2, FALSE), "該当なし"))</f>
        <v>イケメン幕末◆運命の恋</v>
      </c>
      <c r="E1055" s="1" t="str">
        <f ca="1">IFERROR(__xludf.DUMMYFUNCTION("""COMPUTED_VALUE"""),"藤堂平助")</f>
        <v>藤堂平助</v>
      </c>
      <c r="F1055" s="6" t="s">
        <v>1873</v>
      </c>
    </row>
    <row r="1056" spans="1:6" ht="13.8">
      <c r="A1056" s="1" t="str">
        <f t="array" aca="1" ref="A1056" ca="1">IF(B1056="", "", IFERROR(INDEX(声優一覧!A:A, MATCH(B1056, 声優一覧!B:B, 0)), "該当なし"))</f>
        <v>va_066</v>
      </c>
      <c r="B1056" s="1" t="str">
        <f ca="1">IFERROR(__xludf.DUMMYFUNCTION("""COMPUTED_VALUE"""),"木村良平")</f>
        <v>木村良平</v>
      </c>
      <c r="C1056" s="1" t="s">
        <v>46</v>
      </c>
      <c r="D1056" s="1" t="str">
        <f>IF(C1056="", "", IFERROR(VLOOKUP(C1056, 作品一覧!A:B, 2, FALSE), "該当なし"))</f>
        <v>イケメン幕末◆運命の恋</v>
      </c>
      <c r="E1056" s="1" t="str">
        <f ca="1">IFERROR(__xludf.DUMMYFUNCTION("""COMPUTED_VALUE"""),"武市半平太")</f>
        <v>武市半平太</v>
      </c>
      <c r="F1056" s="6" t="s">
        <v>1874</v>
      </c>
    </row>
    <row r="1057" spans="1:6" ht="13.8">
      <c r="A1057" s="1" t="str">
        <f t="array" aca="1" ref="A1057" ca="1">IF(B1057="", "", IFERROR(INDEX(声優一覧!A:A, MATCH(B1057, 声優一覧!B:B, 0)), "該当なし"))</f>
        <v>va_030</v>
      </c>
      <c r="B1057" s="1" t="str">
        <f ca="1">IFERROR(__xludf.DUMMYFUNCTION("""COMPUTED_VALUE"""),"内田雄馬")</f>
        <v>内田雄馬</v>
      </c>
      <c r="C1057" s="1" t="s">
        <v>46</v>
      </c>
      <c r="D1057" s="1" t="str">
        <f>IF(C1057="", "", IFERROR(VLOOKUP(C1057, 作品一覧!A:B, 2, FALSE), "該当なし"))</f>
        <v>イケメン幕末◆運命の恋</v>
      </c>
      <c r="E1057" s="1" t="str">
        <f ca="1">IFERROR(__xludf.DUMMYFUNCTION("""COMPUTED_VALUE"""),"岡田以蔵")</f>
        <v>岡田以蔵</v>
      </c>
      <c r="F1057" s="6" t="s">
        <v>1875</v>
      </c>
    </row>
    <row r="1058" spans="1:6" ht="13.8">
      <c r="A1058" s="1" t="str">
        <f t="array" aca="1" ref="A1058" ca="1">IF(B1058="", "", IFERROR(INDEX(声優一覧!A:A, MATCH(B1058, 声優一覧!B:B, 0)), "該当なし"))</f>
        <v>va_009</v>
      </c>
      <c r="B1058" s="1" t="str">
        <f ca="1">IFERROR(__xludf.DUMMYFUNCTION("""COMPUTED_VALUE"""),"蒼井翔太")</f>
        <v>蒼井翔太</v>
      </c>
      <c r="C1058" s="1" t="s">
        <v>46</v>
      </c>
      <c r="D1058" s="1" t="str">
        <f>IF(C1058="", "", IFERROR(VLOOKUP(C1058, 作品一覧!A:B, 2, FALSE), "該当なし"))</f>
        <v>イケメン幕末◆運命の恋</v>
      </c>
      <c r="E1058" s="1" t="str">
        <f ca="1">IFERROR(__xludf.DUMMYFUNCTION("""COMPUTED_VALUE"""),"吉田松陰")</f>
        <v>吉田松陰</v>
      </c>
      <c r="F1058" s="6" t="s">
        <v>1876</v>
      </c>
    </row>
    <row r="1059" spans="1:6" ht="13.8">
      <c r="A1059" s="1" t="str">
        <f t="array" aca="1" ref="A1059" ca="1">IF(B1059="", "", IFERROR(INDEX(声優一覧!A:A, MATCH(B1059, 声優一覧!B:B, 0)), "該当なし"))</f>
        <v>va_013</v>
      </c>
      <c r="B1059" s="1" t="str">
        <f ca="1">IFERROR(__xludf.DUMMYFUNCTION("""COMPUTED_VALUE"""),"石川界人")</f>
        <v>石川界人</v>
      </c>
      <c r="C1059" s="1" t="s">
        <v>48</v>
      </c>
      <c r="D1059" s="1" t="str">
        <f>IF(C1059="", "", IFERROR(VLOOKUP(C1059, 作品一覧!A:B, 2, FALSE), "該当なし"))</f>
        <v>イケメン王宮</v>
      </c>
      <c r="E1059" s="1" t="str">
        <f ca="1">IFERROR(__xludf.DUMMYFUNCTION("""COMPUTED_VALUE"""),"アラン＝クロフォード")</f>
        <v>アラン＝クロフォード</v>
      </c>
      <c r="F1059" s="6" t="s">
        <v>1877</v>
      </c>
    </row>
    <row r="1060" spans="1:6" ht="13.8">
      <c r="A1060" s="1" t="str">
        <f t="array" aca="1" ref="A1060" ca="1">IF(B1060="", "", IFERROR(INDEX(声優一覧!A:A, MATCH(B1060, 声優一覧!B:B, 0)), "該当なし"))</f>
        <v>va_114</v>
      </c>
      <c r="B1060" s="1" t="str">
        <f ca="1">IFERROR(__xludf.DUMMYFUNCTION("""COMPUTED_VALUE"""),"立花慎之介")</f>
        <v>立花慎之介</v>
      </c>
      <c r="C1060" s="1" t="s">
        <v>48</v>
      </c>
      <c r="D1060" s="1" t="str">
        <f>IF(C1060="", "", IFERROR(VLOOKUP(C1060, 作品一覧!A:B, 2, FALSE), "該当なし"))</f>
        <v>イケメン王宮</v>
      </c>
      <c r="E1060" s="1" t="str">
        <f ca="1">IFERROR(__xludf.DUMMYFUNCTION("""COMPUTED_VALUE"""),"ルイ＝ハワード")</f>
        <v>ルイ＝ハワード</v>
      </c>
      <c r="F1060" s="6" t="s">
        <v>1878</v>
      </c>
    </row>
    <row r="1061" spans="1:6" ht="13.8">
      <c r="A1061" s="1" t="str">
        <f t="array" aca="1" ref="A1061" ca="1">IF(B1061="", "", IFERROR(INDEX(声優一覧!A:A, MATCH(B1061, 声優一覧!B:B, 0)), "該当なし"))</f>
        <v>va_171</v>
      </c>
      <c r="B1061" s="1" t="str">
        <f ca="1">IFERROR(__xludf.DUMMYFUNCTION("""COMPUTED_VALUE"""),"間島淳司")</f>
        <v>間島淳司</v>
      </c>
      <c r="C1061" s="1" t="s">
        <v>48</v>
      </c>
      <c r="D1061" s="1" t="str">
        <f>IF(C1061="", "", IFERROR(VLOOKUP(C1061, 作品一覧!A:B, 2, FALSE), "該当なし"))</f>
        <v>イケメン王宮</v>
      </c>
      <c r="E1061" s="1" t="str">
        <f ca="1">IFERROR(__xludf.DUMMYFUNCTION("""COMPUTED_VALUE"""),"ジル＝クリストフ")</f>
        <v>ジル＝クリストフ</v>
      </c>
      <c r="F1061" s="6" t="s">
        <v>1879</v>
      </c>
    </row>
    <row r="1062" spans="1:6" ht="13.8">
      <c r="A1062" s="1" t="str">
        <f t="array" aca="1" ref="A1062" ca="1">IF(B1062="", "", IFERROR(INDEX(声優一覧!A:A, MATCH(B1062, 声優一覧!B:B, 0)), "該当なし"))</f>
        <v>va_156</v>
      </c>
      <c r="B1062" s="1" t="str">
        <f ca="1">IFERROR(__xludf.DUMMYFUNCTION("""COMPUTED_VALUE"""),"日野聡")</f>
        <v>日野聡</v>
      </c>
      <c r="C1062" s="1" t="s">
        <v>48</v>
      </c>
      <c r="D1062" s="1" t="str">
        <f>IF(C1062="", "", IFERROR(VLOOKUP(C1062, 作品一覧!A:B, 2, FALSE), "該当なし"))</f>
        <v>イケメン王宮</v>
      </c>
      <c r="E1062" s="1" t="str">
        <f ca="1">IFERROR(__xludf.DUMMYFUNCTION("""COMPUTED_VALUE"""),"レオ＝クロフォード")</f>
        <v>レオ＝クロフォード</v>
      </c>
      <c r="F1062" s="6" t="s">
        <v>1880</v>
      </c>
    </row>
    <row r="1063" spans="1:6" ht="13.8">
      <c r="A1063" s="1" t="str">
        <f t="array" aca="1" ref="A1063" ca="1">IF(B1063="", "", IFERROR(INDEX(声優一覧!A:A, MATCH(B1063, 声優一覧!B:B, 0)), "該当なし"))</f>
        <v>va_078</v>
      </c>
      <c r="B1063" s="1" t="str">
        <f ca="1">IFERROR(__xludf.DUMMYFUNCTION("""COMPUTED_VALUE"""),"小西克幸")</f>
        <v>小西克幸</v>
      </c>
      <c r="C1063" s="1" t="s">
        <v>48</v>
      </c>
      <c r="D1063" s="1" t="str">
        <f>IF(C1063="", "", IFERROR(VLOOKUP(C1063, 作品一覧!A:B, 2, FALSE), "該当なし"))</f>
        <v>イケメン王宮</v>
      </c>
      <c r="E1063" s="1" t="str">
        <f ca="1">IFERROR(__xludf.DUMMYFUNCTION("""COMPUTED_VALUE"""),"ゼノ＝ジェラルド")</f>
        <v>ゼノ＝ジェラルド</v>
      </c>
      <c r="F1063" s="6" t="s">
        <v>1881</v>
      </c>
    </row>
    <row r="1064" spans="1:6" ht="13.8">
      <c r="A1064" s="1" t="str">
        <f t="array" aca="1" ref="A1064" ca="1">IF(B1064="", "", IFERROR(INDEX(声優一覧!A:A, MATCH(B1064, 声優一覧!B:B, 0)), "該当なし"))</f>
        <v>va_075</v>
      </c>
      <c r="B1064" s="1" t="str">
        <f ca="1">IFERROR(__xludf.DUMMYFUNCTION("""COMPUTED_VALUE"""),"小林裕介")</f>
        <v>小林裕介</v>
      </c>
      <c r="C1064" s="1" t="s">
        <v>48</v>
      </c>
      <c r="D1064" s="1" t="str">
        <f>IF(C1064="", "", IFERROR(VLOOKUP(C1064, 作品一覧!A:B, 2, FALSE), "該当なし"))</f>
        <v>イケメン王宮</v>
      </c>
      <c r="E1064" s="1" t="str">
        <f ca="1">IFERROR(__xludf.DUMMYFUNCTION("""COMPUTED_VALUE"""),"ユーリ＝ノルベルト")</f>
        <v>ユーリ＝ノルベルト</v>
      </c>
      <c r="F1064" s="6" t="s">
        <v>1882</v>
      </c>
    </row>
    <row r="1065" spans="1:6" ht="13.8">
      <c r="A1065" s="1" t="str">
        <f t="array" aca="1" ref="A1065" ca="1">IF(B1065="", "", IFERROR(INDEX(声優一覧!A:A, MATCH(B1065, 声優一覧!B:B, 0)), "該当なし"))</f>
        <v>va_323</v>
      </c>
      <c r="B1065" s="1" t="str">
        <f ca="1">IFERROR(__xludf.DUMMYFUNCTION("""COMPUTED_VALUE"""),"峯暢也")</f>
        <v>峯暢也</v>
      </c>
      <c r="C1065" s="1" t="s">
        <v>48</v>
      </c>
      <c r="D1065" s="1" t="str">
        <f>IF(C1065="", "", IFERROR(VLOOKUP(C1065, 作品一覧!A:B, 2, FALSE), "該当なし"))</f>
        <v>イケメン王宮</v>
      </c>
      <c r="E1065" s="1" t="str">
        <f ca="1">IFERROR(__xludf.DUMMYFUNCTION("""COMPUTED_VALUE"""),"ロベール＝ブランシェ")</f>
        <v>ロベール＝ブランシェ</v>
      </c>
      <c r="F1065" s="6" t="s">
        <v>1883</v>
      </c>
    </row>
    <row r="1066" spans="1:6" ht="15">
      <c r="A1066" s="1" t="str">
        <f t="array" aca="1" ref="A1066" ca="1">IF(B1066="", "", IFERROR(INDEX(声優一覧!A:A, MATCH(B1066, 声優一覧!B:B, 0)), "該当なし"))</f>
        <v>va_217</v>
      </c>
      <c r="B1066" s="1" t="str">
        <f ca="1">IFERROR(__xludf.DUMMYFUNCTION("""COMPUTED_VALUE"""),"竹内良太")</f>
        <v>竹内良太</v>
      </c>
      <c r="C1066" s="1" t="s">
        <v>48</v>
      </c>
      <c r="D1066" s="1" t="str">
        <f>IF(C1066="", "", IFERROR(VLOOKUP(C1066, 作品一覧!A:B, 2, FALSE), "該当なし"))</f>
        <v>イケメン王宮</v>
      </c>
      <c r="E1066" s="1" t="str">
        <f ca="1">IFERROR(__xludf.DUMMYFUNCTION("""COMPUTED_VALUE"""),"シド（ロイド＝グランディエ）")</f>
        <v>シド（ロイド＝グランディエ）</v>
      </c>
      <c r="F1066" s="11" t="s">
        <v>1884</v>
      </c>
    </row>
    <row r="1067" spans="1:6" ht="13.8">
      <c r="A1067" s="1" t="str">
        <f t="array" aca="1" ref="A1067" ca="1">IF(B1067="", "", IFERROR(INDEX(声優一覧!A:A, MATCH(B1067, 声優一覧!B:B, 0)), "該当なし"))</f>
        <v>va_126</v>
      </c>
      <c r="B1067" s="1" t="str">
        <f ca="1">IFERROR(__xludf.DUMMYFUNCTION("""COMPUTED_VALUE"""),"手塚ヒロミチ")</f>
        <v>手塚ヒロミチ</v>
      </c>
      <c r="C1067" s="1" t="s">
        <v>48</v>
      </c>
      <c r="D1067" s="1" t="str">
        <f>IF(C1067="", "", IFERROR(VLOOKUP(C1067, 作品一覧!A:B, 2, FALSE), "該当なし"))</f>
        <v>イケメン王宮</v>
      </c>
      <c r="E1067" s="1" t="str">
        <f ca="1">IFERROR(__xludf.DUMMYFUNCTION("""COMPUTED_VALUE"""),"アルバート＝ブルクハルト")</f>
        <v>アルバート＝ブルクハルト</v>
      </c>
      <c r="F1067" s="6" t="s">
        <v>1885</v>
      </c>
    </row>
    <row r="1068" spans="1:6" ht="13.8">
      <c r="A1068" s="1" t="str">
        <f t="array" aca="1" ref="A1068" ca="1">IF(B1068="", "", IFERROR(INDEX(声優一覧!A:A, MATCH(B1068, 声優一覧!B:B, 0)), "該当なし"))</f>
        <v>va_200</v>
      </c>
      <c r="B1068" s="1" t="str">
        <f ca="1">IFERROR(__xludf.DUMMYFUNCTION("""COMPUTED_VALUE"""),"KENN")</f>
        <v>KENN</v>
      </c>
      <c r="C1068" s="1" t="s">
        <v>48</v>
      </c>
      <c r="D1068" s="1" t="str">
        <f>IF(C1068="", "", IFERROR(VLOOKUP(C1068, 作品一覧!A:B, 2, FALSE), "該当なし"))</f>
        <v>イケメン王宮</v>
      </c>
      <c r="E1068" s="1" t="str">
        <f ca="1">IFERROR(__xludf.DUMMYFUNCTION("""COMPUTED_VALUE"""),"カイン＝ロッシュ")</f>
        <v>カイン＝ロッシュ</v>
      </c>
      <c r="F1068" s="6" t="s">
        <v>1886</v>
      </c>
    </row>
    <row r="1069" spans="1:6" ht="13.8">
      <c r="A1069" s="1" t="str">
        <f t="array" aca="1" ref="A1069" ca="1">IF(B1069="", "", IFERROR(INDEX(声優一覧!A:A, MATCH(B1069, 声優一覧!B:B, 0)), "該当なし"))</f>
        <v>va_096</v>
      </c>
      <c r="B1069" s="1" t="str">
        <f ca="1">IFERROR(__xludf.DUMMYFUNCTION("""COMPUTED_VALUE"""),"白井悠介")</f>
        <v>白井悠介</v>
      </c>
      <c r="C1069" s="1" t="s">
        <v>48</v>
      </c>
      <c r="D1069" s="1" t="str">
        <f>IF(C1069="", "", IFERROR(VLOOKUP(C1069, 作品一覧!A:B, 2, FALSE), "該当なし"))</f>
        <v>イケメン王宮</v>
      </c>
      <c r="E1069" s="1" t="str">
        <f ca="1">IFERROR(__xludf.DUMMYFUNCTION("""COMPUTED_VALUE"""),"ノア＝レオンハート")</f>
        <v>ノア＝レオンハート</v>
      </c>
      <c r="F1069" s="6" t="s">
        <v>1887</v>
      </c>
    </row>
    <row r="1070" spans="1:6" ht="13.8">
      <c r="A1070" s="1" t="str">
        <f t="array" aca="1" ref="A1070" ca="1">IF(B1070="", "", IFERROR(INDEX(声優一覧!A:A, MATCH(B1070, 声優一覧!B:B, 0)), "該当なし"))</f>
        <v>va_090</v>
      </c>
      <c r="B1070" s="1" t="str">
        <f ca="1">IFERROR(__xludf.DUMMYFUNCTION("""COMPUTED_VALUE"""),"佐藤拓也")</f>
        <v>佐藤拓也</v>
      </c>
      <c r="C1070" s="1" t="s">
        <v>48</v>
      </c>
      <c r="D1070" s="1" t="str">
        <f>IF(C1070="", "", IFERROR(VLOOKUP(C1070, 作品一覧!A:B, 2, FALSE), "該当なし"))</f>
        <v>イケメン王宮</v>
      </c>
      <c r="E1070" s="1" t="str">
        <f ca="1">IFERROR(__xludf.DUMMYFUNCTION("""COMPUTED_VALUE"""),"クロード＝ブラック")</f>
        <v>クロード＝ブラック</v>
      </c>
      <c r="F1070" s="6" t="s">
        <v>1888</v>
      </c>
    </row>
    <row r="1071" spans="1:6" ht="13.8">
      <c r="A1071" s="1" t="str">
        <f t="array" aca="1" ref="A1071" ca="1">IF(B1071="", "", IFERROR(INDEX(声優一覧!A:A, MATCH(B1071, 声優一覧!B:B, 0)), "該当なし"))</f>
        <v>va_217</v>
      </c>
      <c r="B1071" s="1" t="str">
        <f ca="1">IFERROR(__xludf.DUMMYFUNCTION("""COMPUTED_VALUE"""),"竹内良太")</f>
        <v>竹内良太</v>
      </c>
      <c r="C1071" s="1" t="s">
        <v>48</v>
      </c>
      <c r="D1071" s="1" t="str">
        <f>IF(C1071="", "", IFERROR(VLOOKUP(C1071, 作品一覧!A:B, 2, FALSE), "該当なし"))</f>
        <v>イケメン王宮</v>
      </c>
      <c r="E1071" s="1" t="str">
        <f ca="1">IFERROR(__xludf.DUMMYFUNCTION("""COMPUTED_VALUE"""),"シド")</f>
        <v>シド</v>
      </c>
      <c r="F1071" s="6" t="s">
        <v>1889</v>
      </c>
    </row>
    <row r="1072" spans="1:6" ht="13.8">
      <c r="A1072" s="1" t="str">
        <f t="array" aca="1" ref="A1072" ca="1">IF(B1072="", "", IFERROR(INDEX(声優一覧!A:A, MATCH(B1072, 声優一覧!B:B, 0)), "該当なし"))</f>
        <v>va_042</v>
      </c>
      <c r="B1072" s="1" t="str">
        <f ca="1">IFERROR(__xludf.DUMMYFUNCTION("""COMPUTED_VALUE"""),"岡本信彦")</f>
        <v>岡本信彦</v>
      </c>
      <c r="C1072" s="1" t="s">
        <v>48</v>
      </c>
      <c r="D1072" s="1" t="str">
        <f>IF(C1072="", "", IFERROR(VLOOKUP(C1072, 作品一覧!A:B, 2, FALSE), "該当なし"))</f>
        <v>イケメン王宮</v>
      </c>
      <c r="E1072" s="1" t="str">
        <f ca="1">IFERROR(__xludf.DUMMYFUNCTION("""COMPUTED_VALUE"""),"レイヴィス＝ハルナイト")</f>
        <v>レイヴィス＝ハルナイト</v>
      </c>
      <c r="F1072" s="6" t="s">
        <v>1890</v>
      </c>
    </row>
    <row r="1073" spans="1:6" ht="13.2">
      <c r="A1073" s="1" t="str">
        <f t="array" aca="1" ref="A1073" ca="1">IF(B1073="", "", IFERROR(INDEX(声優一覧!A:A, MATCH(B1073, 声優一覧!B:B, 0)), "該当なし"))</f>
        <v>va_229</v>
      </c>
      <c r="B1073" s="1" t="str">
        <f ca="1">IFERROR(__xludf.DUMMYFUNCTION("""COMPUTED_VALUE"""),"菊池幸利")</f>
        <v>菊池幸利</v>
      </c>
      <c r="C1073" s="1" t="s">
        <v>279</v>
      </c>
      <c r="D1073" s="1" t="str">
        <f>IF(C1073="", "", IFERROR(VLOOKUP(C1073, 作品一覧!A:B, 2, FALSE), "該当なし"))</f>
        <v>夢王国と眠れる100人の王子様</v>
      </c>
      <c r="E1073" s="1" t="str">
        <f ca="1">IFERROR(__xludf.DUMMYFUNCTION("""COMPUTED_VALUE"""),"アインツ")</f>
        <v>アインツ</v>
      </c>
      <c r="F1073" s="1" t="s">
        <v>1891</v>
      </c>
    </row>
    <row r="1074" spans="1:6" ht="13.2">
      <c r="A1074" s="1" t="str">
        <f t="array" aca="1" ref="A1074" ca="1">IF(B1074="", "", IFERROR(INDEX(声優一覧!A:A, MATCH(B1074, 声優一覧!B:B, 0)), "該当なし"))</f>
        <v>va_227</v>
      </c>
      <c r="B1074" s="1" t="str">
        <f ca="1">IFERROR(__xludf.DUMMYFUNCTION("""COMPUTED_VALUE"""),"鈴村健一")</f>
        <v>鈴村健一</v>
      </c>
      <c r="C1074" s="1" t="s">
        <v>279</v>
      </c>
      <c r="D1074" s="1" t="str">
        <f>IF(C1074="", "", IFERROR(VLOOKUP(C1074, 作品一覧!A:B, 2, FALSE), "該当なし"))</f>
        <v>夢王国と眠れる100人の王子様</v>
      </c>
      <c r="E1074" s="1" t="str">
        <f ca="1">IFERROR(__xludf.DUMMYFUNCTION("""COMPUTED_VALUE"""),"アヴィ")</f>
        <v>アヴィ</v>
      </c>
      <c r="F1074" s="1" t="s">
        <v>1892</v>
      </c>
    </row>
    <row r="1075" spans="1:6" ht="13.2">
      <c r="A1075" s="1" t="str">
        <f t="array" aca="1" ref="A1075" ca="1">IF(B1075="", "", IFERROR(INDEX(声優一覧!A:A, MATCH(B1075, 声優一覧!B:B, 0)), "該当なし"))</f>
        <v>va_080</v>
      </c>
      <c r="B1075" s="1" t="str">
        <f ca="1">IFERROR(__xludf.DUMMYFUNCTION("""COMPUTED_VALUE"""),"子安武人")</f>
        <v>子安武人</v>
      </c>
      <c r="C1075" s="1" t="s">
        <v>279</v>
      </c>
      <c r="D1075" s="1" t="str">
        <f>IF(C1075="", "", IFERROR(VLOOKUP(C1075, 作品一覧!A:B, 2, FALSE), "該当なし"))</f>
        <v>夢王国と眠れる100人の王子様</v>
      </c>
      <c r="E1075" s="1" t="str">
        <f ca="1">IFERROR(__xludf.DUMMYFUNCTION("""COMPUTED_VALUE"""),"アキト")</f>
        <v>アキト</v>
      </c>
      <c r="F1075" s="1" t="s">
        <v>1893</v>
      </c>
    </row>
    <row r="1076" spans="1:6" ht="13.2">
      <c r="A1076" s="1" t="str">
        <f t="array" aca="1" ref="A1076" ca="1">IF(B1076="", "", IFERROR(INDEX(声優一覧!A:A, MATCH(B1076, 声優一覧!B:B, 0)), "該当なし"))</f>
        <v>va_195</v>
      </c>
      <c r="B1076" s="1" t="str">
        <f ca="1">IFERROR(__xludf.DUMMYFUNCTION("""COMPUTED_VALUE"""),"山本和臣")</f>
        <v>山本和臣</v>
      </c>
      <c r="C1076" s="1" t="s">
        <v>279</v>
      </c>
      <c r="D1076" s="1" t="str">
        <f>IF(C1076="", "", IFERROR(VLOOKUP(C1076, 作品一覧!A:B, 2, FALSE), "該当なし"))</f>
        <v>夢王国と眠れる100人の王子様</v>
      </c>
      <c r="E1076" s="1" t="str">
        <f ca="1">IFERROR(__xludf.DUMMYFUNCTION("""COMPUTED_VALUE"""),"アケディア")</f>
        <v>アケディア</v>
      </c>
      <c r="F1076" s="1" t="s">
        <v>1894</v>
      </c>
    </row>
    <row r="1077" spans="1:6" ht="13.2">
      <c r="A1077" s="1" t="str">
        <f t="array" aca="1" ref="A1077" ca="1">IF(B1077="", "", IFERROR(INDEX(声優一覧!A:A, MATCH(B1077, 声優一覧!B:B, 0)), "該当なし"))</f>
        <v>va_196</v>
      </c>
      <c r="B1077" s="1" t="str">
        <f ca="1">IFERROR(__xludf.DUMMYFUNCTION("""COMPUTED_VALUE"""),"山谷祥生")</f>
        <v>山谷祥生</v>
      </c>
      <c r="C1077" s="1" t="s">
        <v>279</v>
      </c>
      <c r="D1077" s="1" t="str">
        <f>IF(C1077="", "", IFERROR(VLOOKUP(C1077, 作品一覧!A:B, 2, FALSE), "該当なし"))</f>
        <v>夢王国と眠れる100人の王子様</v>
      </c>
      <c r="E1077" s="1" t="str">
        <f ca="1">IFERROR(__xludf.DUMMYFUNCTION("""COMPUTED_VALUE"""),"アザリー")</f>
        <v>アザリー</v>
      </c>
      <c r="F1077" s="1" t="s">
        <v>1895</v>
      </c>
    </row>
    <row r="1078" spans="1:6" ht="13.2">
      <c r="A1078" s="1" t="str">
        <f t="array" aca="1" ref="A1078" ca="1">IF(B1078="", "", IFERROR(INDEX(声優一覧!A:A, MATCH(B1078, 声優一覧!B:B, 0)), "該当なし"))</f>
        <v>va_035</v>
      </c>
      <c r="B1078" s="1" t="str">
        <f ca="1">IFERROR(__xludf.DUMMYFUNCTION("""COMPUTED_VALUE"""),"江口拓也")</f>
        <v>江口拓也</v>
      </c>
      <c r="C1078" s="1" t="s">
        <v>279</v>
      </c>
      <c r="D1078" s="1" t="str">
        <f>IF(C1078="", "", IFERROR(VLOOKUP(C1078, 作品一覧!A:B, 2, FALSE), "該当なし"))</f>
        <v>夢王国と眠れる100人の王子様</v>
      </c>
      <c r="E1078" s="1" t="str">
        <f ca="1">IFERROR(__xludf.DUMMYFUNCTION("""COMPUTED_VALUE"""),"雷(アズマ)")</f>
        <v>雷(アズマ)</v>
      </c>
      <c r="F1078" s="1" t="s">
        <v>1896</v>
      </c>
    </row>
    <row r="1079" spans="1:6" ht="13.2">
      <c r="A1079" s="1" t="str">
        <f t="array" aca="1" ref="A1079" ca="1">IF(B1079="", "", IFERROR(INDEX(声優一覧!A:A, MATCH(B1079, 声優一覧!B:B, 0)), "該当なし"))</f>
        <v>va_166</v>
      </c>
      <c r="B1079" s="1" t="str">
        <f ca="1">IFERROR(__xludf.DUMMYFUNCTION("""COMPUTED_VALUE"""),"堀江瞬")</f>
        <v>堀江瞬</v>
      </c>
      <c r="C1079" s="1" t="s">
        <v>279</v>
      </c>
      <c r="D1079" s="1" t="str">
        <f>IF(C1079="", "", IFERROR(VLOOKUP(C1079, 作品一覧!A:B, 2, FALSE), "該当なし"))</f>
        <v>夢王国と眠れる100人の王子様</v>
      </c>
      <c r="E1079" s="1" t="str">
        <f ca="1">IFERROR(__xludf.DUMMYFUNCTION("""COMPUTED_VALUE"""),"アダム")</f>
        <v>アダム</v>
      </c>
      <c r="F1079" s="1" t="s">
        <v>1897</v>
      </c>
    </row>
    <row r="1080" spans="1:6" ht="13.2">
      <c r="A1080" s="1" t="str">
        <f t="array" aca="1" ref="A1080" ca="1">IF(B1080="", "", IFERROR(INDEX(声優一覧!A:A, MATCH(B1080, 声優一覧!B:B, 0)), "該当なし"))</f>
        <v>va_131</v>
      </c>
      <c r="B1080" s="1" t="str">
        <f ca="1">IFERROR(__xludf.DUMMYFUNCTION("""COMPUTED_VALUE"""),"豊永利行")</f>
        <v>豊永利行</v>
      </c>
      <c r="C1080" s="1" t="s">
        <v>279</v>
      </c>
      <c r="D1080" s="1" t="str">
        <f>IF(C1080="", "", IFERROR(VLOOKUP(C1080, 作品一覧!A:B, 2, FALSE), "該当なし"))</f>
        <v>夢王国と眠れる100人の王子様</v>
      </c>
      <c r="E1080" s="1" t="str">
        <f ca="1">IFERROR(__xludf.DUMMYFUNCTION("""COMPUTED_VALUE"""),"アディエル")</f>
        <v>アディエル</v>
      </c>
      <c r="F1080" s="1" t="s">
        <v>1898</v>
      </c>
    </row>
    <row r="1081" spans="1:6" ht="13.2">
      <c r="A1081" s="1" t="str">
        <f t="array" aca="1" ref="A1081" ca="1">IF(B1081="", "", IFERROR(INDEX(声優一覧!A:A, MATCH(B1081, 声優一覧!B:B, 0)), "該当なし"))</f>
        <v>va_151</v>
      </c>
      <c r="B1081" s="1" t="str">
        <f ca="1">IFERROR(__xludf.DUMMYFUNCTION("""COMPUTED_VALUE"""),"濱健人")</f>
        <v>濱健人</v>
      </c>
      <c r="C1081" s="1" t="s">
        <v>279</v>
      </c>
      <c r="D1081" s="1" t="str">
        <f>IF(C1081="", "", IFERROR(VLOOKUP(C1081, 作品一覧!A:B, 2, FALSE), "該当なし"))</f>
        <v>夢王国と眠れる100人の王子様</v>
      </c>
      <c r="E1081" s="1" t="str">
        <f ca="1">IFERROR(__xludf.DUMMYFUNCTION("""COMPUTED_VALUE"""),"アピス")</f>
        <v>アピス</v>
      </c>
      <c r="F1081" s="1" t="s">
        <v>1899</v>
      </c>
    </row>
    <row r="1082" spans="1:6" ht="13.2">
      <c r="A1082" s="1" t="str">
        <f t="array" aca="1" ref="A1082" ca="1">IF(B1082="", "", IFERROR(INDEX(声優一覧!A:A, MATCH(B1082, 声優一覧!B:B, 0)), "該当なし"))</f>
        <v>va_238</v>
      </c>
      <c r="B1082" s="1" t="str">
        <f ca="1">IFERROR(__xludf.DUMMYFUNCTION("""COMPUTED_VALUE"""),"小野大輔")</f>
        <v>小野大輔</v>
      </c>
      <c r="C1082" s="1" t="s">
        <v>279</v>
      </c>
      <c r="D1082" s="1" t="str">
        <f>IF(C1082="", "", IFERROR(VLOOKUP(C1082, 作品一覧!A:B, 2, FALSE), "該当なし"))</f>
        <v>夢王国と眠れる100人の王子様</v>
      </c>
      <c r="E1082" s="1" t="str">
        <f ca="1">IFERROR(__xludf.DUMMYFUNCTION("""COMPUTED_VALUE"""),"アポロ")</f>
        <v>アポロ</v>
      </c>
      <c r="F1082" s="1" t="s">
        <v>1900</v>
      </c>
    </row>
    <row r="1083" spans="1:6" ht="13.2">
      <c r="A1083" s="1" t="str">
        <f t="array" aca="1" ref="A1083" ca="1">IF(B1083="", "", IFERROR(INDEX(声優一覧!A:A, MATCH(B1083, 声優一覧!B:B, 0)), "該当なし"))</f>
        <v>va_075</v>
      </c>
      <c r="B1083" s="1" t="str">
        <f ca="1">IFERROR(__xludf.DUMMYFUNCTION("""COMPUTED_VALUE"""),"小林裕介")</f>
        <v>小林裕介</v>
      </c>
      <c r="C1083" s="1" t="s">
        <v>279</v>
      </c>
      <c r="D1083" s="1" t="str">
        <f>IF(C1083="", "", IFERROR(VLOOKUP(C1083, 作品一覧!A:B, 2, FALSE), "該当なし"))</f>
        <v>夢王国と眠れる100人の王子様</v>
      </c>
      <c r="E1083" s="1" t="str">
        <f ca="1">IFERROR(__xludf.DUMMYFUNCTION("""COMPUTED_VALUE"""),"アマノ")</f>
        <v>アマノ</v>
      </c>
      <c r="F1083" s="1" t="s">
        <v>1901</v>
      </c>
    </row>
    <row r="1084" spans="1:6" ht="13.2">
      <c r="A1084" s="1" t="str">
        <f t="array" aca="1" ref="A1084" ca="1">IF(B1084="", "", IFERROR(INDEX(声優一覧!A:A, MATCH(B1084, 声優一覧!B:B, 0)), "該当なし"))</f>
        <v>va_046</v>
      </c>
      <c r="B1084" s="1" t="str">
        <f ca="1">IFERROR(__xludf.DUMMYFUNCTION("""COMPUTED_VALUE"""),"小野友樹")</f>
        <v>小野友樹</v>
      </c>
      <c r="C1084" s="1" t="s">
        <v>279</v>
      </c>
      <c r="D1084" s="1" t="str">
        <f>IF(C1084="", "", IFERROR(VLOOKUP(C1084, 作品一覧!A:B, 2, FALSE), "該当なし"))</f>
        <v>夢王国と眠れる100人の王子様</v>
      </c>
      <c r="E1084" s="1" t="str">
        <f ca="1">IFERROR(__xludf.DUMMYFUNCTION("""COMPUTED_VALUE"""),"アルタイル")</f>
        <v>アルタイル</v>
      </c>
      <c r="F1084" s="1" t="s">
        <v>1902</v>
      </c>
    </row>
    <row r="1085" spans="1:6" ht="13.2">
      <c r="A1085" s="1" t="str">
        <f t="array" aca="1" ref="A1085" ca="1">IF(B1085="", "", IFERROR(INDEX(声優一覧!A:A, MATCH(B1085, 声優一覧!B:B, 0)), "該当なし"))</f>
        <v>va_230</v>
      </c>
      <c r="B1085" s="1" t="str">
        <f ca="1">IFERROR(__xludf.DUMMYFUNCTION("""COMPUTED_VALUE"""),"長谷川芳明")</f>
        <v>長谷川芳明</v>
      </c>
      <c r="C1085" s="1" t="s">
        <v>279</v>
      </c>
      <c r="D1085" s="1" t="str">
        <f>IF(C1085="", "", IFERROR(VLOOKUP(C1085, 作品一覧!A:B, 2, FALSE), "該当なし"))</f>
        <v>夢王国と眠れる100人の王子様</v>
      </c>
      <c r="E1085" s="1" t="str">
        <f ca="1">IFERROR(__xludf.DUMMYFUNCTION("""COMPUTED_VALUE"""),"アルデバラン")</f>
        <v>アルデバラン</v>
      </c>
      <c r="F1085" s="1" t="s">
        <v>1903</v>
      </c>
    </row>
    <row r="1086" spans="1:6" ht="13.2">
      <c r="A1086" s="1" t="str">
        <f t="array" aca="1" ref="A1086" ca="1">IF(B1086="", "", IFERROR(INDEX(声優一覧!A:A, MATCH(B1086, 声優一覧!B:B, 0)), "該当なし"))</f>
        <v>va_324</v>
      </c>
      <c r="B1086" s="1" t="str">
        <f ca="1">IFERROR(__xludf.DUMMYFUNCTION("""COMPUTED_VALUE"""),"横田紘一")</f>
        <v>横田紘一</v>
      </c>
      <c r="C1086" s="1" t="s">
        <v>279</v>
      </c>
      <c r="D1086" s="1" t="str">
        <f>IF(C1086="", "", IFERROR(VLOOKUP(C1086, 作品一覧!A:B, 2, FALSE), "該当なし"))</f>
        <v>夢王国と眠れる100人の王子様</v>
      </c>
      <c r="E1086" s="1" t="str">
        <f ca="1">IFERROR(__xludf.DUMMYFUNCTION("""COMPUTED_VALUE"""),"アルフレッド")</f>
        <v>アルフレッド</v>
      </c>
      <c r="F1086" s="1" t="s">
        <v>1904</v>
      </c>
    </row>
    <row r="1087" spans="1:6" ht="13.2">
      <c r="A1087" s="1" t="str">
        <f t="array" aca="1" ref="A1087" ca="1">IF(B1087="", "", IFERROR(INDEX(声優一覧!A:A, MATCH(B1087, 声優一覧!B:B, 0)), "該当なし"))</f>
        <v>va_002</v>
      </c>
      <c r="B1087" s="1" t="str">
        <f ca="1">IFERROR(__xludf.DUMMYFUNCTION("""COMPUTED_VALUE"""),"赤羽根健治")</f>
        <v>赤羽根健治</v>
      </c>
      <c r="C1087" s="1" t="s">
        <v>279</v>
      </c>
      <c r="D1087" s="1" t="str">
        <f>IF(C1087="", "", IFERROR(VLOOKUP(C1087, 作品一覧!A:B, 2, FALSE), "該当なし"))</f>
        <v>夢王国と眠れる100人の王子様</v>
      </c>
      <c r="E1087" s="1" t="str">
        <f ca="1">IFERROR(__xludf.DUMMYFUNCTION("""COMPUTED_VALUE"""),"アルマリ")</f>
        <v>アルマリ</v>
      </c>
      <c r="F1087" s="1" t="s">
        <v>1905</v>
      </c>
    </row>
    <row r="1088" spans="1:6" ht="13.2">
      <c r="A1088" s="1" t="str">
        <f t="array" aca="1" ref="A1088" ca="1">IF(B1088="", "", IFERROR(INDEX(声優一覧!A:A, MATCH(B1088, 声優一覧!B:B, 0)), "該当なし"))</f>
        <v>va_325</v>
      </c>
      <c r="B1088" s="1" t="str">
        <f ca="1">IFERROR(__xludf.DUMMYFUNCTION("""COMPUTED_VALUE"""),"片山享")</f>
        <v>片山享</v>
      </c>
      <c r="C1088" s="1" t="s">
        <v>279</v>
      </c>
      <c r="D1088" s="1" t="str">
        <f>IF(C1088="", "", IFERROR(VLOOKUP(C1088, 作品一覧!A:B, 2, FALSE), "該当なし"))</f>
        <v>夢王国と眠れる100人の王子様</v>
      </c>
      <c r="E1088" s="1" t="str">
        <f ca="1">IFERROR(__xludf.DUMMYFUNCTION("""COMPUTED_VALUE"""),"アンタレス")</f>
        <v>アンタレス</v>
      </c>
      <c r="F1088" s="1" t="s">
        <v>1906</v>
      </c>
    </row>
    <row r="1089" spans="1:6" ht="13.2">
      <c r="A1089" s="1" t="str">
        <f t="array" aca="1" ref="A1089" ca="1">IF(B1089="", "", IFERROR(INDEX(声優一覧!A:A, MATCH(B1089, 声優一覧!B:B, 0)), "該当なし"))</f>
        <v>va_007</v>
      </c>
      <c r="B1089" s="1" t="str">
        <f ca="1">IFERROR(__xludf.DUMMYFUNCTION("""COMPUTED_VALUE"""),"天﨑滉平")</f>
        <v>天﨑滉平</v>
      </c>
      <c r="C1089" s="1" t="s">
        <v>279</v>
      </c>
      <c r="D1089" s="1" t="str">
        <f>IF(C1089="", "", IFERROR(VLOOKUP(C1089, 作品一覧!A:B, 2, FALSE), "該当なし"))</f>
        <v>夢王国と眠れる100人の王子様</v>
      </c>
      <c r="E1089" s="1" t="str">
        <f ca="1">IFERROR(__xludf.DUMMYFUNCTION("""COMPUTED_VALUE"""),"イヴァン")</f>
        <v>イヴァン</v>
      </c>
      <c r="F1089" s="1" t="s">
        <v>1907</v>
      </c>
    </row>
    <row r="1090" spans="1:6" ht="13.2">
      <c r="A1090" s="1" t="str">
        <f t="array" aca="1" ref="A1090" ca="1">IF(B1090="", "", IFERROR(INDEX(声優一覧!A:A, MATCH(B1090, 声優一覧!B:B, 0)), "該当なし"))</f>
        <v>va_308</v>
      </c>
      <c r="B1090" s="1" t="str">
        <f ca="1">IFERROR(__xludf.DUMMYFUNCTION("""COMPUTED_VALUE"""),"三浦祥朗")</f>
        <v>三浦祥朗</v>
      </c>
      <c r="C1090" s="1" t="s">
        <v>279</v>
      </c>
      <c r="D1090" s="1" t="str">
        <f>IF(C1090="", "", IFERROR(VLOOKUP(C1090, 作品一覧!A:B, 2, FALSE), "該当なし"))</f>
        <v>夢王国と眠れる100人の王子様</v>
      </c>
      <c r="E1090" s="1" t="str">
        <f ca="1">IFERROR(__xludf.DUMMYFUNCTION("""COMPUTED_VALUE"""),"イザーク")</f>
        <v>イザーク</v>
      </c>
      <c r="F1090" s="1" t="s">
        <v>1908</v>
      </c>
    </row>
    <row r="1091" spans="1:6" ht="13.2">
      <c r="A1091" s="1" t="str">
        <f t="array" aca="1" ref="A1091" ca="1">IF(B1091="", "", IFERROR(INDEX(声優一覧!A:A, MATCH(B1091, 声優一覧!B:B, 0)), "該当なし"))</f>
        <v>va_148</v>
      </c>
      <c r="B1091" s="1" t="str">
        <f ca="1">IFERROR(__xludf.DUMMYFUNCTION("""COMPUTED_VALUE"""),"羽多野渉")</f>
        <v>羽多野渉</v>
      </c>
      <c r="C1091" s="1" t="s">
        <v>279</v>
      </c>
      <c r="D1091" s="1" t="str">
        <f>IF(C1091="", "", IFERROR(VLOOKUP(C1091, 作品一覧!A:B, 2, FALSE), "該当なし"))</f>
        <v>夢王国と眠れる100人の王子様</v>
      </c>
      <c r="E1091" s="1" t="str">
        <f ca="1">IFERROR(__xludf.DUMMYFUNCTION("""COMPUTED_VALUE"""),"イナミ")</f>
        <v>イナミ</v>
      </c>
      <c r="F1091" s="1" t="s">
        <v>1909</v>
      </c>
    </row>
    <row r="1092" spans="1:6" ht="13.2">
      <c r="A1092" s="1" t="str">
        <f t="array" aca="1" ref="A1092" ca="1">IF(B1092="", "", IFERROR(INDEX(声優一覧!A:A, MATCH(B1092, 声優一覧!B:B, 0)), "該当なし"))</f>
        <v>va_090</v>
      </c>
      <c r="B1092" s="1" t="str">
        <f ca="1">IFERROR(__xludf.DUMMYFUNCTION("""COMPUTED_VALUE"""),"佐藤拓也")</f>
        <v>佐藤拓也</v>
      </c>
      <c r="C1092" s="1" t="s">
        <v>279</v>
      </c>
      <c r="D1092" s="1" t="str">
        <f>IF(C1092="", "", IFERROR(VLOOKUP(C1092, 作品一覧!A:B, 2, FALSE), "該当なし"))</f>
        <v>夢王国と眠れる100人の王子様</v>
      </c>
      <c r="E1092" s="1" t="str">
        <f ca="1">IFERROR(__xludf.DUMMYFUNCTION("""COMPUTED_VALUE"""),"イヌイ")</f>
        <v>イヌイ</v>
      </c>
      <c r="F1092" s="1" t="s">
        <v>1910</v>
      </c>
    </row>
    <row r="1093" spans="1:6" ht="13.2">
      <c r="A1093" s="1" t="str">
        <f t="array" aca="1" ref="A1093" ca="1">IF(B1093="", "", IFERROR(INDEX(声優一覧!A:A, MATCH(B1093, 声優一覧!B:B, 0)), "該当なし"))</f>
        <v>va_124</v>
      </c>
      <c r="B1093" s="1" t="str">
        <f ca="1">IFERROR(__xludf.DUMMYFUNCTION("""COMPUTED_VALUE"""),"寺島惇太")</f>
        <v>寺島惇太</v>
      </c>
      <c r="C1093" s="1" t="s">
        <v>279</v>
      </c>
      <c r="D1093" s="1" t="str">
        <f>IF(C1093="", "", IFERROR(VLOOKUP(C1093, 作品一覧!A:B, 2, FALSE), "該当なし"))</f>
        <v>夢王国と眠れる100人の王子様</v>
      </c>
      <c r="E1093" s="1" t="str">
        <f ca="1">IFERROR(__xludf.DUMMYFUNCTION("""COMPUTED_VALUE"""),"イラ")</f>
        <v>イラ</v>
      </c>
      <c r="F1093" s="1" t="s">
        <v>1911</v>
      </c>
    </row>
    <row r="1094" spans="1:6" ht="13.2">
      <c r="A1094" s="1" t="str">
        <f t="array" aca="1" ref="A1094" ca="1">IF(B1094="", "", IFERROR(INDEX(声優一覧!A:A, MATCH(B1094, 声優一覧!B:B, 0)), "該当なし"))</f>
        <v>va_304</v>
      </c>
      <c r="B1094" s="1" t="str">
        <f ca="1">IFERROR(__xludf.DUMMYFUNCTION("""COMPUTED_VALUE"""),"櫻井孝宏")</f>
        <v>櫻井孝宏</v>
      </c>
      <c r="C1094" s="1" t="s">
        <v>279</v>
      </c>
      <c r="D1094" s="1" t="str">
        <f>IF(C1094="", "", IFERROR(VLOOKUP(C1094, 作品一覧!A:B, 2, FALSE), "該当なし"))</f>
        <v>夢王国と眠れる100人の王子様</v>
      </c>
      <c r="E1094" s="1" t="str">
        <f ca="1">IFERROR(__xludf.DUMMYFUNCTION("""COMPUTED_VALUE"""),"イリア")</f>
        <v>イリア</v>
      </c>
      <c r="F1094" s="1" t="s">
        <v>1912</v>
      </c>
    </row>
    <row r="1095" spans="1:6" ht="13.2">
      <c r="A1095" s="1" t="str">
        <f t="array" aca="1" ref="A1095" ca="1">IF(B1095="", "", IFERROR(INDEX(声優一覧!A:A, MATCH(B1095, 声優一覧!B:B, 0)), "該当なし"))</f>
        <v>va_237</v>
      </c>
      <c r="B1095" s="1" t="str">
        <f ca="1">IFERROR(__xludf.DUMMYFUNCTION("""COMPUTED_VALUE"""),"鈴木達央")</f>
        <v>鈴木達央</v>
      </c>
      <c r="C1095" s="1" t="s">
        <v>279</v>
      </c>
      <c r="D1095" s="1" t="str">
        <f>IF(C1095="", "", IFERROR(VLOOKUP(C1095, 作品一覧!A:B, 2, FALSE), "該当なし"))</f>
        <v>夢王国と眠れる100人の王子様</v>
      </c>
      <c r="E1095" s="1" t="str">
        <f ca="1">IFERROR(__xludf.DUMMYFUNCTION("""COMPUTED_VALUE"""),"ヴァイリー")</f>
        <v>ヴァイリー</v>
      </c>
      <c r="F1095" s="1" t="s">
        <v>1913</v>
      </c>
    </row>
    <row r="1096" spans="1:6" ht="13.2">
      <c r="A1096" s="1" t="str">
        <f t="array" aca="1" ref="A1096" ca="1">IF(B1096="", "", IFERROR(INDEX(声優一覧!A:A, MATCH(B1096, 声優一覧!B:B, 0)), "該当なし"))</f>
        <v>va_043</v>
      </c>
      <c r="B1096" s="1" t="str">
        <f ca="1">IFERROR(__xludf.DUMMYFUNCTION("""COMPUTED_VALUE"""),"置鮎龍太郎")</f>
        <v>置鮎龍太郎</v>
      </c>
      <c r="C1096" s="1" t="s">
        <v>279</v>
      </c>
      <c r="D1096" s="1" t="str">
        <f>IF(C1096="", "", IFERROR(VLOOKUP(C1096, 作品一覧!A:B, 2, FALSE), "該当なし"))</f>
        <v>夢王国と眠れる100人の王子様</v>
      </c>
      <c r="E1096" s="1" t="str">
        <f ca="1">IFERROR(__xludf.DUMMYFUNCTION("""COMPUTED_VALUE"""),"ヴァスティ")</f>
        <v>ヴァスティ</v>
      </c>
      <c r="F1096" s="1" t="s">
        <v>1914</v>
      </c>
    </row>
    <row r="1097" spans="1:6" ht="13.2">
      <c r="A1097" s="1" t="str">
        <f t="array" aca="1" ref="A1097" ca="1">IF(B1097="", "", IFERROR(INDEX(声優一覧!A:A, MATCH(B1097, 声優一覧!B:B, 0)), "該当なし"))</f>
        <v>va_218</v>
      </c>
      <c r="B1097" s="1" t="str">
        <f ca="1">IFERROR(__xludf.DUMMYFUNCTION("""COMPUTED_VALUE"""),"林勇")</f>
        <v>林勇</v>
      </c>
      <c r="C1097" s="1" t="s">
        <v>279</v>
      </c>
      <c r="D1097" s="1" t="str">
        <f>IF(C1097="", "", IFERROR(VLOOKUP(C1097, 作品一覧!A:B, 2, FALSE), "該当なし"))</f>
        <v>夢王国と眠れる100人の王子様</v>
      </c>
      <c r="E1097" s="1" t="str">
        <f ca="1">IFERROR(__xludf.DUMMYFUNCTION("""COMPUTED_VALUE"""),"ヴィオ")</f>
        <v>ヴィオ</v>
      </c>
      <c r="F1097" s="1" t="s">
        <v>1915</v>
      </c>
    </row>
    <row r="1098" spans="1:6" ht="13.2">
      <c r="A1098" s="1" t="str">
        <f t="array" aca="1" ref="A1098" ca="1">IF(B1098="", "", IFERROR(INDEX(声優一覧!A:A, MATCH(B1098, 声優一覧!B:B, 0)), "該当なし"))</f>
        <v>va_035</v>
      </c>
      <c r="B1098" s="1" t="str">
        <f ca="1">IFERROR(__xludf.DUMMYFUNCTION("""COMPUTED_VALUE"""),"江口拓也")</f>
        <v>江口拓也</v>
      </c>
      <c r="C1098" s="1" t="s">
        <v>279</v>
      </c>
      <c r="D1098" s="1" t="str">
        <f>IF(C1098="", "", IFERROR(VLOOKUP(C1098, 作品一覧!A:B, 2, FALSE), "該当なし"))</f>
        <v>夢王国と眠れる100人の王子様</v>
      </c>
      <c r="E1098" s="1" t="str">
        <f ca="1">IFERROR(__xludf.DUMMYFUNCTION("""COMPUTED_VALUE"""),"ヴィム")</f>
        <v>ヴィム</v>
      </c>
      <c r="F1098" s="1" t="s">
        <v>1916</v>
      </c>
    </row>
    <row r="1099" spans="1:6" ht="13.2">
      <c r="A1099" s="1" t="str">
        <f t="array" aca="1" ref="A1099" ca="1">IF(B1099="", "", IFERROR(INDEX(声優一覧!A:A, MATCH(B1099, 声優一覧!B:B, 0)), "該当なし"))</f>
        <v>va_265</v>
      </c>
      <c r="B1099" s="1" t="str">
        <f ca="1">IFERROR(__xludf.DUMMYFUNCTION("""COMPUTED_VALUE"""),"石田彰")</f>
        <v>石田彰</v>
      </c>
      <c r="C1099" s="1" t="s">
        <v>279</v>
      </c>
      <c r="D1099" s="1" t="str">
        <f>IF(C1099="", "", IFERROR(VLOOKUP(C1099, 作品一覧!A:B, 2, FALSE), "該当なし"))</f>
        <v>夢王国と眠れる100人の王子様</v>
      </c>
      <c r="E1099" s="1" t="str">
        <f ca="1">IFERROR(__xludf.DUMMYFUNCTION("""COMPUTED_VALUE"""),"ウィル")</f>
        <v>ウィル</v>
      </c>
      <c r="F1099" s="1" t="s">
        <v>1917</v>
      </c>
    </row>
    <row r="1100" spans="1:6" ht="13.2">
      <c r="A1100" s="1" t="str">
        <f t="array" aca="1" ref="A1100" ca="1">IF(B1100="", "", IFERROR(INDEX(声優一覧!A:A, MATCH(B1100, 声優一覧!B:B, 0)), "該当なし"))</f>
        <v>va_161</v>
      </c>
      <c r="B1100" s="1" t="str">
        <f ca="1">IFERROR(__xludf.DUMMYFUNCTION("""COMPUTED_VALUE"""),"古川慎")</f>
        <v>古川慎</v>
      </c>
      <c r="C1100" s="1" t="s">
        <v>279</v>
      </c>
      <c r="D1100" s="1" t="str">
        <f>IF(C1100="", "", IFERROR(VLOOKUP(C1100, 作品一覧!A:B, 2, FALSE), "該当なし"))</f>
        <v>夢王国と眠れる100人の王子様</v>
      </c>
      <c r="E1100" s="1" t="str">
        <f ca="1">IFERROR(__xludf.DUMMYFUNCTION("""COMPUTED_VALUE"""),"ウェディ")</f>
        <v>ウェディ</v>
      </c>
      <c r="F1100" s="1" t="s">
        <v>1918</v>
      </c>
    </row>
    <row r="1101" spans="1:6" ht="13.2">
      <c r="A1101" s="1" t="str">
        <f t="array" aca="1" ref="A1101" ca="1">IF(B1101="", "", IFERROR(INDEX(声優一覧!A:A, MATCH(B1101, 声優一覧!B:B, 0)), "該当なし"))</f>
        <v>va_037</v>
      </c>
      <c r="B1101" s="1" t="str">
        <f ca="1">IFERROR(__xludf.DUMMYFUNCTION("""COMPUTED_VALUE"""),"逢坂良太")</f>
        <v>逢坂良太</v>
      </c>
      <c r="C1101" s="1" t="s">
        <v>279</v>
      </c>
      <c r="D1101" s="1" t="str">
        <f>IF(C1101="", "", IFERROR(VLOOKUP(C1101, 作品一覧!A:B, 2, FALSE), "該当なし"))</f>
        <v>夢王国と眠れる100人の王子様</v>
      </c>
      <c r="E1101" s="1" t="str">
        <f ca="1">IFERROR(__xludf.DUMMYFUNCTION("""COMPUTED_VALUE"""),"エドモント")</f>
        <v>エドモント</v>
      </c>
      <c r="F1101" s="1" t="s">
        <v>1919</v>
      </c>
    </row>
    <row r="1102" spans="1:6" ht="13.2">
      <c r="A1102" s="1" t="str">
        <f t="array" aca="1" ref="A1102" ca="1">IF(B1102="", "", IFERROR(INDEX(声優一覧!A:A, MATCH(B1102, 声優一覧!B:B, 0)), "該当なし"))</f>
        <v>va_205</v>
      </c>
      <c r="B1102" s="1" t="str">
        <f ca="1">IFERROR(__xludf.DUMMYFUNCTION("""COMPUTED_VALUE"""),"速水奨")</f>
        <v>速水奨</v>
      </c>
      <c r="C1102" s="1" t="s">
        <v>279</v>
      </c>
      <c r="D1102" s="1" t="str">
        <f>IF(C1102="", "", IFERROR(VLOOKUP(C1102, 作品一覧!A:B, 2, FALSE), "該当なし"))</f>
        <v>夢王国と眠れる100人の王子様</v>
      </c>
      <c r="E1102" s="1" t="str">
        <f ca="1">IFERROR(__xludf.DUMMYFUNCTION("""COMPUTED_VALUE"""),"エルフェン")</f>
        <v>エルフェン</v>
      </c>
      <c r="F1102" s="1" t="s">
        <v>1920</v>
      </c>
    </row>
    <row r="1103" spans="1:6" ht="13.2">
      <c r="A1103" s="1" t="str">
        <f t="array" aca="1" ref="A1103" ca="1">IF(B1103="", "", IFERROR(INDEX(声優一覧!A:A, MATCH(B1103, 声優一覧!B:B, 0)), "該当なし"))</f>
        <v>va_150</v>
      </c>
      <c r="B1103" s="1" t="str">
        <f ca="1">IFERROR(__xludf.DUMMYFUNCTION("""COMPUTED_VALUE"""),"花江夏樹")</f>
        <v>花江夏樹</v>
      </c>
      <c r="C1103" s="1" t="s">
        <v>279</v>
      </c>
      <c r="D1103" s="1" t="str">
        <f>IF(C1103="", "", IFERROR(VLOOKUP(C1103, 作品一覧!A:B, 2, FALSE), "該当なし"))</f>
        <v>夢王国と眠れる100人の王子様</v>
      </c>
      <c r="E1103" s="1" t="str">
        <f ca="1">IFERROR(__xludf.DUMMYFUNCTION("""COMPUTED_VALUE"""),"桜花(オウカ)")</f>
        <v>桜花(オウカ)</v>
      </c>
      <c r="F1103" s="1" t="s">
        <v>1921</v>
      </c>
    </row>
    <row r="1104" spans="1:6" ht="13.2">
      <c r="A1104" s="1" t="str">
        <f t="array" aca="1" ref="A1104" ca="1">IF(B1104="", "", IFERROR(INDEX(声優一覧!A:A, MATCH(B1104, 声優一覧!B:B, 0)), "該当なし"))</f>
        <v>va_078</v>
      </c>
      <c r="B1104" s="1" t="str">
        <f ca="1">IFERROR(__xludf.DUMMYFUNCTION("""COMPUTED_VALUE"""),"小西克幸")</f>
        <v>小西克幸</v>
      </c>
      <c r="C1104" s="1" t="s">
        <v>279</v>
      </c>
      <c r="D1104" s="1" t="str">
        <f>IF(C1104="", "", IFERROR(VLOOKUP(C1104, 作品一覧!A:B, 2, FALSE), "該当なし"))</f>
        <v>夢王国と眠れる100人の王子様</v>
      </c>
      <c r="E1104" s="1" t="str">
        <f ca="1">IFERROR(__xludf.DUMMYFUNCTION("""COMPUTED_VALUE"""),"オズワルド")</f>
        <v>オズワルド</v>
      </c>
      <c r="F1104" s="1" t="s">
        <v>1922</v>
      </c>
    </row>
    <row r="1105" spans="1:6" ht="13.2">
      <c r="A1105" s="1" t="str">
        <f t="array" aca="1" ref="A1105" ca="1">IF(B1105="", "", IFERROR(INDEX(声優一覧!A:A, MATCH(B1105, 声優一覧!B:B, 0)), "該当なし"))</f>
        <v>va_304</v>
      </c>
      <c r="B1105" s="1" t="str">
        <f ca="1">IFERROR(__xludf.DUMMYFUNCTION("""COMPUTED_VALUE"""),"櫻井孝宏")</f>
        <v>櫻井孝宏</v>
      </c>
      <c r="C1105" s="1" t="s">
        <v>279</v>
      </c>
      <c r="D1105" s="1" t="str">
        <f>IF(C1105="", "", IFERROR(VLOOKUP(C1105, 作品一覧!A:B, 2, FALSE), "該当なし"))</f>
        <v>夢王国と眠れる100人の王子様</v>
      </c>
      <c r="E1105" s="1" t="str">
        <f ca="1">IFERROR(__xludf.DUMMYFUNCTION("""COMPUTED_VALUE"""),"オリオン")</f>
        <v>オリオン</v>
      </c>
      <c r="F1105" s="1" t="s">
        <v>1923</v>
      </c>
    </row>
    <row r="1106" spans="1:6" ht="13.2">
      <c r="A1106" s="1" t="str">
        <f t="array" aca="1" ref="A1106" ca="1">IF(B1106="", "", IFERROR(INDEX(声優一覧!A:A, MATCH(B1106, 声優一覧!B:B, 0)), "該当なし"))</f>
        <v>va_206</v>
      </c>
      <c r="B1106" s="1" t="str">
        <f ca="1">IFERROR(__xludf.DUMMYFUNCTION("""COMPUTED_VALUE"""),"黒田崇矢")</f>
        <v>黒田崇矢</v>
      </c>
      <c r="C1106" s="1" t="s">
        <v>279</v>
      </c>
      <c r="D1106" s="1" t="str">
        <f>IF(C1106="", "", IFERROR(VLOOKUP(C1106, 作品一覧!A:B, 2, FALSE), "該当なし"))</f>
        <v>夢王国と眠れる100人の王子様</v>
      </c>
      <c r="E1106" s="1" t="str">
        <f ca="1">IFERROR(__xludf.DUMMYFUNCTION("""COMPUTED_VALUE"""),"カーライル")</f>
        <v>カーライル</v>
      </c>
      <c r="F1106" s="1" t="s">
        <v>1924</v>
      </c>
    </row>
    <row r="1107" spans="1:6" ht="13.2">
      <c r="A1107" s="1" t="str">
        <f t="array" aca="1" ref="A1107" ca="1">IF(B1107="", "", IFERROR(INDEX(声優一覧!A:A, MATCH(B1107, 声優一覧!B:B, 0)), "該当なし"))</f>
        <v>va_326</v>
      </c>
      <c r="B1107" s="1" t="str">
        <f ca="1">IFERROR(__xludf.DUMMYFUNCTION("""COMPUTED_VALUE"""),"黒沢季希")</f>
        <v>黒沢季希</v>
      </c>
      <c r="C1107" s="1" t="s">
        <v>279</v>
      </c>
      <c r="D1107" s="1" t="str">
        <f>IF(C1107="", "", IFERROR(VLOOKUP(C1107, 作品一覧!A:B, 2, FALSE), "該当なし"))</f>
        <v>夢王国と眠れる100人の王子様</v>
      </c>
      <c r="E1107" s="1" t="str">
        <f ca="1">IFERROR(__xludf.DUMMYFUNCTION("""COMPUTED_VALUE"""),"カイネ")</f>
        <v>カイネ</v>
      </c>
      <c r="F1107" s="1" t="s">
        <v>1925</v>
      </c>
    </row>
    <row r="1108" spans="1:6" ht="13.2">
      <c r="A1108" s="1" t="str">
        <f t="array" aca="1" ref="A1108" ca="1">IF(B1108="", "", IFERROR(INDEX(声優一覧!A:A, MATCH(B1108, 声優一覧!B:B, 0)), "該当なし"))</f>
        <v>va_236</v>
      </c>
      <c r="B1108" s="1" t="str">
        <f ca="1">IFERROR(__xludf.DUMMYFUNCTION("""COMPUTED_VALUE"""),"宮野真守")</f>
        <v>宮野真守</v>
      </c>
      <c r="C1108" s="1" t="s">
        <v>279</v>
      </c>
      <c r="D1108" s="1" t="str">
        <f>IF(C1108="", "", IFERROR(VLOOKUP(C1108, 作品一覧!A:B, 2, FALSE), "該当なし"))</f>
        <v>夢王国と眠れる100人の王子様</v>
      </c>
      <c r="E1108" s="1" t="str">
        <f ca="1">IFERROR(__xludf.DUMMYFUNCTION("""COMPUTED_VALUE"""),"カイリ")</f>
        <v>カイリ</v>
      </c>
      <c r="F1108" s="1" t="s">
        <v>1926</v>
      </c>
    </row>
    <row r="1109" spans="1:6" ht="13.2">
      <c r="A1109" s="1" t="str">
        <f t="array" aca="1" ref="A1109" ca="1">IF(B1109="", "", IFERROR(INDEX(声優一覧!A:A, MATCH(B1109, 声優一覧!B:B, 0)), "該当なし"))</f>
        <v>va_090</v>
      </c>
      <c r="B1109" s="1" t="str">
        <f ca="1">IFERROR(__xludf.DUMMYFUNCTION("""COMPUTED_VALUE"""),"佐藤拓也")</f>
        <v>佐藤拓也</v>
      </c>
      <c r="C1109" s="1" t="s">
        <v>279</v>
      </c>
      <c r="D1109" s="1" t="str">
        <f>IF(C1109="", "", IFERROR(VLOOKUP(C1109, 作品一覧!A:B, 2, FALSE), "該当なし"))</f>
        <v>夢王国と眠れる100人の王子様</v>
      </c>
      <c r="E1109" s="1" t="str">
        <f ca="1">IFERROR(__xludf.DUMMYFUNCTION("""COMPUTED_VALUE"""),"楓(カエデ)")</f>
        <v>楓(カエデ)</v>
      </c>
      <c r="F1109" s="1" t="s">
        <v>1927</v>
      </c>
    </row>
    <row r="1110" spans="1:6" ht="13.2">
      <c r="A1110" s="1" t="str">
        <f t="array" aca="1" ref="A1110" ca="1">IF(B1110="", "", IFERROR(INDEX(声優一覧!A:A, MATCH(B1110, 声優一覧!B:B, 0)), "該当なし"))</f>
        <v>va_327</v>
      </c>
      <c r="B1110" s="1" t="str">
        <f ca="1">IFERROR(__xludf.DUMMYFUNCTION("""COMPUTED_VALUE"""),"平田広明")</f>
        <v>平田広明</v>
      </c>
      <c r="C1110" s="1" t="s">
        <v>279</v>
      </c>
      <c r="D1110" s="1" t="str">
        <f>IF(C1110="", "", IFERROR(VLOOKUP(C1110, 作品一覧!A:B, 2, FALSE), "該当なし"))</f>
        <v>夢王国と眠れる100人の王子様</v>
      </c>
      <c r="E1110" s="1" t="str">
        <f ca="1">IFERROR(__xludf.DUMMYFUNCTION("""COMPUTED_VALUE"""),"カゲトラ")</f>
        <v>カゲトラ</v>
      </c>
      <c r="F1110" s="1" t="s">
        <v>1928</v>
      </c>
    </row>
    <row r="1111" spans="1:6" ht="13.2">
      <c r="A1111" s="1" t="str">
        <f t="array" aca="1" ref="A1111" ca="1">IF(B1111="", "", IFERROR(INDEX(声優一覧!A:A, MATCH(B1111, 声優一覧!B:B, 0)), "該当なし"))</f>
        <v>va_215</v>
      </c>
      <c r="B1111" s="1" t="str">
        <f ca="1">IFERROR(__xludf.DUMMYFUNCTION("""COMPUTED_VALUE"""),"大河元気")</f>
        <v>大河元気</v>
      </c>
      <c r="C1111" s="1" t="s">
        <v>279</v>
      </c>
      <c r="D1111" s="1" t="str">
        <f>IF(C1111="", "", IFERROR(VLOOKUP(C1111, 作品一覧!A:B, 2, FALSE), "該当なし"))</f>
        <v>夢王国と眠れる100人の王子様</v>
      </c>
      <c r="E1111" s="1" t="str">
        <f ca="1">IFERROR(__xludf.DUMMYFUNCTION("""COMPUTED_VALUE"""),"カストル")</f>
        <v>カストル</v>
      </c>
      <c r="F1111" s="1" t="s">
        <v>1929</v>
      </c>
    </row>
    <row r="1112" spans="1:6" ht="13.2">
      <c r="A1112" s="1" t="str">
        <f t="array" aca="1" ref="A1112" ca="1">IF(B1112="", "", IFERROR(INDEX(声優一覧!A:A, MATCH(B1112, 声優一覧!B:B, 0)), "該当なし"))</f>
        <v>va_328</v>
      </c>
      <c r="B1112" s="1" t="str">
        <f ca="1">IFERROR(__xludf.DUMMYFUNCTION("""COMPUTED_VALUE"""),"藤原祐規")</f>
        <v>藤原祐規</v>
      </c>
      <c r="C1112" s="1" t="s">
        <v>279</v>
      </c>
      <c r="D1112" s="1" t="str">
        <f>IF(C1112="", "", IFERROR(VLOOKUP(C1112, 作品一覧!A:B, 2, FALSE), "該当なし"))</f>
        <v>夢王国と眠れる100人の王子様</v>
      </c>
      <c r="E1112" s="1" t="str">
        <f ca="1">IFERROR(__xludf.DUMMYFUNCTION("""COMPUTED_VALUE"""),"カノエ")</f>
        <v>カノエ</v>
      </c>
      <c r="F1112" s="1" t="s">
        <v>1930</v>
      </c>
    </row>
    <row r="1113" spans="1:6" ht="13.2">
      <c r="A1113" s="1" t="str">
        <f t="array" aca="1" ref="A1113" ca="1">IF(B1113="", "", IFERROR(INDEX(声優一覧!A:A, MATCH(B1113, 声優一覧!B:B, 0)), "該当なし"))</f>
        <v>va_028</v>
      </c>
      <c r="B1113" s="1" t="str">
        <f ca="1">IFERROR(__xludf.DUMMYFUNCTION("""COMPUTED_VALUE"""),"上村祐翔")</f>
        <v>上村祐翔</v>
      </c>
      <c r="C1113" s="1" t="s">
        <v>279</v>
      </c>
      <c r="D1113" s="1" t="str">
        <f>IF(C1113="", "", IFERROR(VLOOKUP(C1113, 作品一覧!A:B, 2, FALSE), "該当なし"))</f>
        <v>夢王国と眠れる100人の王子様</v>
      </c>
      <c r="E1113" s="1" t="str">
        <f ca="1">IFERROR(__xludf.DUMMYFUNCTION("""COMPUTED_VALUE"""),"カノト")</f>
        <v>カノト</v>
      </c>
      <c r="F1113" s="1" t="s">
        <v>1931</v>
      </c>
    </row>
    <row r="1114" spans="1:6" ht="13.2">
      <c r="A1114" s="1" t="str">
        <f t="array" aca="1" ref="A1114" ca="1">IF(B1114="", "", IFERROR(INDEX(声優一覧!A:A, MATCH(B1114, 声優一覧!B:B, 0)), "該当なし"))</f>
        <v>va_120</v>
      </c>
      <c r="B1114" s="1" t="str">
        <f ca="1">IFERROR(__xludf.DUMMYFUNCTION("""COMPUTED_VALUE"""),"津田健次郎")</f>
        <v>津田健次郎</v>
      </c>
      <c r="C1114" s="1" t="s">
        <v>279</v>
      </c>
      <c r="D1114" s="1" t="str">
        <f>IF(C1114="", "", IFERROR(VLOOKUP(C1114, 作品一覧!A:B, 2, FALSE), "該当なし"))</f>
        <v>夢王国と眠れる100人の王子様</v>
      </c>
      <c r="E1114" s="1" t="str">
        <f ca="1">IFERROR(__xludf.DUMMYFUNCTION("""COMPUTED_VALUE"""),"カミロ")</f>
        <v>カミロ</v>
      </c>
      <c r="F1114" s="1" t="s">
        <v>1932</v>
      </c>
    </row>
    <row r="1115" spans="1:6" ht="13.2">
      <c r="A1115" s="1" t="str">
        <f t="array" aca="1" ref="A1115" ca="1">IF(B1115="", "", IFERROR(INDEX(声優一覧!A:A, MATCH(B1115, 声優一覧!B:B, 0)), "該当なし"))</f>
        <v>va_117</v>
      </c>
      <c r="B1115" s="1" t="str">
        <f ca="1">IFERROR(__xludf.DUMMYFUNCTION("""COMPUTED_VALUE"""),"田丸篤志")</f>
        <v>田丸篤志</v>
      </c>
      <c r="C1115" s="1" t="s">
        <v>279</v>
      </c>
      <c r="D1115" s="1" t="str">
        <f>IF(C1115="", "", IFERROR(VLOOKUP(C1115, 作品一覧!A:B, 2, FALSE), "該当なし"))</f>
        <v>夢王国と眠れる100人の王子様</v>
      </c>
      <c r="E1115" s="1" t="str">
        <f ca="1">IFERROR(__xludf.DUMMYFUNCTION("""COMPUTED_VALUE"""),"カリバーン")</f>
        <v>カリバーン</v>
      </c>
      <c r="F1115" s="1" t="s">
        <v>1933</v>
      </c>
    </row>
    <row r="1116" spans="1:6" ht="13.2">
      <c r="A1116" s="1" t="str">
        <f t="array" aca="1" ref="A1116" ca="1">IF(B1116="", "", IFERROR(INDEX(声優一覧!A:A, MATCH(B1116, 声優一覧!B:B, 0)), "該当なし"))</f>
        <v>va_192</v>
      </c>
      <c r="B1116" s="1" t="str">
        <f ca="1">IFERROR(__xludf.DUMMYFUNCTION("""COMPUTED_VALUE"""),"山下誠一郎")</f>
        <v>山下誠一郎</v>
      </c>
      <c r="C1116" s="1" t="s">
        <v>279</v>
      </c>
      <c r="D1116" s="1" t="str">
        <f>IF(C1116="", "", IFERROR(VLOOKUP(C1116, 作品一覧!A:B, 2, FALSE), "該当なし"))</f>
        <v>夢王国と眠れる100人の王子様</v>
      </c>
      <c r="E1116" s="1" t="str">
        <f ca="1">IFERROR(__xludf.DUMMYFUNCTION("""COMPUTED_VALUE"""),"カルト")</f>
        <v>カルト</v>
      </c>
      <c r="F1116" s="1" t="s">
        <v>1934</v>
      </c>
    </row>
    <row r="1117" spans="1:6" ht="13.2">
      <c r="A1117" s="1" t="str">
        <f t="array" aca="1" ref="A1117" ca="1">IF(B1117="", "", IFERROR(INDEX(声優一覧!A:A, MATCH(B1117, 声優一覧!B:B, 0)), "該当なし"))</f>
        <v>va_329</v>
      </c>
      <c r="B1117" s="1" t="str">
        <f ca="1">IFERROR(__xludf.DUMMYFUNCTION("""COMPUTED_VALUE"""),"矢野智也")</f>
        <v>矢野智也</v>
      </c>
      <c r="C1117" s="1" t="s">
        <v>279</v>
      </c>
      <c r="D1117" s="1" t="str">
        <f>IF(C1117="", "", IFERROR(VLOOKUP(C1117, 作品一覧!A:B, 2, FALSE), "該当なし"))</f>
        <v>夢王国と眠れる100人の王子様</v>
      </c>
      <c r="E1117" s="1" t="str">
        <f ca="1">IFERROR(__xludf.DUMMYFUNCTION("""COMPUTED_VALUE"""),"カルロ")</f>
        <v>カルロ</v>
      </c>
      <c r="F1117" s="1" t="s">
        <v>1935</v>
      </c>
    </row>
    <row r="1118" spans="1:6" ht="13.2">
      <c r="A1118" s="1" t="str">
        <f t="array" aca="1" ref="A1118" ca="1">IF(B1118="", "", IFERROR(INDEX(声優一覧!A:A, MATCH(B1118, 声優一覧!B:B, 0)), "該当なし"))</f>
        <v>va_330</v>
      </c>
      <c r="B1118" s="1" t="str">
        <f ca="1">IFERROR(__xludf.DUMMYFUNCTION("""COMPUTED_VALUE"""),"宮崎遊")</f>
        <v>宮崎遊</v>
      </c>
      <c r="C1118" s="1" t="s">
        <v>279</v>
      </c>
      <c r="D1118" s="1" t="str">
        <f>IF(C1118="", "", IFERROR(VLOOKUP(C1118, 作品一覧!A:B, 2, FALSE), "該当なし"))</f>
        <v>夢王国と眠れる100人の王子様</v>
      </c>
      <c r="E1118" s="1" t="str">
        <f ca="1">IFERROR(__xludf.DUMMYFUNCTION("""COMPUTED_VALUE"""),"キエル")</f>
        <v>キエル</v>
      </c>
      <c r="F1118" s="1" t="s">
        <v>1936</v>
      </c>
    </row>
    <row r="1119" spans="1:6" ht="13.2">
      <c r="A1119" s="1" t="str">
        <f t="array" aca="1" ref="A1119" ca="1">IF(B1119="", "", IFERROR(INDEX(声優一覧!A:A, MATCH(B1119, 声優一覧!B:B, 0)), "該当なし"))</f>
        <v>va_168</v>
      </c>
      <c r="B1119" s="1" t="str">
        <f ca="1">IFERROR(__xludf.DUMMYFUNCTION("""COMPUTED_VALUE"""),"保志総一朗")</f>
        <v>保志総一朗</v>
      </c>
      <c r="C1119" s="1" t="s">
        <v>279</v>
      </c>
      <c r="D1119" s="1" t="str">
        <f>IF(C1119="", "", IFERROR(VLOOKUP(C1119, 作品一覧!A:B, 2, FALSE), "該当なし"))</f>
        <v>夢王国と眠れる100人の王子様</v>
      </c>
      <c r="E1119" s="1" t="str">
        <f ca="1">IFERROR(__xludf.DUMMYFUNCTION("""COMPUTED_VALUE"""),"キース")</f>
        <v>キース</v>
      </c>
      <c r="F1119" s="1" t="s">
        <v>1937</v>
      </c>
    </row>
    <row r="1120" spans="1:6" ht="13.2">
      <c r="A1120" s="1" t="str">
        <f t="array" aca="1" ref="A1120" ca="1">IF(B1120="", "", IFERROR(INDEX(声優一覧!A:A, MATCH(B1120, 声優一覧!B:B, 0)), "該当なし"))</f>
        <v>va_152</v>
      </c>
      <c r="B1120" s="1" t="str">
        <f ca="1">IFERROR(__xludf.DUMMYFUNCTION("""COMPUTED_VALUE"""),"浜田賢二")</f>
        <v>浜田賢二</v>
      </c>
      <c r="C1120" s="1" t="s">
        <v>279</v>
      </c>
      <c r="D1120" s="1" t="str">
        <f>IF(C1120="", "", IFERROR(VLOOKUP(C1120, 作品一覧!A:B, 2, FALSE), "該当なし"))</f>
        <v>夢王国と眠れる100人の王子様</v>
      </c>
      <c r="E1120" s="1" t="str">
        <f ca="1">IFERROR(__xludf.DUMMYFUNCTION("""COMPUTED_VALUE"""),"キャピタ")</f>
        <v>キャピタ</v>
      </c>
      <c r="F1120" s="1" t="s">
        <v>1938</v>
      </c>
    </row>
    <row r="1121" spans="1:6" ht="13.2">
      <c r="A1121" s="1" t="str">
        <f t="array" aca="1" ref="A1121" ca="1">IF(B1121="", "", IFERROR(INDEX(声優一覧!A:A, MATCH(B1121, 声優一覧!B:B, 0)), "該当なし"))</f>
        <v>va_114</v>
      </c>
      <c r="B1121" s="1" t="str">
        <f ca="1">IFERROR(__xludf.DUMMYFUNCTION("""COMPUTED_VALUE"""),"立花慎之介")</f>
        <v>立花慎之介</v>
      </c>
      <c r="C1121" s="1" t="s">
        <v>279</v>
      </c>
      <c r="D1121" s="1" t="str">
        <f>IF(C1121="", "", IFERROR(VLOOKUP(C1121, 作品一覧!A:B, 2, FALSE), "該当なし"))</f>
        <v>夢王国と眠れる100人の王子様</v>
      </c>
      <c r="E1121" s="1" t="str">
        <f ca="1">IFERROR(__xludf.DUMMYFUNCTION("""COMPUTED_VALUE"""),"ギルバート")</f>
        <v>ギルバート</v>
      </c>
      <c r="F1121" s="1" t="s">
        <v>1939</v>
      </c>
    </row>
    <row r="1122" spans="1:6" ht="13.2">
      <c r="A1122" s="1" t="str">
        <f t="array" aca="1" ref="A1122" ca="1">IF(B1122="", "", IFERROR(INDEX(声優一覧!A:A, MATCH(B1122, 声優一覧!B:B, 0)), "該当なし"))</f>
        <v>va_331</v>
      </c>
      <c r="B1122" s="1" t="str">
        <f ca="1">IFERROR(__xludf.DUMMYFUNCTION("""COMPUTED_VALUE"""),"武藤正史")</f>
        <v>武藤正史</v>
      </c>
      <c r="C1122" s="1" t="s">
        <v>279</v>
      </c>
      <c r="D1122" s="1" t="str">
        <f>IF(C1122="", "", IFERROR(VLOOKUP(C1122, 作品一覧!A:B, 2, FALSE), "該当なし"))</f>
        <v>夢王国と眠れる100人の王子様</v>
      </c>
      <c r="E1122" s="1" t="str">
        <f ca="1">IFERROR(__xludf.DUMMYFUNCTION("""COMPUTED_VALUE"""),"グウィード")</f>
        <v>グウィード</v>
      </c>
      <c r="F1122" s="1" t="s">
        <v>1940</v>
      </c>
    </row>
    <row r="1123" spans="1:6" ht="13.2">
      <c r="A1123" s="1" t="str">
        <f t="array" aca="1" ref="A1123" ca="1">IF(B1123="", "", IFERROR(INDEX(声優一覧!A:A, MATCH(B1123, 声優一覧!B:B, 0)), "該当なし"))</f>
        <v>va_142</v>
      </c>
      <c r="B1123" s="1" t="str">
        <f ca="1">IFERROR(__xludf.DUMMYFUNCTION("""COMPUTED_VALUE"""),"野上翔")</f>
        <v>野上翔</v>
      </c>
      <c r="C1123" s="1" t="s">
        <v>279</v>
      </c>
      <c r="D1123" s="1" t="str">
        <f>IF(C1123="", "", IFERROR(VLOOKUP(C1123, 作品一覧!A:B, 2, FALSE), "該当なし"))</f>
        <v>夢王国と眠れる100人の王子様</v>
      </c>
      <c r="E1123" s="1" t="str">
        <f ca="1">IFERROR(__xludf.DUMMYFUNCTION("""COMPUTED_VALUE"""),"クラウン")</f>
        <v>クラウン</v>
      </c>
      <c r="F1123" s="1" t="s">
        <v>1941</v>
      </c>
    </row>
    <row r="1124" spans="1:6" ht="13.2">
      <c r="A1124" s="1" t="str">
        <f t="array" aca="1" ref="A1124" ca="1">IF(B1124="", "", IFERROR(INDEX(声優一覧!A:A, MATCH(B1124, 声優一覧!B:B, 0)), "該当なし"))</f>
        <v>va_158</v>
      </c>
      <c r="B1124" s="1" t="str">
        <f ca="1">IFERROR(__xludf.DUMMYFUNCTION("""COMPUTED_VALUE"""),"深町寿成")</f>
        <v>深町寿成</v>
      </c>
      <c r="C1124" s="1" t="s">
        <v>279</v>
      </c>
      <c r="D1124" s="1" t="str">
        <f>IF(C1124="", "", IFERROR(VLOOKUP(C1124, 作品一覧!A:B, 2, FALSE), "該当なし"))</f>
        <v>夢王国と眠れる100人の王子様</v>
      </c>
      <c r="E1124" s="1" t="str">
        <f ca="1">IFERROR(__xludf.DUMMYFUNCTION("""COMPUTED_VALUE"""),"グラッド")</f>
        <v>グラッド</v>
      </c>
      <c r="F1124" s="1" t="s">
        <v>1942</v>
      </c>
    </row>
    <row r="1125" spans="1:6" ht="13.2">
      <c r="A1125" s="1" t="str">
        <f t="array" aca="1" ref="A1125" ca="1">IF(B1125="", "", IFERROR(INDEX(声優一覧!A:A, MATCH(B1125, 声優一覧!B:B, 0)), "該当なし"))</f>
        <v>va_004</v>
      </c>
      <c r="B1125" s="1" t="str">
        <f ca="1">IFERROR(__xludf.DUMMYFUNCTION("""COMPUTED_VALUE"""),"浅沼晋太郎")</f>
        <v>浅沼晋太郎</v>
      </c>
      <c r="C1125" s="1" t="s">
        <v>279</v>
      </c>
      <c r="D1125" s="1" t="str">
        <f>IF(C1125="", "", IFERROR(VLOOKUP(C1125, 作品一覧!A:B, 2, FALSE), "該当なし"))</f>
        <v>夢王国と眠れる100人の王子様</v>
      </c>
      <c r="E1125" s="1" t="str">
        <f ca="1">IFERROR(__xludf.DUMMYFUNCTION("""COMPUTED_VALUE"""),"グレアム")</f>
        <v>グレアム</v>
      </c>
      <c r="F1125" s="1" t="s">
        <v>1943</v>
      </c>
    </row>
    <row r="1126" spans="1:6" ht="13.2">
      <c r="A1126" s="1" t="str">
        <f t="array" aca="1" ref="A1126" ca="1">IF(B1126="", "", IFERROR(INDEX(声優一覧!A:A, MATCH(B1126, 声優一覧!B:B, 0)), "該当なし"))</f>
        <v>va_164</v>
      </c>
      <c r="B1126" s="1" t="str">
        <f ca="1">IFERROR(__xludf.DUMMYFUNCTION("""COMPUTED_VALUE"""),"細谷佳正")</f>
        <v>細谷佳正</v>
      </c>
      <c r="C1126" s="1" t="s">
        <v>279</v>
      </c>
      <c r="D1126" s="1" t="str">
        <f>IF(C1126="", "", IFERROR(VLOOKUP(C1126, 作品一覧!A:B, 2, FALSE), "該当なし"))</f>
        <v>夢王国と眠れる100人の王子様</v>
      </c>
      <c r="E1126" s="1" t="str">
        <f ca="1">IFERROR(__xludf.DUMMYFUNCTION("""COMPUTED_VALUE"""),"グレイシア")</f>
        <v>グレイシア</v>
      </c>
      <c r="F1126" s="1" t="s">
        <v>1944</v>
      </c>
    </row>
    <row r="1127" spans="1:6" ht="13.2">
      <c r="A1127" s="1" t="str">
        <f t="array" aca="1" ref="A1127" ca="1">IF(B1127="", "", IFERROR(INDEX(声優一覧!A:A, MATCH(B1127, 声優一覧!B:B, 0)), "該当なし"))</f>
        <v>va_196</v>
      </c>
      <c r="B1127" s="1" t="str">
        <f ca="1">IFERROR(__xludf.DUMMYFUNCTION("""COMPUTED_VALUE"""),"山谷祥生")</f>
        <v>山谷祥生</v>
      </c>
      <c r="C1127" s="1" t="s">
        <v>279</v>
      </c>
      <c r="D1127" s="1" t="str">
        <f>IF(C1127="", "", IFERROR(VLOOKUP(C1127, 作品一覧!A:B, 2, FALSE), "該当なし"))</f>
        <v>夢王国と眠れる100人の王子様</v>
      </c>
      <c r="E1127" s="1" t="str">
        <f ca="1">IFERROR(__xludf.DUMMYFUNCTION("""COMPUTED_VALUE"""),"クレト")</f>
        <v>クレト</v>
      </c>
      <c r="F1127" s="1" t="s">
        <v>1945</v>
      </c>
    </row>
    <row r="1128" spans="1:6" ht="13.2">
      <c r="A1128" s="1" t="str">
        <f t="array" aca="1" ref="A1128" ca="1">IF(B1128="", "", IFERROR(INDEX(声優一覧!A:A, MATCH(B1128, 声優一覧!B:B, 0)), "該当なし"))</f>
        <v>va_173</v>
      </c>
      <c r="B1128" s="1" t="str">
        <f ca="1">IFERROR(__xludf.DUMMYFUNCTION("""COMPUTED_VALUE"""),"松岡禎丞")</f>
        <v>松岡禎丞</v>
      </c>
      <c r="C1128" s="1" t="s">
        <v>279</v>
      </c>
      <c r="D1128" s="1" t="str">
        <f>IF(C1128="", "", IFERROR(VLOOKUP(C1128, 作品一覧!A:B, 2, FALSE), "該当なし"))</f>
        <v>夢王国と眠れる100人の王子様</v>
      </c>
      <c r="E1128" s="1" t="str">
        <f ca="1">IFERROR(__xludf.DUMMYFUNCTION("""COMPUTED_VALUE"""),"クロノ")</f>
        <v>クロノ</v>
      </c>
      <c r="F1128" s="1" t="s">
        <v>1946</v>
      </c>
    </row>
    <row r="1129" spans="1:6" ht="13.2">
      <c r="A1129" s="1" t="str">
        <f t="array" aca="1" ref="A1129" ca="1">IF(B1129="", "", IFERROR(INDEX(声優一覧!A:A, MATCH(B1129, 声優一覧!B:B, 0)), "該当なし"))</f>
        <v>va_156</v>
      </c>
      <c r="B1129" s="1" t="str">
        <f ca="1">IFERROR(__xludf.DUMMYFUNCTION("""COMPUTED_VALUE"""),"日野聡")</f>
        <v>日野聡</v>
      </c>
      <c r="C1129" s="1" t="s">
        <v>279</v>
      </c>
      <c r="D1129" s="1" t="str">
        <f>IF(C1129="", "", IFERROR(VLOOKUP(C1129, 作品一覧!A:B, 2, FALSE), "該当なし"))</f>
        <v>夢王国と眠れる100人の王子様</v>
      </c>
      <c r="E1129" s="1" t="str">
        <f ca="1">IFERROR(__xludf.DUMMYFUNCTION("""COMPUTED_VALUE"""),"ゲイリー")</f>
        <v>ゲイリー</v>
      </c>
      <c r="F1129" s="1" t="s">
        <v>1947</v>
      </c>
    </row>
    <row r="1130" spans="1:6" ht="13.2">
      <c r="A1130" s="1" t="str">
        <f t="array" aca="1" ref="A1130" ca="1">IF(B1130="", "", IFERROR(INDEX(声優一覧!A:A, MATCH(B1130, 声優一覧!B:B, 0)), "該当なし"))</f>
        <v>va_332</v>
      </c>
      <c r="B1130" s="1" t="str">
        <f ca="1">IFERROR(__xludf.DUMMYFUNCTION("""COMPUTED_VALUE"""),"大隈健太")</f>
        <v>大隈健太</v>
      </c>
      <c r="C1130" s="1" t="s">
        <v>279</v>
      </c>
      <c r="D1130" s="1" t="str">
        <f>IF(C1130="", "", IFERROR(VLOOKUP(C1130, 作品一覧!A:B, 2, FALSE), "該当なし"))</f>
        <v>夢王国と眠れる100人の王子様</v>
      </c>
      <c r="E1130" s="1" t="str">
        <f ca="1">IFERROR(__xludf.DUMMYFUNCTION("""COMPUTED_VALUE"""),"コーエン")</f>
        <v>コーエン</v>
      </c>
      <c r="F1130" s="1" t="s">
        <v>1948</v>
      </c>
    </row>
    <row r="1131" spans="1:6" ht="13.2">
      <c r="A1131" s="1" t="str">
        <f t="array" aca="1" ref="A1131" ca="1">IF(B1131="", "", IFERROR(INDEX(声優一覧!A:A, MATCH(B1131, 声優一覧!B:B, 0)), "該当なし"))</f>
        <v>va_227</v>
      </c>
      <c r="B1131" s="1" t="str">
        <f ca="1">IFERROR(__xludf.DUMMYFUNCTION("""COMPUTED_VALUE"""),"鈴村健一")</f>
        <v>鈴村健一</v>
      </c>
      <c r="C1131" s="1" t="s">
        <v>279</v>
      </c>
      <c r="D1131" s="1" t="str">
        <f>IF(C1131="", "", IFERROR(VLOOKUP(C1131, 作品一覧!A:B, 2, FALSE), "該当なし"))</f>
        <v>夢王国と眠れる100人の王子様</v>
      </c>
      <c r="E1131" s="1" t="str">
        <f ca="1">IFERROR(__xludf.DUMMYFUNCTION("""COMPUTED_VALUE"""),"言祝(コトホギ)")</f>
        <v>言祝(コトホギ)</v>
      </c>
      <c r="F1131" s="1" t="s">
        <v>1949</v>
      </c>
    </row>
    <row r="1132" spans="1:6" ht="13.2">
      <c r="A1132" s="1" t="str">
        <f t="array" aca="1" ref="A1132" ca="1">IF(B1132="", "", IFERROR(INDEX(声優一覧!A:A, MATCH(B1132, 声優一覧!B:B, 0)), "該当なし"))</f>
        <v>va_241</v>
      </c>
      <c r="B1132" s="1" t="str">
        <f ca="1">IFERROR(__xludf.DUMMYFUNCTION("""COMPUTED_VALUE"""),"花倉桔道")</f>
        <v>花倉桔道</v>
      </c>
      <c r="C1132" s="1" t="s">
        <v>279</v>
      </c>
      <c r="D1132" s="1" t="str">
        <f>IF(C1132="", "", IFERROR(VLOOKUP(C1132, 作品一覧!A:B, 2, FALSE), "該当なし"))</f>
        <v>夢王国と眠れる100人の王子様</v>
      </c>
      <c r="E1132" s="1" t="str">
        <f ca="1">IFERROR(__xludf.DUMMYFUNCTION("""COMPUTED_VALUE"""),"コライユ")</f>
        <v>コライユ</v>
      </c>
      <c r="F1132" s="1" t="s">
        <v>1950</v>
      </c>
    </row>
    <row r="1133" spans="1:6" ht="13.2">
      <c r="A1133" s="1" t="str">
        <f t="array" aca="1" ref="A1133" ca="1">IF(B1133="", "", IFERROR(INDEX(声優一覧!A:A, MATCH(B1133, 声優一覧!B:B, 0)), "該当なし"))</f>
        <v>va_099</v>
      </c>
      <c r="B1133" s="1" t="str">
        <f ca="1">IFERROR(__xludf.DUMMYFUNCTION("""COMPUTED_VALUE"""),"鈴木千尋")</f>
        <v>鈴木千尋</v>
      </c>
      <c r="C1133" s="1" t="s">
        <v>279</v>
      </c>
      <c r="D1133" s="1" t="str">
        <f>IF(C1133="", "", IFERROR(VLOOKUP(C1133, 作品一覧!A:B, 2, FALSE), "該当なし"))</f>
        <v>夢王国と眠れる100人の王子様</v>
      </c>
      <c r="E1133" s="1" t="str">
        <f ca="1">IFERROR(__xludf.DUMMYFUNCTION("""COMPUTED_VALUE"""),"コロレ")</f>
        <v>コロレ</v>
      </c>
      <c r="F1133" s="1" t="s">
        <v>1951</v>
      </c>
    </row>
    <row r="1134" spans="1:6" ht="13.2">
      <c r="A1134" s="1" t="str">
        <f t="array" aca="1" ref="A1134" ca="1">IF(B1134="", "", IFERROR(INDEX(声優一覧!A:A, MATCH(B1134, 声優一覧!B:B, 0)), "該当なし"))</f>
        <v>va_009</v>
      </c>
      <c r="B1134" s="1" t="str">
        <f ca="1">IFERROR(__xludf.DUMMYFUNCTION("""COMPUTED_VALUE"""),"蒼井翔太")</f>
        <v>蒼井翔太</v>
      </c>
      <c r="C1134" s="1" t="s">
        <v>279</v>
      </c>
      <c r="D1134" s="1" t="str">
        <f>IF(C1134="", "", IFERROR(VLOOKUP(C1134, 作品一覧!A:B, 2, FALSE), "該当なし"))</f>
        <v>夢王国と眠れる100人の王子様</v>
      </c>
      <c r="E1134" s="1" t="str">
        <f ca="1">IFERROR(__xludf.DUMMYFUNCTION("""COMPUTED_VALUE"""),"サイ")</f>
        <v>サイ</v>
      </c>
      <c r="F1134" s="1" t="s">
        <v>1952</v>
      </c>
    </row>
    <row r="1135" spans="1:6" ht="13.2">
      <c r="A1135" s="1" t="str">
        <f t="array" aca="1" ref="A1135" ca="1">IF(B1135="", "", IFERROR(INDEX(声優一覧!A:A, MATCH(B1135, 声優一覧!B:B, 0)), "該当なし"))</f>
        <v>va_299</v>
      </c>
      <c r="B1135" s="1" t="str">
        <f ca="1">IFERROR(__xludf.DUMMYFUNCTION("""COMPUTED_VALUE"""),"大川透")</f>
        <v>大川透</v>
      </c>
      <c r="C1135" s="1" t="s">
        <v>279</v>
      </c>
      <c r="D1135" s="1" t="str">
        <f>IF(C1135="", "", IFERROR(VLOOKUP(C1135, 作品一覧!A:B, 2, FALSE), "該当なし"))</f>
        <v>夢王国と眠れる100人の王子様</v>
      </c>
      <c r="E1135" s="1" t="str">
        <f ca="1">IFERROR(__xludf.DUMMYFUNCTION("""COMPUTED_VALUE"""),"砕牙(サイガ)")</f>
        <v>砕牙(サイガ)</v>
      </c>
      <c r="F1135" s="1" t="s">
        <v>1953</v>
      </c>
    </row>
    <row r="1136" spans="1:6" ht="13.2">
      <c r="A1136" s="1" t="str">
        <f t="array" aca="1" ref="A1136" ca="1">IF(B1136="", "", IFERROR(INDEX(声優一覧!A:A, MATCH(B1136, 声優一覧!B:B, 0)), "該当なし"))</f>
        <v>va_045</v>
      </c>
      <c r="B1136" s="1" t="str">
        <f ca="1">IFERROR(__xludf.DUMMYFUNCTION("""COMPUTED_VALUE"""),"小野賢章")</f>
        <v>小野賢章</v>
      </c>
      <c r="C1136" s="1" t="s">
        <v>279</v>
      </c>
      <c r="D1136" s="1" t="str">
        <f>IF(C1136="", "", IFERROR(VLOOKUP(C1136, 作品一覧!A:B, 2, FALSE), "該当なし"))</f>
        <v>夢王国と眠れる100人の王子様</v>
      </c>
      <c r="E1136" s="1" t="str">
        <f ca="1">IFERROR(__xludf.DUMMYFUNCTION("""COMPUTED_VALUE"""),"サキア")</f>
        <v>サキア</v>
      </c>
      <c r="F1136" s="1" t="s">
        <v>1954</v>
      </c>
    </row>
    <row r="1137" spans="1:6" ht="13.2">
      <c r="A1137" s="1" t="str">
        <f t="array" aca="1" ref="A1137" ca="1">IF(B1137="", "", IFERROR(INDEX(声優一覧!A:A, MATCH(B1137, 声優一覧!B:B, 0)), "該当なし"))</f>
        <v>va_100</v>
      </c>
      <c r="B1137" s="1" t="str">
        <f ca="1">IFERROR(__xludf.DUMMYFUNCTION("""COMPUTED_VALUE"""),"鈴木裕斗")</f>
        <v>鈴木裕斗</v>
      </c>
      <c r="C1137" s="1" t="s">
        <v>279</v>
      </c>
      <c r="D1137" s="1" t="str">
        <f>IF(C1137="", "", IFERROR(VLOOKUP(C1137, 作品一覧!A:B, 2, FALSE), "該当なし"))</f>
        <v>夢王国と眠れる100人の王子様</v>
      </c>
      <c r="E1137" s="1" t="str">
        <f ca="1">IFERROR(__xludf.DUMMYFUNCTION("""COMPUTED_VALUE"""),"サラサ")</f>
        <v>サラサ</v>
      </c>
      <c r="F1137" s="1" t="s">
        <v>1955</v>
      </c>
    </row>
    <row r="1138" spans="1:6" ht="13.2">
      <c r="A1138" s="1" t="str">
        <f t="array" aca="1" ref="A1138" ca="1">IF(B1138="", "", IFERROR(INDEX(声優一覧!A:A, MATCH(B1138, 声優一覧!B:B, 0)), "該当なし"))</f>
        <v>va_033</v>
      </c>
      <c r="B1138" s="1" t="str">
        <f ca="1">IFERROR(__xludf.DUMMYFUNCTION("""COMPUTED_VALUE"""),"梅原裕一郎")</f>
        <v>梅原裕一郎</v>
      </c>
      <c r="C1138" s="1" t="s">
        <v>279</v>
      </c>
      <c r="D1138" s="1" t="str">
        <f>IF(C1138="", "", IFERROR(VLOOKUP(C1138, 作品一覧!A:B, 2, FALSE), "該当なし"))</f>
        <v>夢王国と眠れる100人の王子様</v>
      </c>
      <c r="E1138" s="1" t="str">
        <f ca="1">IFERROR(__xludf.DUMMYFUNCTION("""COMPUTED_VALUE"""),"ザント")</f>
        <v>ザント</v>
      </c>
      <c r="F1138" s="1" t="s">
        <v>1956</v>
      </c>
    </row>
    <row r="1139" spans="1:6" ht="13.2">
      <c r="A1139" s="1" t="str">
        <f t="array" aca="1" ref="A1139" ca="1">IF(B1139="", "", IFERROR(INDEX(声優一覧!A:A, MATCH(B1139, 声優一覧!B:B, 0)), "該当なし"))</f>
        <v>va_172</v>
      </c>
      <c r="B1139" s="1" t="str">
        <f ca="1">IFERROR(__xludf.DUMMYFUNCTION("""COMPUTED_VALUE"""),"増田俊樹")</f>
        <v>増田俊樹</v>
      </c>
      <c r="C1139" s="1" t="s">
        <v>279</v>
      </c>
      <c r="D1139" s="1" t="str">
        <f>IF(C1139="", "", IFERROR(VLOOKUP(C1139, 作品一覧!A:B, 2, FALSE), "該当なし"))</f>
        <v>夢王国と眠れる100人の王子様</v>
      </c>
      <c r="E1139" s="1" t="str">
        <f ca="1">IFERROR(__xludf.DUMMYFUNCTION("""COMPUTED_VALUE"""),"ジーク")</f>
        <v>ジーク</v>
      </c>
      <c r="F1139" s="1" t="s">
        <v>1957</v>
      </c>
    </row>
    <row r="1140" spans="1:6" ht="13.2">
      <c r="A1140" s="1" t="str">
        <f t="array" aca="1" ref="A1140" ca="1">IF(B1140="", "", IFERROR(INDEX(声優一覧!A:A, MATCH(B1140, 声優一覧!B:B, 0)), "該当なし"))</f>
        <v>va_333</v>
      </c>
      <c r="B1140" s="1" t="str">
        <f ca="1">IFERROR(__xludf.DUMMYFUNCTION("""COMPUTED_VALUE"""),"織田優成")</f>
        <v>織田優成</v>
      </c>
      <c r="C1140" s="1" t="s">
        <v>279</v>
      </c>
      <c r="D1140" s="1" t="str">
        <f>IF(C1140="", "", IFERROR(VLOOKUP(C1140, 作品一覧!A:B, 2, FALSE), "該当なし"))</f>
        <v>夢王国と眠れる100人の王子様</v>
      </c>
      <c r="E1140" s="1" t="str">
        <f ca="1">IFERROR(__xludf.DUMMYFUNCTION("""COMPUTED_VALUE"""),"ジェイ")</f>
        <v>ジェイ</v>
      </c>
      <c r="F1140" s="1" t="s">
        <v>1958</v>
      </c>
    </row>
    <row r="1141" spans="1:6" ht="13.2">
      <c r="A1141" s="1" t="str">
        <f t="array" aca="1" ref="A1141" ca="1">IF(B1141="", "", IFERROR(INDEX(声優一覧!A:A, MATCH(B1141, 声優一覧!B:B, 0)), "該当なし"))</f>
        <v>va_270</v>
      </c>
      <c r="B1141" s="1" t="str">
        <f ca="1">IFERROR(__xludf.DUMMYFUNCTION("""COMPUTED_VALUE"""),"中井和哉")</f>
        <v>中井和哉</v>
      </c>
      <c r="C1141" s="1" t="s">
        <v>279</v>
      </c>
      <c r="D1141" s="1" t="str">
        <f>IF(C1141="", "", IFERROR(VLOOKUP(C1141, 作品一覧!A:B, 2, FALSE), "該当なし"))</f>
        <v>夢王国と眠れる100人の王子様</v>
      </c>
      <c r="E1141" s="1" t="str">
        <f ca="1">IFERROR(__xludf.DUMMYFUNCTION("""COMPUTED_VALUE"""),"ジェット")</f>
        <v>ジェット</v>
      </c>
      <c r="F1141" s="1" t="s">
        <v>1959</v>
      </c>
    </row>
    <row r="1142" spans="1:6" ht="13.2">
      <c r="A1142" s="1" t="str">
        <f t="array" aca="1" ref="A1142" ca="1">IF(B1142="", "", IFERROR(INDEX(声優一覧!A:A, MATCH(B1142, 声優一覧!B:B, 0)), "該当なし"))</f>
        <v>va_030</v>
      </c>
      <c r="B1142" s="1" t="str">
        <f ca="1">IFERROR(__xludf.DUMMYFUNCTION("""COMPUTED_VALUE"""),"内田雄馬")</f>
        <v>内田雄馬</v>
      </c>
      <c r="C1142" s="1" t="s">
        <v>279</v>
      </c>
      <c r="D1142" s="1" t="str">
        <f>IF(C1142="", "", IFERROR(VLOOKUP(C1142, 作品一覧!A:B, 2, FALSE), "該当なし"))</f>
        <v>夢王国と眠れる100人の王子様</v>
      </c>
      <c r="E1142" s="1" t="str">
        <f ca="1">IFERROR(__xludf.DUMMYFUNCTION("""COMPUTED_VALUE"""),"ジェラルド")</f>
        <v>ジェラルド</v>
      </c>
      <c r="F1142" s="1" t="s">
        <v>1960</v>
      </c>
    </row>
    <row r="1143" spans="1:6" ht="13.2">
      <c r="A1143" s="1" t="str">
        <f t="array" aca="1" ref="A1143" ca="1">IF(B1143="", "", IFERROR(INDEX(声優一覧!A:A, MATCH(B1143, 声優一覧!B:B, 0)), "該当なし"))</f>
        <v>va_036</v>
      </c>
      <c r="B1143" s="1" t="str">
        <f ca="1">IFERROR(__xludf.DUMMYFUNCTION("""COMPUTED_VALUE"""),"榎木淳弥")</f>
        <v>榎木淳弥</v>
      </c>
      <c r="C1143" s="1" t="s">
        <v>279</v>
      </c>
      <c r="D1143" s="1" t="str">
        <f>IF(C1143="", "", IFERROR(VLOOKUP(C1143, 作品一覧!A:B, 2, FALSE), "該当なし"))</f>
        <v>夢王国と眠れる100人の王子様</v>
      </c>
      <c r="E1143" s="1" t="str">
        <f ca="1">IFERROR(__xludf.DUMMYFUNCTION("""COMPUTED_VALUE"""),"ジェルバー")</f>
        <v>ジェルバー</v>
      </c>
      <c r="F1143" s="1" t="s">
        <v>1961</v>
      </c>
    </row>
    <row r="1144" spans="1:6" ht="13.2">
      <c r="A1144" s="1" t="str">
        <f t="array" aca="1" ref="A1144" ca="1">IF(B1144="", "", IFERROR(INDEX(声優一覧!A:A, MATCH(B1144, 声優一覧!B:B, 0)), "該当なし"))</f>
        <v>va_168</v>
      </c>
      <c r="B1144" s="1" t="str">
        <f ca="1">IFERROR(__xludf.DUMMYFUNCTION("""COMPUTED_VALUE"""),"保志総一朗")</f>
        <v>保志総一朗</v>
      </c>
      <c r="C1144" s="1" t="s">
        <v>279</v>
      </c>
      <c r="D1144" s="1" t="str">
        <f>IF(C1144="", "", IFERROR(VLOOKUP(C1144, 作品一覧!A:B, 2, FALSE), "該当なし"))</f>
        <v>夢王国と眠れる100人の王子様</v>
      </c>
      <c r="E1144" s="1" t="str">
        <f ca="1">IFERROR(__xludf.DUMMYFUNCTION("""COMPUTED_VALUE"""),"紫雨(シグレ)")</f>
        <v>紫雨(シグレ)</v>
      </c>
      <c r="F1144" s="1" t="s">
        <v>1962</v>
      </c>
    </row>
    <row r="1145" spans="1:6" ht="13.2">
      <c r="A1145" s="1" t="str">
        <f t="array" aca="1" ref="A1145" ca="1">IF(B1145="", "", IFERROR(INDEX(声優一覧!A:A, MATCH(B1145, 声優一覧!B:B, 0)), "該当なし"))</f>
        <v>va_060</v>
      </c>
      <c r="B1145" s="1" t="str">
        <f ca="1">IFERROR(__xludf.DUMMYFUNCTION("""COMPUTED_VALUE"""),"神尾晋一郎")</f>
        <v>神尾晋一郎</v>
      </c>
      <c r="C1145" s="1" t="s">
        <v>279</v>
      </c>
      <c r="D1145" s="1" t="str">
        <f>IF(C1145="", "", IFERROR(VLOOKUP(C1145, 作品一覧!A:B, 2, FALSE), "該当なし"))</f>
        <v>夢王国と眠れる100人の王子様</v>
      </c>
      <c r="E1145" s="1" t="str">
        <f ca="1">IFERROR(__xludf.DUMMYFUNCTION("""COMPUTED_VALUE"""),"シザネ")</f>
        <v>シザネ</v>
      </c>
      <c r="F1145" s="1" t="s">
        <v>1963</v>
      </c>
    </row>
    <row r="1146" spans="1:6" ht="13.2">
      <c r="A1146" s="1" t="str">
        <f t="array" aca="1" ref="A1146" ca="1">IF(B1146="", "", IFERROR(INDEX(声優一覧!A:A, MATCH(B1146, 声優一覧!B:B, 0)), "該当なし"))</f>
        <v>va_141</v>
      </c>
      <c r="B1146" s="1" t="str">
        <f ca="1">IFERROR(__xludf.DUMMYFUNCTION("""COMPUTED_VALUE"""),"西山宏太朗")</f>
        <v>西山宏太朗</v>
      </c>
      <c r="C1146" s="1" t="s">
        <v>279</v>
      </c>
      <c r="D1146" s="1" t="str">
        <f>IF(C1146="", "", IFERROR(VLOOKUP(C1146, 作品一覧!A:B, 2, FALSE), "該当なし"))</f>
        <v>夢王国と眠れる100人の王子様</v>
      </c>
      <c r="E1146" s="1" t="str">
        <f ca="1">IFERROR(__xludf.DUMMYFUNCTION("""COMPUTED_VALUE"""),"シャオ")</f>
        <v>シャオ</v>
      </c>
      <c r="F1146" s="1" t="s">
        <v>1964</v>
      </c>
    </row>
    <row r="1147" spans="1:6" ht="13.2">
      <c r="A1147" s="1" t="str">
        <f t="array" aca="1" ref="A1147" ca="1">IF(B1147="", "", IFERROR(INDEX(声優一覧!A:A, MATCH(B1147, 声優一覧!B:B, 0)), "該当なし"))</f>
        <v>va_334</v>
      </c>
      <c r="B1147" s="1" t="str">
        <f ca="1">IFERROR(__xludf.DUMMYFUNCTION("""COMPUTED_VALUE"""),"小宮逸人")</f>
        <v>小宮逸人</v>
      </c>
      <c r="C1147" s="1" t="s">
        <v>279</v>
      </c>
      <c r="D1147" s="1" t="str">
        <f>IF(C1147="", "", IFERROR(VLOOKUP(C1147, 作品一覧!A:B, 2, FALSE), "該当なし"))</f>
        <v>夢王国と眠れる100人の王子様</v>
      </c>
      <c r="E1147" s="1" t="str">
        <f ca="1">IFERROR(__xludf.DUMMYFUNCTION("""COMPUTED_VALUE"""),"シャロン")</f>
        <v>シャロン</v>
      </c>
      <c r="F1147" s="1" t="s">
        <v>1965</v>
      </c>
    </row>
    <row r="1148" spans="1:6" ht="13.2">
      <c r="A1148" s="1" t="str">
        <f t="array" aca="1" ref="A1148" ca="1">IF(B1148="", "", IFERROR(INDEX(声優一覧!A:A, MATCH(B1148, 声優一覧!B:B, 0)), "該当なし"))</f>
        <v>va_184</v>
      </c>
      <c r="B1148" s="1" t="str">
        <f ca="1">IFERROR(__xludf.DUMMYFUNCTION("""COMPUTED_VALUE"""),"村田太志")</f>
        <v>村田太志</v>
      </c>
      <c r="C1148" s="1" t="s">
        <v>279</v>
      </c>
      <c r="D1148" s="1" t="str">
        <f>IF(C1148="", "", IFERROR(VLOOKUP(C1148, 作品一覧!A:B, 2, FALSE), "該当なし"))</f>
        <v>夢王国と眠れる100人の王子様</v>
      </c>
      <c r="E1148" s="1" t="str">
        <f ca="1">IFERROR(__xludf.DUMMYFUNCTION("""COMPUTED_VALUE"""),"シュティマ")</f>
        <v>シュティマ</v>
      </c>
      <c r="F1148" s="1" t="s">
        <v>1966</v>
      </c>
    </row>
    <row r="1149" spans="1:6" ht="13.2">
      <c r="A1149" s="1" t="str">
        <f t="array" aca="1" ref="A1149" ca="1">IF(B1149="", "", IFERROR(INDEX(声優一覧!A:A, MATCH(B1149, 声優一覧!B:B, 0)), "該当なし"))</f>
        <v>va_180</v>
      </c>
      <c r="B1149" s="1" t="str">
        <f ca="1">IFERROR(__xludf.DUMMYFUNCTION("""COMPUTED_VALUE"""),"緑川光")</f>
        <v>緑川光</v>
      </c>
      <c r="C1149" s="1" t="s">
        <v>279</v>
      </c>
      <c r="D1149" s="1" t="str">
        <f>IF(C1149="", "", IFERROR(VLOOKUP(C1149, 作品一覧!A:B, 2, FALSE), "該当なし"))</f>
        <v>夢王国と眠れる100人の王子様</v>
      </c>
      <c r="E1149" s="1" t="str">
        <f ca="1">IFERROR(__xludf.DUMMYFUNCTION("""COMPUTED_VALUE"""),"シュテル")</f>
        <v>シュテル</v>
      </c>
      <c r="F1149" s="1" t="s">
        <v>1967</v>
      </c>
    </row>
    <row r="1150" spans="1:6" ht="13.2">
      <c r="A1150" s="1" t="str">
        <f t="array" aca="1" ref="A1150" ca="1">IF(B1150="", "", IFERROR(INDEX(声優一覧!A:A, MATCH(B1150, 声優一覧!B:B, 0)), "該当なし"))</f>
        <v>va_095</v>
      </c>
      <c r="B1150" s="1" t="str">
        <f ca="1">IFERROR(__xludf.DUMMYFUNCTION("""COMPUTED_VALUE"""),"下野紘")</f>
        <v>下野紘</v>
      </c>
      <c r="C1150" s="1" t="s">
        <v>279</v>
      </c>
      <c r="D1150" s="1" t="str">
        <f>IF(C1150="", "", IFERROR(VLOOKUP(C1150, 作品一覧!A:B, 2, FALSE), "該当なし"))</f>
        <v>夢王国と眠れる100人の王子様</v>
      </c>
      <c r="E1150" s="1" t="str">
        <f ca="1">IFERROR(__xludf.DUMMYFUNCTION("""COMPUTED_VALUE"""),"シュニー")</f>
        <v>シュニー</v>
      </c>
      <c r="F1150" s="1" t="s">
        <v>1968</v>
      </c>
    </row>
    <row r="1151" spans="1:6" ht="13.2">
      <c r="A1151" s="1" t="str">
        <f t="array" aca="1" ref="A1151" ca="1">IF(B1151="", "", IFERROR(INDEX(声優一覧!A:A, MATCH(B1151, 声優一覧!B:B, 0)), "該当なし"))</f>
        <v>va_219</v>
      </c>
      <c r="B1151" s="1" t="str">
        <f ca="1">IFERROR(__xludf.DUMMYFUNCTION("""COMPUTED_VALUE"""),"近藤孝行")</f>
        <v>近藤孝行</v>
      </c>
      <c r="C1151" s="1" t="s">
        <v>279</v>
      </c>
      <c r="D1151" s="1" t="str">
        <f>IF(C1151="", "", IFERROR(VLOOKUP(C1151, 作品一覧!A:B, 2, FALSE), "該当なし"))</f>
        <v>夢王国と眠れる100人の王子様</v>
      </c>
      <c r="E1151" s="1" t="str">
        <f ca="1">IFERROR(__xludf.DUMMYFUNCTION("""COMPUTED_VALUE"""),"珠李(ジュリ)")</f>
        <v>珠李(ジュリ)</v>
      </c>
      <c r="F1151" s="1" t="s">
        <v>1969</v>
      </c>
    </row>
    <row r="1152" spans="1:6" ht="13.2">
      <c r="A1152" s="1" t="str">
        <f t="array" aca="1" ref="A1152" ca="1">IF(B1152="", "", IFERROR(INDEX(声優一覧!A:A, MATCH(B1152, 声優一覧!B:B, 0)), "該当なし"))</f>
        <v>va_185</v>
      </c>
      <c r="B1152" s="1" t="str">
        <f ca="1">IFERROR(__xludf.DUMMYFUNCTION("""COMPUTED_VALUE"""),"森久保祥太郎")</f>
        <v>森久保祥太郎</v>
      </c>
      <c r="C1152" s="1" t="s">
        <v>279</v>
      </c>
      <c r="D1152" s="1" t="str">
        <f>IF(C1152="", "", IFERROR(VLOOKUP(C1152, 作品一覧!A:B, 2, FALSE), "該当なし"))</f>
        <v>夢王国と眠れる100人の王子様</v>
      </c>
      <c r="E1152" s="1" t="str">
        <f ca="1">IFERROR(__xludf.DUMMYFUNCTION("""COMPUTED_VALUE"""),"ジョシュア")</f>
        <v>ジョシュア</v>
      </c>
      <c r="F1152" s="1" t="s">
        <v>1970</v>
      </c>
    </row>
    <row r="1153" spans="1:6" ht="13.2">
      <c r="A1153" s="1" t="str">
        <f t="array" aca="1" ref="A1153" ca="1">IF(B1153="", "", IFERROR(INDEX(声優一覧!A:A, MATCH(B1153, 声優一覧!B:B, 0)), "該当なし"))</f>
        <v>va_188</v>
      </c>
      <c r="B1153" s="1" t="str">
        <f ca="1">IFERROR(__xludf.DUMMYFUNCTION("""COMPUTED_VALUE"""),"八代拓")</f>
        <v>八代拓</v>
      </c>
      <c r="C1153" s="1" t="s">
        <v>279</v>
      </c>
      <c r="D1153" s="1" t="str">
        <f>IF(C1153="", "", IFERROR(VLOOKUP(C1153, 作品一覧!A:B, 2, FALSE), "該当なし"))</f>
        <v>夢王国と眠れる100人の王子様</v>
      </c>
      <c r="E1153" s="1" t="str">
        <f ca="1">IFERROR(__xludf.DUMMYFUNCTION("""COMPUTED_VALUE"""),"シリウス")</f>
        <v>シリウス</v>
      </c>
      <c r="F1153" s="1" t="s">
        <v>1971</v>
      </c>
    </row>
    <row r="1154" spans="1:6" ht="13.2">
      <c r="A1154" s="1" t="str">
        <f t="array" aca="1" ref="A1154" ca="1">IF(B1154="", "", IFERROR(INDEX(声優一覧!A:A, MATCH(B1154, 声優一覧!B:B, 0)), "該当なし"))</f>
        <v>va_250</v>
      </c>
      <c r="B1154" s="1" t="str">
        <f ca="1">IFERROR(__xludf.DUMMYFUNCTION("""COMPUTED_VALUE"""),"永塚拓馬")</f>
        <v>永塚拓馬</v>
      </c>
      <c r="C1154" s="1" t="s">
        <v>279</v>
      </c>
      <c r="D1154" s="1" t="str">
        <f>IF(C1154="", "", IFERROR(VLOOKUP(C1154, 作品一覧!A:B, 2, FALSE), "該当なし"))</f>
        <v>夢王国と眠れる100人の王子様</v>
      </c>
      <c r="E1154" s="1" t="str">
        <f ca="1">IFERROR(__xludf.DUMMYFUNCTION("""COMPUTED_VALUE"""),"シリル")</f>
        <v>シリル</v>
      </c>
      <c r="F1154" s="1" t="s">
        <v>1972</v>
      </c>
    </row>
    <row r="1155" spans="1:6" ht="13.2">
      <c r="A1155" s="1" t="str">
        <f t="array" aca="1" ref="A1155" ca="1">IF(B1155="", "", IFERROR(INDEX(声優一覧!A:A, MATCH(B1155, 声優一覧!B:B, 0)), "該当なし"))</f>
        <v>va_049</v>
      </c>
      <c r="B1155" s="1" t="str">
        <f ca="1">IFERROR(__xludf.DUMMYFUNCTION("""COMPUTED_VALUE"""),"加藤和樹")</f>
        <v>加藤和樹</v>
      </c>
      <c r="C1155" s="1" t="s">
        <v>279</v>
      </c>
      <c r="D1155" s="1" t="str">
        <f>IF(C1155="", "", IFERROR(VLOOKUP(C1155, 作品一覧!A:B, 2, FALSE), "該当なし"))</f>
        <v>夢王国と眠れる100人の王子様</v>
      </c>
      <c r="E1155" s="1" t="str">
        <f ca="1">IFERROR(__xludf.DUMMYFUNCTION("""COMPUTED_VALUE"""),"シン")</f>
        <v>シン</v>
      </c>
      <c r="F1155" s="1" t="s">
        <v>1973</v>
      </c>
    </row>
    <row r="1156" spans="1:6" ht="13.2">
      <c r="A1156" s="1" t="str">
        <f t="array" aca="1" ref="A1156" ca="1">IF(B1156="", "", IFERROR(INDEX(声優一覧!A:A, MATCH(B1156, 声優一覧!B:B, 0)), "該当なし"))</f>
        <v>va_138</v>
      </c>
      <c r="B1156" s="1" t="str">
        <f ca="1">IFERROR(__xludf.DUMMYFUNCTION("""COMPUTED_VALUE"""),"浪川大輔")</f>
        <v>浪川大輔</v>
      </c>
      <c r="C1156" s="1" t="s">
        <v>279</v>
      </c>
      <c r="D1156" s="1" t="str">
        <f>IF(C1156="", "", IFERROR(VLOOKUP(C1156, 作品一覧!A:B, 2, FALSE), "該当なし"))</f>
        <v>夢王国と眠れる100人の王子様</v>
      </c>
      <c r="E1156" s="1" t="str">
        <f ca="1">IFERROR(__xludf.DUMMYFUNCTION("""COMPUTED_VALUE"""),"澄快(スカイ)")</f>
        <v>澄快(スカイ)</v>
      </c>
      <c r="F1156" s="1" t="s">
        <v>1974</v>
      </c>
    </row>
    <row r="1157" spans="1:6" ht="13.2">
      <c r="A1157" s="1" t="str">
        <f t="array" aca="1" ref="A1157" ca="1">IF(B1157="", "", IFERROR(INDEX(声優一覧!A:A, MATCH(B1157, 声優一覧!B:B, 0)), "該当なし"))</f>
        <v>va_069</v>
      </c>
      <c r="B1157" s="1" t="str">
        <f ca="1">IFERROR(__xludf.DUMMYFUNCTION("""COMPUTED_VALUE"""),"熊谷健太郎")</f>
        <v>熊谷健太郎</v>
      </c>
      <c r="C1157" s="1" t="s">
        <v>279</v>
      </c>
      <c r="D1157" s="1" t="str">
        <f>IF(C1157="", "", IFERROR(VLOOKUP(C1157, 作品一覧!A:B, 2, FALSE), "該当なし"))</f>
        <v>夢王国と眠れる100人の王子様</v>
      </c>
      <c r="E1157" s="1" t="str">
        <f ca="1">IFERROR(__xludf.DUMMYFUNCTION("""COMPUTED_VALUE"""),"スバル")</f>
        <v>スバル</v>
      </c>
      <c r="F1157" s="1" t="s">
        <v>1975</v>
      </c>
    </row>
    <row r="1158" spans="1:6" ht="13.2">
      <c r="A1158" s="1" t="str">
        <f t="array" aca="1" ref="A1158" ca="1">IF(B1158="", "", IFERROR(INDEX(声優一覧!A:A, MATCH(B1158, 声優一覧!B:B, 0)), "該当なし"))</f>
        <v>va_335</v>
      </c>
      <c r="B1158" s="1" t="str">
        <f ca="1">IFERROR(__xludf.DUMMYFUNCTION("""COMPUTED_VALUE"""),"布施川一寛")</f>
        <v>布施川一寛</v>
      </c>
      <c r="C1158" s="1" t="s">
        <v>279</v>
      </c>
      <c r="D1158" s="1" t="str">
        <f>IF(C1158="", "", IFERROR(VLOOKUP(C1158, 作品一覧!A:B, 2, FALSE), "該当なし"))</f>
        <v>夢王国と眠れる100人の王子様</v>
      </c>
      <c r="E1158" s="1" t="str">
        <f ca="1">IFERROR(__xludf.DUMMYFUNCTION("""COMPUTED_VALUE"""),"スピカ")</f>
        <v>スピカ</v>
      </c>
      <c r="F1158" s="1" t="s">
        <v>1976</v>
      </c>
    </row>
    <row r="1159" spans="1:6" ht="13.2">
      <c r="A1159" s="1" t="str">
        <f t="array" aca="1" ref="A1159" ca="1">IF(B1159="", "", IFERROR(INDEX(声優一覧!A:A, MATCH(B1159, 声優一覧!B:B, 0)), "該当なし"))</f>
        <v>va_004</v>
      </c>
      <c r="B1159" s="1" t="str">
        <f ca="1">IFERROR(__xludf.DUMMYFUNCTION("""COMPUTED_VALUE"""),"浅沼晋太郎")</f>
        <v>浅沼晋太郎</v>
      </c>
      <c r="C1159" s="1" t="s">
        <v>279</v>
      </c>
      <c r="D1159" s="1" t="str">
        <f>IF(C1159="", "", IFERROR(VLOOKUP(C1159, 作品一覧!A:B, 2, FALSE), "該当なし"))</f>
        <v>夢王国と眠れる100人の王子様</v>
      </c>
      <c r="E1159" s="1" t="str">
        <f ca="1">IFERROR(__xludf.DUMMYFUNCTION("""COMPUTED_VALUE"""),"スペルヴィア")</f>
        <v>スペルヴィア</v>
      </c>
      <c r="F1159" s="1" t="s">
        <v>1977</v>
      </c>
    </row>
    <row r="1160" spans="1:6" ht="13.2">
      <c r="A1160" s="1" t="str">
        <f t="array" aca="1" ref="A1160" ca="1">IF(B1160="", "", IFERROR(INDEX(声優一覧!A:A, MATCH(B1160, 声優一覧!B:B, 0)), "該当なし"))</f>
        <v>va_236</v>
      </c>
      <c r="B1160" s="1" t="str">
        <f ca="1">IFERROR(__xludf.DUMMYFUNCTION("""COMPUTED_VALUE"""),"宮野真守")</f>
        <v>宮野真守</v>
      </c>
      <c r="C1160" s="1" t="s">
        <v>279</v>
      </c>
      <c r="D1160" s="1" t="str">
        <f>IF(C1160="", "", IFERROR(VLOOKUP(C1160, 作品一覧!A:B, 2, FALSE), "該当なし"))</f>
        <v>夢王国と眠れる100人の王子様</v>
      </c>
      <c r="E1160" s="1" t="str">
        <f ca="1">IFERROR(__xludf.DUMMYFUNCTION("""COMPUTED_VALUE"""),"セフィル")</f>
        <v>セフィル</v>
      </c>
      <c r="F1160" s="1" t="s">
        <v>1978</v>
      </c>
    </row>
    <row r="1161" spans="1:6" ht="13.2">
      <c r="A1161" s="1" t="str">
        <f t="array" aca="1" ref="A1161" ca="1">IF(B1161="", "", IFERROR(INDEX(声優一覧!A:A, MATCH(B1161, 声優一覧!B:B, 0)), "該当なし"))</f>
        <v>va_336</v>
      </c>
      <c r="B1161" s="1" t="str">
        <f ca="1">IFERROR(__xludf.DUMMYFUNCTION("""COMPUTED_VALUE"""),"小山力也")</f>
        <v>小山力也</v>
      </c>
      <c r="C1161" s="1" t="s">
        <v>279</v>
      </c>
      <c r="D1161" s="1" t="str">
        <f>IF(C1161="", "", IFERROR(VLOOKUP(C1161, 作品一覧!A:B, 2, FALSE), "該当なし"))</f>
        <v>夢王国と眠れる100人の王子様</v>
      </c>
      <c r="E1161" s="1" t="str">
        <f ca="1">IFERROR(__xludf.DUMMYFUNCTION("""COMPUTED_VALUE"""),"セラス")</f>
        <v>セラス</v>
      </c>
      <c r="F1161" s="1" t="s">
        <v>1979</v>
      </c>
    </row>
    <row r="1162" spans="1:6" ht="13.2">
      <c r="A1162" s="1" t="str">
        <f t="array" aca="1" ref="A1162" ca="1">IF(B1162="", "", IFERROR(INDEX(声優一覧!A:A, MATCH(B1162, 声優一覧!B:B, 0)), "該当なし"))</f>
        <v>va_337</v>
      </c>
      <c r="B1162" s="1" t="str">
        <f ca="1">IFERROR(__xludf.DUMMYFUNCTION("""COMPUTED_VALUE"""),"小島英樹")</f>
        <v>小島英樹</v>
      </c>
      <c r="C1162" s="1" t="s">
        <v>279</v>
      </c>
      <c r="D1162" s="1" t="str">
        <f>IF(C1162="", "", IFERROR(VLOOKUP(C1162, 作品一覧!A:B, 2, FALSE), "該当なし"))</f>
        <v>夢王国と眠れる100人の王子様</v>
      </c>
      <c r="E1162" s="1" t="str">
        <f ca="1">IFERROR(__xludf.DUMMYFUNCTION("""COMPUTED_VALUE"""),"ゼロ")</f>
        <v>ゼロ</v>
      </c>
      <c r="F1162" s="1" t="s">
        <v>1980</v>
      </c>
    </row>
    <row r="1163" spans="1:6" ht="13.2">
      <c r="A1163" s="1" t="str">
        <f t="array" aca="1" ref="A1163" ca="1">IF(B1163="", "", IFERROR(INDEX(声優一覧!A:A, MATCH(B1163, 声優一覧!B:B, 0)), "該当なし"))</f>
        <v>va_171</v>
      </c>
      <c r="B1163" s="1" t="str">
        <f ca="1">IFERROR(__xludf.DUMMYFUNCTION("""COMPUTED_VALUE"""),"間島淳司")</f>
        <v>間島淳司</v>
      </c>
      <c r="C1163" s="1" t="s">
        <v>279</v>
      </c>
      <c r="D1163" s="1" t="str">
        <f>IF(C1163="", "", IFERROR(VLOOKUP(C1163, 作品一覧!A:B, 2, FALSE), "該当なし"))</f>
        <v>夢王国と眠れる100人の王子様</v>
      </c>
      <c r="E1163" s="1" t="str">
        <f ca="1">IFERROR(__xludf.DUMMYFUNCTION("""COMPUTED_VALUE"""),"ソルベージュ")</f>
        <v>ソルベージュ</v>
      </c>
      <c r="F1163" s="1" t="s">
        <v>1981</v>
      </c>
    </row>
    <row r="1164" spans="1:6" ht="13.2">
      <c r="A1164" s="1" t="str">
        <f t="array" aca="1" ref="A1164" ca="1">IF(B1164="", "", IFERROR(INDEX(声優一覧!A:A, MATCH(B1164, 声優一覧!B:B, 0)), "該当なし"))</f>
        <v>va_102</v>
      </c>
      <c r="B1164" s="1" t="str">
        <f ca="1">IFERROR(__xludf.DUMMYFUNCTION("""COMPUTED_VALUE"""),"諏訪部順一")</f>
        <v>諏訪部順一</v>
      </c>
      <c r="C1164" s="1" t="s">
        <v>279</v>
      </c>
      <c r="D1164" s="1" t="str">
        <f>IF(C1164="", "", IFERROR(VLOOKUP(C1164, 作品一覧!A:B, 2, FALSE), "該当なし"))</f>
        <v>夢王国と眠れる100人の王子様</v>
      </c>
      <c r="E1164" s="1" t="str">
        <f ca="1">IFERROR(__xludf.DUMMYFUNCTION("""COMPUTED_VALUE"""),"ダグラス")</f>
        <v>ダグラス</v>
      </c>
      <c r="F1164" s="1" t="s">
        <v>1982</v>
      </c>
    </row>
    <row r="1165" spans="1:6" ht="13.2">
      <c r="A1165" s="1" t="str">
        <f t="array" aca="1" ref="A1165" ca="1">IF(B1165="", "", IFERROR(INDEX(声優一覧!A:A, MATCH(B1165, 声優一覧!B:B, 0)), "該当なし"))</f>
        <v>va_096</v>
      </c>
      <c r="B1165" s="1" t="str">
        <f ca="1">IFERROR(__xludf.DUMMYFUNCTION("""COMPUTED_VALUE"""),"白井悠介")</f>
        <v>白井悠介</v>
      </c>
      <c r="C1165" s="1" t="s">
        <v>279</v>
      </c>
      <c r="D1165" s="1" t="str">
        <f>IF(C1165="", "", IFERROR(VLOOKUP(C1165, 作品一覧!A:B, 2, FALSE), "該当なし"))</f>
        <v>夢王国と眠れる100人の王子様</v>
      </c>
      <c r="E1165" s="1" t="str">
        <f ca="1">IFERROR(__xludf.DUMMYFUNCTION("""COMPUTED_VALUE"""),"ダヤン")</f>
        <v>ダヤン</v>
      </c>
      <c r="F1165" s="1" t="s">
        <v>1983</v>
      </c>
    </row>
    <row r="1166" spans="1:6" ht="13.2">
      <c r="A1166" s="1" t="str">
        <f t="array" aca="1" ref="A1166" ca="1">IF(B1166="", "", IFERROR(INDEX(声優一覧!A:A, MATCH(B1166, 声優一覧!B:B, 0)), "該当なし"))</f>
        <v>va_092</v>
      </c>
      <c r="B1166" s="1" t="str">
        <f ca="1">IFERROR(__xludf.DUMMYFUNCTION("""COMPUTED_VALUE"""),"沢城千春")</f>
        <v>沢城千春</v>
      </c>
      <c r="C1166" s="1" t="s">
        <v>279</v>
      </c>
      <c r="D1166" s="1" t="str">
        <f>IF(C1166="", "", IFERROR(VLOOKUP(C1166, 作品一覧!A:B, 2, FALSE), "該当なし"))</f>
        <v>夢王国と眠れる100人の王子様</v>
      </c>
      <c r="E1166" s="1" t="str">
        <f ca="1">IFERROR(__xludf.DUMMYFUNCTION("""COMPUTED_VALUE"""),"ダルファー")</f>
        <v>ダルファー</v>
      </c>
      <c r="F1166" s="1" t="s">
        <v>1984</v>
      </c>
    </row>
    <row r="1167" spans="1:6" ht="13.2">
      <c r="A1167" s="1" t="str">
        <f t="array" aca="1" ref="A1167" ca="1">IF(B1167="", "", IFERROR(INDEX(声優一覧!A:A, MATCH(B1167, 声優一覧!B:B, 0)), "該当なし"))</f>
        <v>va_193</v>
      </c>
      <c r="B1167" s="1" t="str">
        <f ca="1">IFERROR(__xludf.DUMMYFUNCTION("""COMPUTED_VALUE"""),"山下大輝")</f>
        <v>山下大輝</v>
      </c>
      <c r="C1167" s="1" t="s">
        <v>279</v>
      </c>
      <c r="D1167" s="1" t="str">
        <f>IF(C1167="", "", IFERROR(VLOOKUP(C1167, 作品一覧!A:B, 2, FALSE), "該当なし"))</f>
        <v>夢王国と眠れる100人の王子様</v>
      </c>
      <c r="E1167" s="1" t="str">
        <f ca="1">IFERROR(__xludf.DUMMYFUNCTION("""COMPUTED_VALUE"""),"チェシャ猫")</f>
        <v>チェシャ猫</v>
      </c>
      <c r="F1167" s="1" t="s">
        <v>1985</v>
      </c>
    </row>
    <row r="1168" spans="1:6" ht="13.2">
      <c r="A1168" s="1" t="str">
        <f t="array" aca="1" ref="A1168" ca="1">IF(B1168="", "", IFERROR(INDEX(声優一覧!A:A, MATCH(B1168, 声優一覧!B:B, 0)), "該当なし"))</f>
        <v>va_338</v>
      </c>
      <c r="B1168" s="1" t="str">
        <f ca="1">IFERROR(__xludf.DUMMYFUNCTION("""COMPUTED_VALUE"""),"本橋大輔")</f>
        <v>本橋大輔</v>
      </c>
      <c r="C1168" s="1" t="s">
        <v>279</v>
      </c>
      <c r="D1168" s="1" t="str">
        <f>IF(C1168="", "", IFERROR(VLOOKUP(C1168, 作品一覧!A:B, 2, FALSE), "該当なし"))</f>
        <v>夢王国と眠れる100人の王子様</v>
      </c>
      <c r="E1168" s="1" t="str">
        <f ca="1">IFERROR(__xludf.DUMMYFUNCTION("""COMPUTED_VALUE"""),"ツヴァイ")</f>
        <v>ツヴァイ</v>
      </c>
      <c r="F1168" s="1" t="s">
        <v>1986</v>
      </c>
    </row>
    <row r="1169" spans="1:6" ht="13.2">
      <c r="A1169" s="1" t="str">
        <f t="array" aca="1" ref="A1169" ca="1">IF(B1169="", "", IFERROR(INDEX(声優一覧!A:A, MATCH(B1169, 声優一覧!B:B, 0)), "該当なし"))</f>
        <v>va_302</v>
      </c>
      <c r="B1169" s="1" t="str">
        <f ca="1">IFERROR(__xludf.DUMMYFUNCTION("""COMPUTED_VALUE"""),"岸尾だいすけ")</f>
        <v>岸尾だいすけ</v>
      </c>
      <c r="C1169" s="1" t="s">
        <v>279</v>
      </c>
      <c r="D1169" s="1" t="str">
        <f>IF(C1169="", "", IFERROR(VLOOKUP(C1169, 作品一覧!A:B, 2, FALSE), "該当なし"))</f>
        <v>夢王国と眠れる100人の王子様</v>
      </c>
      <c r="E1169" s="1" t="str">
        <f ca="1">IFERROR(__xludf.DUMMYFUNCTION("""COMPUTED_VALUE"""),"ティーガ")</f>
        <v>ティーガ</v>
      </c>
      <c r="F1169" s="1" t="s">
        <v>1987</v>
      </c>
    </row>
    <row r="1170" spans="1:6" ht="13.2">
      <c r="A1170" s="1" t="str">
        <f t="array" aca="1" ref="A1170" ca="1">IF(B1170="", "", IFERROR(INDEX(声優一覧!A:A, MATCH(B1170, 声優一覧!B:B, 0)), "該当なし"))</f>
        <v>va_138</v>
      </c>
      <c r="B1170" s="1" t="str">
        <f ca="1">IFERROR(__xludf.DUMMYFUNCTION("""COMPUTED_VALUE"""),"浪川大輔")</f>
        <v>浪川大輔</v>
      </c>
      <c r="C1170" s="1" t="s">
        <v>279</v>
      </c>
      <c r="D1170" s="1" t="str">
        <f>IF(C1170="", "", IFERROR(VLOOKUP(C1170, 作品一覧!A:B, 2, FALSE), "該当なし"))</f>
        <v>夢王国と眠れる100人の王子様</v>
      </c>
      <c r="E1170" s="1" t="str">
        <f ca="1">IFERROR(__xludf.DUMMYFUNCTION("""COMPUTED_VALUE"""),"ディオン")</f>
        <v>ディオン</v>
      </c>
      <c r="F1170" s="1" t="s">
        <v>1988</v>
      </c>
    </row>
    <row r="1171" spans="1:6" ht="13.2">
      <c r="A1171" s="1" t="str">
        <f t="array" aca="1" ref="A1171" ca="1">IF(B1171="", "", IFERROR(INDEX(声優一覧!A:A, MATCH(B1171, 声優一覧!B:B, 0)), "該当なし"))</f>
        <v>va_182</v>
      </c>
      <c r="B1171" s="1" t="str">
        <f ca="1">IFERROR(__xludf.DUMMYFUNCTION("""COMPUTED_VALUE"""),"宮田幸季")</f>
        <v>宮田幸季</v>
      </c>
      <c r="C1171" s="1" t="s">
        <v>279</v>
      </c>
      <c r="D1171" s="1" t="str">
        <f>IF(C1171="", "", IFERROR(VLOOKUP(C1171, 作品一覧!A:B, 2, FALSE), "該当なし"))</f>
        <v>夢王国と眠れる100人の王子様</v>
      </c>
      <c r="E1171" s="1" t="str">
        <f ca="1">IFERROR(__xludf.DUMMYFUNCTION("""COMPUTED_VALUE"""),"ティンプラ")</f>
        <v>ティンプラ</v>
      </c>
      <c r="F1171" s="1" t="s">
        <v>1989</v>
      </c>
    </row>
    <row r="1172" spans="1:6" ht="13.2">
      <c r="A1172" s="1" t="str">
        <f t="array" aca="1" ref="A1172" ca="1">IF(B1172="", "", IFERROR(INDEX(声優一覧!A:A, MATCH(B1172, 声優一覧!B:B, 0)), "該当なし"))</f>
        <v>va_129</v>
      </c>
      <c r="B1172" s="1" t="str">
        <f ca="1">IFERROR(__xludf.DUMMYFUNCTION("""COMPUTED_VALUE"""),"土岐隼一")</f>
        <v>土岐隼一</v>
      </c>
      <c r="C1172" s="1" t="s">
        <v>279</v>
      </c>
      <c r="D1172" s="1" t="str">
        <f>IF(C1172="", "", IFERROR(VLOOKUP(C1172, 作品一覧!A:B, 2, FALSE), "該当なし"))</f>
        <v>夢王国と眠れる100人の王子様</v>
      </c>
      <c r="E1172" s="1" t="str">
        <f ca="1">IFERROR(__xludf.DUMMYFUNCTION("""COMPUTED_VALUE"""),"テオドール")</f>
        <v>テオドール</v>
      </c>
      <c r="F1172" s="1" t="s">
        <v>1990</v>
      </c>
    </row>
    <row r="1173" spans="1:6" ht="13.2">
      <c r="A1173" s="1" t="str">
        <f t="array" aca="1" ref="A1173" ca="1">IF(B1173="", "", IFERROR(INDEX(声優一覧!A:A, MATCH(B1173, 声優一覧!B:B, 0)), "該当なし"))</f>
        <v>va_012</v>
      </c>
      <c r="B1173" s="1" t="str">
        <f ca="1">IFERROR(__xludf.DUMMYFUNCTION("""COMPUTED_VALUE"""),"井口祐一")</f>
        <v>井口祐一</v>
      </c>
      <c r="C1173" s="1" t="s">
        <v>279</v>
      </c>
      <c r="D1173" s="1" t="str">
        <f>IF(C1173="", "", IFERROR(VLOOKUP(C1173, 作品一覧!A:B, 2, FALSE), "該当なし"))</f>
        <v>夢王国と眠れる100人の王子様</v>
      </c>
      <c r="E1173" s="1" t="str">
        <f ca="1">IFERROR(__xludf.DUMMYFUNCTION("""COMPUTED_VALUE"""),"デネブ")</f>
        <v>デネブ</v>
      </c>
      <c r="F1173" s="1" t="s">
        <v>1991</v>
      </c>
    </row>
    <row r="1174" spans="1:6" ht="13.2">
      <c r="A1174" s="1" t="str">
        <f t="array" aca="1" ref="A1174" ca="1">IF(B1174="", "", IFERROR(INDEX(声優一覧!A:A, MATCH(B1174, 声優一覧!B:B, 0)), "該当なし"))</f>
        <v>va_291</v>
      </c>
      <c r="B1174" s="1" t="str">
        <f ca="1">IFERROR(__xludf.DUMMYFUNCTION("""COMPUTED_VALUE"""),"関智一")</f>
        <v>関智一</v>
      </c>
      <c r="C1174" s="1" t="s">
        <v>279</v>
      </c>
      <c r="D1174" s="1" t="str">
        <f>IF(C1174="", "", IFERROR(VLOOKUP(C1174, 作品一覧!A:B, 2, FALSE), "該当なし"))</f>
        <v>夢王国と眠れる100人の王子様</v>
      </c>
      <c r="E1174" s="1" t="str">
        <f ca="1">IFERROR(__xludf.DUMMYFUNCTION("""COMPUTED_VALUE"""),"テル")</f>
        <v>テル</v>
      </c>
      <c r="F1174" s="1" t="s">
        <v>1992</v>
      </c>
    </row>
    <row r="1175" spans="1:6" ht="13.2">
      <c r="A1175" s="1" t="str">
        <f t="array" aca="1" ref="A1175" ca="1">IF(B1175="", "", IFERROR(INDEX(声優一覧!A:A, MATCH(B1175, 声優一覧!B:B, 0)), "該当なし"))</f>
        <v>va_036</v>
      </c>
      <c r="B1175" s="1" t="str">
        <f ca="1">IFERROR(__xludf.DUMMYFUNCTION("""COMPUTED_VALUE"""),"榎木淳弥")</f>
        <v>榎木淳弥</v>
      </c>
      <c r="C1175" s="1" t="s">
        <v>279</v>
      </c>
      <c r="D1175" s="1" t="str">
        <f>IF(C1175="", "", IFERROR(VLOOKUP(C1175, 作品一覧!A:B, 2, FALSE), "該当なし"))</f>
        <v>夢王国と眠れる100人の王子様</v>
      </c>
      <c r="E1175" s="1" t="str">
        <f ca="1">IFERROR(__xludf.DUMMYFUNCTION("""COMPUTED_VALUE"""),"凍哉(トウヤ)")</f>
        <v>凍哉(トウヤ)</v>
      </c>
      <c r="F1175" s="1" t="s">
        <v>1993</v>
      </c>
    </row>
    <row r="1176" spans="1:6" ht="13.2">
      <c r="A1176" s="1" t="str">
        <f t="array" aca="1" ref="A1176" ca="1">IF(B1176="", "", IFERROR(INDEX(声優一覧!A:A, MATCH(B1176, 声優一覧!B:B, 0)), "該当なし"))</f>
        <v>va_339</v>
      </c>
      <c r="B1176" s="1" t="str">
        <f ca="1">IFERROR(__xludf.DUMMYFUNCTION("""COMPUTED_VALUE"""),"川辺俊介")</f>
        <v>川辺俊介</v>
      </c>
      <c r="C1176" s="1" t="s">
        <v>279</v>
      </c>
      <c r="D1176" s="1" t="str">
        <f>IF(C1176="", "", IFERROR(VLOOKUP(C1176, 作品一覧!A:B, 2, FALSE), "該当なし"))</f>
        <v>夢王国と眠れる100人の王子様</v>
      </c>
      <c r="E1176" s="1" t="str">
        <f ca="1">IFERROR(__xludf.DUMMYFUNCTION("""COMPUTED_VALUE"""),"ドーマウス")</f>
        <v>ドーマウス</v>
      </c>
      <c r="F1176" s="1" t="s">
        <v>1994</v>
      </c>
    </row>
    <row r="1177" spans="1:6" ht="13.2">
      <c r="A1177" s="1" t="str">
        <f t="array" aca="1" ref="A1177" ca="1">IF(B1177="", "", IFERROR(INDEX(声優一覧!A:A, MATCH(B1177, 声優一覧!B:B, 0)), "該当なし"))</f>
        <v>va_184</v>
      </c>
      <c r="B1177" s="1" t="str">
        <f ca="1">IFERROR(__xludf.DUMMYFUNCTION("""COMPUTED_VALUE"""),"村田太志")</f>
        <v>村田太志</v>
      </c>
      <c r="C1177" s="1" t="s">
        <v>279</v>
      </c>
      <c r="D1177" s="1" t="str">
        <f>IF(C1177="", "", IFERROR(VLOOKUP(C1177, 作品一覧!A:B, 2, FALSE), "該当なし"))</f>
        <v>夢王国と眠れる100人の王子様</v>
      </c>
      <c r="E1177" s="1" t="str">
        <f ca="1">IFERROR(__xludf.DUMMYFUNCTION("""COMPUTED_VALUE"""),"トール")</f>
        <v>トール</v>
      </c>
      <c r="F1177" s="1" t="s">
        <v>1995</v>
      </c>
    </row>
    <row r="1178" spans="1:6" ht="13.2">
      <c r="A1178" s="1" t="str">
        <f t="array" aca="1" ref="A1178" ca="1">IF(B1178="", "", IFERROR(INDEX(声優一覧!A:A, MATCH(B1178, 声優一覧!B:B, 0)), "該当なし"))</f>
        <v>va_340</v>
      </c>
      <c r="B1178" s="1" t="str">
        <f ca="1">IFERROR(__xludf.DUMMYFUNCTION("""COMPUTED_VALUE"""),"西田雅一")</f>
        <v>西田雅一</v>
      </c>
      <c r="C1178" s="1" t="s">
        <v>279</v>
      </c>
      <c r="D1178" s="1" t="str">
        <f>IF(C1178="", "", IFERROR(VLOOKUP(C1178, 作品一覧!A:B, 2, FALSE), "該当なし"))</f>
        <v>夢王国と眠れる100人の王子様</v>
      </c>
      <c r="E1178" s="1" t="str">
        <f ca="1">IFERROR(__xludf.DUMMYFUNCTION("""COMPUTED_VALUE"""),"トト")</f>
        <v>トト</v>
      </c>
      <c r="F1178" s="1" t="s">
        <v>1996</v>
      </c>
    </row>
    <row r="1179" spans="1:6" ht="13.2">
      <c r="A1179" s="1" t="str">
        <f t="array" aca="1" ref="A1179" ca="1">IF(B1179="", "", IFERROR(INDEX(声優一覧!A:A, MATCH(B1179, 声優一覧!B:B, 0)), "該当なし"))</f>
        <v>va_194</v>
      </c>
      <c r="B1179" s="1" t="str">
        <f ca="1">IFERROR(__xludf.DUMMYFUNCTION("""COMPUTED_VALUE"""),"山中真尋")</f>
        <v>山中真尋</v>
      </c>
      <c r="C1179" s="1" t="s">
        <v>279</v>
      </c>
      <c r="D1179" s="1" t="str">
        <f>IF(C1179="", "", IFERROR(VLOOKUP(C1179, 作品一覧!A:B, 2, FALSE), "該当なし"))</f>
        <v>夢王国と眠れる100人の王子様</v>
      </c>
      <c r="E1179" s="1" t="str">
        <f ca="1">IFERROR(__xludf.DUMMYFUNCTION("""COMPUTED_VALUE"""),"トトリ")</f>
        <v>トトリ</v>
      </c>
      <c r="F1179" s="1" t="s">
        <v>1997</v>
      </c>
    </row>
    <row r="1180" spans="1:6" ht="13.2">
      <c r="A1180" s="1" t="str">
        <f t="array" aca="1" ref="A1180" ca="1">IF(B1180="", "", IFERROR(INDEX(声優一覧!A:A, MATCH(B1180, 声優一覧!B:B, 0)), "該当なし"))</f>
        <v>va_147</v>
      </c>
      <c r="B1180" s="1" t="str">
        <f ca="1">IFERROR(__xludf.DUMMYFUNCTION("""COMPUTED_VALUE"""),"畠中祐")</f>
        <v>畠中祐</v>
      </c>
      <c r="C1180" s="1" t="s">
        <v>279</v>
      </c>
      <c r="D1180" s="1" t="str">
        <f>IF(C1180="", "", IFERROR(VLOOKUP(C1180, 作品一覧!A:B, 2, FALSE), "該当なし"))</f>
        <v>夢王国と眠れる100人の王子様</v>
      </c>
      <c r="E1180" s="1" t="str">
        <f ca="1">IFERROR(__xludf.DUMMYFUNCTION("""COMPUTED_VALUE"""),"トニ")</f>
        <v>トニ</v>
      </c>
      <c r="F1180" s="1" t="s">
        <v>1998</v>
      </c>
    </row>
    <row r="1181" spans="1:6" ht="13.2">
      <c r="A1181" s="1" t="str">
        <f t="array" aca="1" ref="A1181" ca="1">IF(B1181="", "", IFERROR(INDEX(声優一覧!A:A, MATCH(B1181, 声優一覧!B:B, 0)), "該当なし"))</f>
        <v>va_003</v>
      </c>
      <c r="B1181" s="1" t="str">
        <f ca="1">IFERROR(__xludf.DUMMYFUNCTION("""COMPUTED_VALUE"""),"阿座上洋平")</f>
        <v>阿座上洋平</v>
      </c>
      <c r="C1181" s="1" t="s">
        <v>279</v>
      </c>
      <c r="D1181" s="1" t="str">
        <f>IF(C1181="", "", IFERROR(VLOOKUP(C1181, 作品一覧!A:B, 2, FALSE), "該当なし"))</f>
        <v>夢王国と眠れる100人の王子様</v>
      </c>
      <c r="E1181" s="1" t="str">
        <f ca="1">IFERROR(__xludf.DUMMYFUNCTION("""COMPUTED_VALUE"""),"ドライ")</f>
        <v>ドライ</v>
      </c>
      <c r="F1181" s="1" t="s">
        <v>1999</v>
      </c>
    </row>
    <row r="1182" spans="1:6" ht="13.2">
      <c r="A1182" s="1" t="str">
        <f t="array" aca="1" ref="A1182" ca="1">IF(B1182="", "", IFERROR(INDEX(声優一覧!A:A, MATCH(B1182, 声優一覧!B:B, 0)), "該当なし"))</f>
        <v>va_183</v>
      </c>
      <c r="B1182" s="1" t="str">
        <f ca="1">IFERROR(__xludf.DUMMYFUNCTION("""COMPUTED_VALUE"""),"村瀬歩")</f>
        <v>村瀬歩</v>
      </c>
      <c r="C1182" s="1" t="s">
        <v>279</v>
      </c>
      <c r="D1182" s="1" t="str">
        <f>IF(C1182="", "", IFERROR(VLOOKUP(C1182, 作品一覧!A:B, 2, FALSE), "該当なし"))</f>
        <v>夢王国と眠れる100人の王子様</v>
      </c>
      <c r="E1182" s="1" t="str">
        <f ca="1">IFERROR(__xludf.DUMMYFUNCTION("""COMPUTED_VALUE"""),"トルマリ")</f>
        <v>トルマリ</v>
      </c>
      <c r="F1182" s="1" t="s">
        <v>2000</v>
      </c>
    </row>
    <row r="1183" spans="1:6" ht="13.2">
      <c r="A1183" s="1" t="str">
        <f t="array" aca="1" ref="A1183" ca="1">IF(B1183="", "", IFERROR(INDEX(声優一覧!A:A, MATCH(B1183, 声優一覧!B:B, 0)), "該当なし"))</f>
        <v>va_096</v>
      </c>
      <c r="B1183" s="1" t="str">
        <f ca="1">IFERROR(__xludf.DUMMYFUNCTION("""COMPUTED_VALUE"""),"白井悠介")</f>
        <v>白井悠介</v>
      </c>
      <c r="C1183" s="1" t="s">
        <v>279</v>
      </c>
      <c r="D1183" s="1" t="str">
        <f>IF(C1183="", "", IFERROR(VLOOKUP(C1183, 作品一覧!A:B, 2, FALSE), "該当なし"))</f>
        <v>夢王国と眠れる100人の王子様</v>
      </c>
      <c r="E1183" s="1" t="str">
        <f ca="1">IFERROR(__xludf.DUMMYFUNCTION("""COMPUTED_VALUE"""),"ドローレ")</f>
        <v>ドローレ</v>
      </c>
      <c r="F1183" s="1" t="s">
        <v>2001</v>
      </c>
    </row>
    <row r="1184" spans="1:6" ht="13.2">
      <c r="A1184" s="1" t="str">
        <f t="array" aca="1" ref="A1184" ca="1">IF(B1184="", "", IFERROR(INDEX(声優一覧!A:A, MATCH(B1184, 声優一覧!B:B, 0)), "該当なし"))</f>
        <v>va_143</v>
      </c>
      <c r="B1184" s="1" t="str">
        <f ca="1">IFERROR(__xludf.DUMMYFUNCTION("""COMPUTED_VALUE"""),"野島健児")</f>
        <v>野島健児</v>
      </c>
      <c r="C1184" s="1" t="s">
        <v>279</v>
      </c>
      <c r="D1184" s="1" t="str">
        <f>IF(C1184="", "", IFERROR(VLOOKUP(C1184, 作品一覧!A:B, 2, FALSE), "該当なし"))</f>
        <v>夢王国と眠れる100人の王子様</v>
      </c>
      <c r="E1184" s="1" t="str">
        <f ca="1">IFERROR(__xludf.DUMMYFUNCTION("""COMPUTED_VALUE"""),"ドロワット")</f>
        <v>ドロワット</v>
      </c>
      <c r="F1184" s="1" t="s">
        <v>2002</v>
      </c>
    </row>
    <row r="1185" spans="1:6" ht="13.2">
      <c r="A1185" s="1" t="str">
        <f t="array" aca="1" ref="A1185" ca="1">IF(B1185="", "", IFERROR(INDEX(声優一覧!A:A, MATCH(B1185, 声優一覧!B:B, 0)), "該当なし"))</f>
        <v>va_341</v>
      </c>
      <c r="B1185" s="1" t="str">
        <f ca="1">IFERROR(__xludf.DUMMYFUNCTION("""COMPUTED_VALUE"""),"松風雅也")</f>
        <v>松風雅也</v>
      </c>
      <c r="C1185" s="1" t="s">
        <v>279</v>
      </c>
      <c r="D1185" s="1" t="str">
        <f>IF(C1185="", "", IFERROR(VLOOKUP(C1185, 作品一覧!A:B, 2, FALSE), "該当なし"))</f>
        <v>夢王国と眠れる100人の王子様</v>
      </c>
      <c r="E1185" s="1" t="str">
        <f ca="1">IFERROR(__xludf.DUMMYFUNCTION("""COMPUTED_VALUE"""),"那由多(ナユタ)")</f>
        <v>那由多(ナユタ)</v>
      </c>
      <c r="F1185" s="1" t="s">
        <v>2003</v>
      </c>
    </row>
    <row r="1186" spans="1:6" ht="13.2">
      <c r="A1186" s="1" t="str">
        <f t="array" aca="1" ref="A1186" ca="1">IF(B1186="", "", IFERROR(INDEX(声優一覧!A:A, MATCH(B1186, 声優一覧!B:B, 0)), "該当なし"))</f>
        <v>va_111</v>
      </c>
      <c r="B1186" s="1" t="str">
        <f ca="1">IFERROR(__xludf.DUMMYFUNCTION("""COMPUTED_VALUE"""),"高橋広樹")</f>
        <v>高橋広樹</v>
      </c>
      <c r="C1186" s="1" t="s">
        <v>279</v>
      </c>
      <c r="D1186" s="1" t="str">
        <f>IF(C1186="", "", IFERROR(VLOOKUP(C1186, 作品一覧!A:B, 2, FALSE), "該当なし"))</f>
        <v>夢王国と眠れる100人の王子様</v>
      </c>
      <c r="E1186" s="1" t="str">
        <f ca="1">IFERROR(__xludf.DUMMYFUNCTION("""COMPUTED_VALUE"""),"ネペンテス")</f>
        <v>ネペンテス</v>
      </c>
      <c r="F1186" s="1" t="s">
        <v>2004</v>
      </c>
    </row>
    <row r="1187" spans="1:6" ht="13.2">
      <c r="A1187" s="1" t="str">
        <f t="array" aca="1" ref="A1187" ca="1">IF(B1187="", "", IFERROR(INDEX(声優一覧!A:A, MATCH(B1187, 声優一覧!B:B, 0)), "該当なし"))</f>
        <v>va_042</v>
      </c>
      <c r="B1187" s="1" t="str">
        <f ca="1">IFERROR(__xludf.DUMMYFUNCTION("""COMPUTED_VALUE"""),"岡本信彦")</f>
        <v>岡本信彦</v>
      </c>
      <c r="C1187" s="1" t="s">
        <v>279</v>
      </c>
      <c r="D1187" s="1" t="str">
        <f>IF(C1187="", "", IFERROR(VLOOKUP(C1187, 作品一覧!A:B, 2, FALSE), "該当なし"))</f>
        <v>夢王国と眠れる100人の王子様</v>
      </c>
      <c r="E1187" s="1" t="str">
        <f ca="1">IFERROR(__xludf.DUMMYFUNCTION("""COMPUTED_VALUE"""),"ネロ")</f>
        <v>ネロ</v>
      </c>
      <c r="F1187" s="1" t="s">
        <v>2005</v>
      </c>
    </row>
    <row r="1188" spans="1:6" ht="13.2">
      <c r="A1188" s="1" t="str">
        <f t="array" aca="1" ref="A1188" ca="1">IF(B1188="", "", IFERROR(INDEX(声優一覧!A:A, MATCH(B1188, 声優一覧!B:B, 0)), "該当なし"))</f>
        <v>va_107</v>
      </c>
      <c r="B1188" s="1" t="str">
        <f ca="1">IFERROR(__xludf.DUMMYFUNCTION("""COMPUTED_VALUE"""),"高塚智人")</f>
        <v>高塚智人</v>
      </c>
      <c r="C1188" s="1" t="s">
        <v>279</v>
      </c>
      <c r="D1188" s="1" t="str">
        <f>IF(C1188="", "", IFERROR(VLOOKUP(C1188, 作品一覧!A:B, 2, FALSE), "該当なし"))</f>
        <v>夢王国と眠れる100人の王子様</v>
      </c>
      <c r="E1188" s="1" t="str">
        <f ca="1">IFERROR(__xludf.DUMMYFUNCTION("""COMPUTED_VALUE"""),"ノクス")</f>
        <v>ノクス</v>
      </c>
      <c r="F1188" s="1" t="s">
        <v>2006</v>
      </c>
    </row>
    <row r="1189" spans="1:6" ht="13.2">
      <c r="A1189" s="1" t="str">
        <f t="array" aca="1" ref="A1189" ca="1">IF(B1189="", "", IFERROR(INDEX(声優一覧!A:A, MATCH(B1189, 声優一覧!B:B, 0)), "該当なし"))</f>
        <v>va_051</v>
      </c>
      <c r="B1189" s="1" t="str">
        <f ca="1">IFERROR(__xludf.DUMMYFUNCTION("""COMPUTED_VALUE"""),"梶裕貴")</f>
        <v>梶裕貴</v>
      </c>
      <c r="C1189" s="1" t="s">
        <v>279</v>
      </c>
      <c r="D1189" s="1" t="str">
        <f>IF(C1189="", "", IFERROR(VLOOKUP(C1189, 作品一覧!A:B, 2, FALSE), "該当なし"))</f>
        <v>夢王国と眠れる100人の王子様</v>
      </c>
      <c r="E1189" s="1" t="str">
        <f ca="1">IFERROR(__xludf.DUMMYFUNCTION("""COMPUTED_VALUE"""),"ハーツ")</f>
        <v>ハーツ</v>
      </c>
      <c r="F1189" s="1" t="s">
        <v>2007</v>
      </c>
    </row>
    <row r="1190" spans="1:6" ht="13.2">
      <c r="A1190" s="1" t="str">
        <f t="array" aca="1" ref="A1190" ca="1">IF(B1190="", "", IFERROR(INDEX(声優一覧!A:A, MATCH(B1190, 声優一覧!B:B, 0)), "該当なし"))</f>
        <v>va_132</v>
      </c>
      <c r="B1190" s="1" t="str">
        <f ca="1">IFERROR(__xludf.DUMMYFUNCTION("""COMPUTED_VALUE"""),"鳥海浩輔")</f>
        <v>鳥海浩輔</v>
      </c>
      <c r="C1190" s="1" t="s">
        <v>279</v>
      </c>
      <c r="D1190" s="1" t="str">
        <f>IF(C1190="", "", IFERROR(VLOOKUP(C1190, 作品一覧!A:B, 2, FALSE), "該当なし"))</f>
        <v>夢王国と眠れる100人の王子様</v>
      </c>
      <c r="E1190" s="1" t="str">
        <f ca="1">IFERROR(__xludf.DUMMYFUNCTION("""COMPUTED_VALUE"""),"ハク")</f>
        <v>ハク</v>
      </c>
      <c r="F1190" s="1" t="s">
        <v>2008</v>
      </c>
    </row>
    <row r="1191" spans="1:6" ht="13.2">
      <c r="A1191" s="1" t="str">
        <f t="array" aca="1" ref="A1191" ca="1">IF(B1191="", "", IFERROR(INDEX(声優一覧!A:A, MATCH(B1191, 声優一覧!B:B, 0)), "該当なし"))</f>
        <v>va_013</v>
      </c>
      <c r="B1191" s="1" t="str">
        <f ca="1">IFERROR(__xludf.DUMMYFUNCTION("""COMPUTED_VALUE"""),"石川界人")</f>
        <v>石川界人</v>
      </c>
      <c r="C1191" s="1" t="s">
        <v>279</v>
      </c>
      <c r="D1191" s="1" t="str">
        <f>IF(C1191="", "", IFERROR(VLOOKUP(C1191, 作品一覧!A:B, 2, FALSE), "該当なし"))</f>
        <v>夢王国と眠れる100人の王子様</v>
      </c>
      <c r="E1191" s="1" t="str">
        <f ca="1">IFERROR(__xludf.DUMMYFUNCTION("""COMPUTED_VALUE"""),"パティル")</f>
        <v>パティル</v>
      </c>
      <c r="F1191" s="1" t="s">
        <v>2009</v>
      </c>
    </row>
    <row r="1192" spans="1:6" ht="13.2">
      <c r="A1192" s="1" t="str">
        <f t="array" aca="1" ref="A1192" ca="1">IF(B1192="", "", IFERROR(INDEX(声優一覧!A:A, MATCH(B1192, 声優一覧!B:B, 0)), "該当なし"))</f>
        <v>va_131</v>
      </c>
      <c r="B1192" s="1" t="str">
        <f ca="1">IFERROR(__xludf.DUMMYFUNCTION("""COMPUTED_VALUE"""),"豊永利行")</f>
        <v>豊永利行</v>
      </c>
      <c r="C1192" s="1" t="s">
        <v>279</v>
      </c>
      <c r="D1192" s="1" t="str">
        <f>IF(C1192="", "", IFERROR(VLOOKUP(C1192, 作品一覧!A:B, 2, FALSE), "該当なし"))</f>
        <v>夢王国と眠れる100人の王子様</v>
      </c>
      <c r="E1192" s="1" t="str">
        <f ca="1">IFERROR(__xludf.DUMMYFUNCTION("""COMPUTED_VALUE"""),"ハナレ")</f>
        <v>ハナレ</v>
      </c>
      <c r="F1192" s="1" t="s">
        <v>2010</v>
      </c>
    </row>
    <row r="1193" spans="1:6" ht="13.2">
      <c r="A1193" s="1" t="str">
        <f t="array" aca="1" ref="A1193" ca="1">IF(B1193="", "", IFERROR(INDEX(声優一覧!A:A, MATCH(B1193, 声優一覧!B:B, 0)), "該当なし"))</f>
        <v>va_013</v>
      </c>
      <c r="B1193" s="1" t="str">
        <f ca="1">IFERROR(__xludf.DUMMYFUNCTION("""COMPUTED_VALUE"""),"石川界人")</f>
        <v>石川界人</v>
      </c>
      <c r="C1193" s="1" t="s">
        <v>279</v>
      </c>
      <c r="D1193" s="1" t="str">
        <f>IF(C1193="", "", IFERROR(VLOOKUP(C1193, 作品一覧!A:B, 2, FALSE), "該当なし"))</f>
        <v>夢王国と眠れる100人の王子様</v>
      </c>
      <c r="E1193" s="1" t="str">
        <f ca="1">IFERROR(__xludf.DUMMYFUNCTION("""COMPUTED_VALUE"""),"ハルディーン")</f>
        <v>ハルディーン</v>
      </c>
      <c r="F1193" s="1" t="s">
        <v>2011</v>
      </c>
    </row>
    <row r="1194" spans="1:6" ht="13.2">
      <c r="A1194" s="1" t="str">
        <f t="array" aca="1" ref="A1194" ca="1">IF(B1194="", "", IFERROR(INDEX(声優一覧!A:A, MATCH(B1194, 声優一覧!B:B, 0)), "該当なし"))</f>
        <v>va_097</v>
      </c>
      <c r="B1194" s="1" t="str">
        <f ca="1">IFERROR(__xludf.DUMMYFUNCTION("""COMPUTED_VALUE"""),"杉田智和")</f>
        <v>杉田智和</v>
      </c>
      <c r="C1194" s="1" t="s">
        <v>279</v>
      </c>
      <c r="D1194" s="1" t="str">
        <f>IF(C1194="", "", IFERROR(VLOOKUP(C1194, 作品一覧!A:B, 2, FALSE), "該当なし"))</f>
        <v>夢王国と眠れる100人の王子様</v>
      </c>
      <c r="E1194" s="1" t="str">
        <f ca="1">IFERROR(__xludf.DUMMYFUNCTION("""COMPUTED_VALUE"""),"万里(バンリ)")</f>
        <v>万里(バンリ)</v>
      </c>
      <c r="F1194" s="1" t="s">
        <v>2012</v>
      </c>
    </row>
    <row r="1195" spans="1:6" ht="13.2">
      <c r="A1195" s="1" t="str">
        <f t="array" aca="1" ref="A1195" ca="1">IF(B1195="", "", IFERROR(INDEX(声優一覧!A:A, MATCH(B1195, 声優一覧!B:B, 0)), "該当なし"))</f>
        <v>va_133</v>
      </c>
      <c r="B1195" s="1" t="str">
        <f ca="1">IFERROR(__xludf.DUMMYFUNCTION("""COMPUTED_VALUE"""),"中澤まさとも")</f>
        <v>中澤まさとも</v>
      </c>
      <c r="C1195" s="1" t="s">
        <v>279</v>
      </c>
      <c r="D1195" s="1" t="str">
        <f>IF(C1195="", "", IFERROR(VLOOKUP(C1195, 作品一覧!A:B, 2, FALSE), "該当なし"))</f>
        <v>夢王国と眠れる100人の王子様</v>
      </c>
      <c r="E1195" s="1" t="str">
        <f ca="1">IFERROR(__xludf.DUMMYFUNCTION("""COMPUTED_VALUE"""),"陽影(ヒカゲ)")</f>
        <v>陽影(ヒカゲ)</v>
      </c>
      <c r="F1195" s="1" t="s">
        <v>2013</v>
      </c>
    </row>
    <row r="1196" spans="1:6" ht="13.2">
      <c r="A1196" s="1" t="str">
        <f t="array" aca="1" ref="A1196" ca="1">IF(B1196="", "", IFERROR(INDEX(声優一覧!A:A, MATCH(B1196, 声優一覧!B:B, 0)), "該当なし"))</f>
        <v>va_342</v>
      </c>
      <c r="B1196" s="1" t="str">
        <f ca="1">IFERROR(__xludf.DUMMYFUNCTION("""COMPUTED_VALUE"""),"山寺宏一")</f>
        <v>山寺宏一</v>
      </c>
      <c r="C1196" s="1" t="s">
        <v>279</v>
      </c>
      <c r="D1196" s="1" t="str">
        <f>IF(C1196="", "", IFERROR(VLOOKUP(C1196, 作品一覧!A:B, 2, FALSE), "該当なし"))</f>
        <v>夢王国と眠れる100人の王子様</v>
      </c>
      <c r="E1196" s="1" t="str">
        <f ca="1">IFERROR(__xludf.DUMMYFUNCTION("""COMPUTED_VALUE"""),"ビッキー")</f>
        <v>ビッキー</v>
      </c>
      <c r="F1196" s="1" t="s">
        <v>2014</v>
      </c>
    </row>
    <row r="1197" spans="1:6" ht="13.2">
      <c r="A1197" s="1" t="str">
        <f t="array" aca="1" ref="A1197" ca="1">IF(B1197="", "", IFERROR(INDEX(声優一覧!A:A, MATCH(B1197, 声優一覧!B:B, 0)), "該当なし"))</f>
        <v>va_183</v>
      </c>
      <c r="B1197" s="1" t="str">
        <f ca="1">IFERROR(__xludf.DUMMYFUNCTION("""COMPUTED_VALUE"""),"村瀬歩")</f>
        <v>村瀬歩</v>
      </c>
      <c r="C1197" s="1" t="s">
        <v>279</v>
      </c>
      <c r="D1197" s="1" t="str">
        <f>IF(C1197="", "", IFERROR(VLOOKUP(C1197, 作品一覧!A:B, 2, FALSE), "該当なし"))</f>
        <v>夢王国と眠れる100人の王子様</v>
      </c>
      <c r="E1197" s="1" t="str">
        <f ca="1">IFERROR(__xludf.DUMMYFUNCTION("""COMPUTED_VALUE"""),"ヒナタ")</f>
        <v>ヒナタ</v>
      </c>
      <c r="F1197" s="1" t="s">
        <v>2015</v>
      </c>
    </row>
    <row r="1198" spans="1:6" ht="13.2">
      <c r="A1198" s="1" t="str">
        <f t="array" aca="1" ref="A1198" ca="1">IF(B1198="", "", IFERROR(INDEX(声優一覧!A:A, MATCH(B1198, 声優一覧!B:B, 0)), "該当なし"))</f>
        <v>va_033</v>
      </c>
      <c r="B1198" s="1" t="str">
        <f ca="1">IFERROR(__xludf.DUMMYFUNCTION("""COMPUTED_VALUE"""),"梅原裕一郎")</f>
        <v>梅原裕一郎</v>
      </c>
      <c r="C1198" s="1" t="s">
        <v>279</v>
      </c>
      <c r="D1198" s="1" t="str">
        <f>IF(C1198="", "", IFERROR(VLOOKUP(C1198, 作品一覧!A:B, 2, FALSE), "該当なし"))</f>
        <v>夢王国と眠れる100人の王子様</v>
      </c>
      <c r="E1198" s="1" t="str">
        <f ca="1">IFERROR(__xludf.DUMMYFUNCTION("""COMPUTED_VALUE"""),"ヒノト")</f>
        <v>ヒノト</v>
      </c>
      <c r="F1198" s="1" t="s">
        <v>2016</v>
      </c>
    </row>
    <row r="1199" spans="1:6" ht="13.2">
      <c r="A1199" s="1" t="str">
        <f t="array" aca="1" ref="A1199" ca="1">IF(B1199="", "", IFERROR(INDEX(声優一覧!A:A, MATCH(B1199, 声優一覧!B:B, 0)), "該当なし"))</f>
        <v>va_185</v>
      </c>
      <c r="B1199" s="1" t="str">
        <f ca="1">IFERROR(__xludf.DUMMYFUNCTION("""COMPUTED_VALUE"""),"森久保祥太郎")</f>
        <v>森久保祥太郎</v>
      </c>
      <c r="C1199" s="1" t="s">
        <v>279</v>
      </c>
      <c r="D1199" s="1" t="str">
        <f>IF(C1199="", "", IFERROR(VLOOKUP(C1199, 作品一覧!A:B, 2, FALSE), "該当なし"))</f>
        <v>夢王国と眠れる100人の王子様</v>
      </c>
      <c r="E1199" s="1" t="str">
        <f ca="1">IFERROR(__xludf.DUMMYFUNCTION("""COMPUTED_VALUE"""),"白葉(ビャクヨウ)")</f>
        <v>白葉(ビャクヨウ)</v>
      </c>
      <c r="F1199" s="1" t="s">
        <v>2017</v>
      </c>
    </row>
    <row r="1200" spans="1:6" ht="13.2">
      <c r="A1200" s="1" t="str">
        <f t="array" aca="1" ref="A1200" ca="1">IF(B1200="", "", IFERROR(INDEX(声優一覧!A:A, MATCH(B1200, 声優一覧!B:B, 0)), "該当なし"))</f>
        <v>va_169</v>
      </c>
      <c r="B1200" s="1" t="str">
        <f ca="1">IFERROR(__xludf.DUMMYFUNCTION("""COMPUTED_VALUE"""),"前野智昭")</f>
        <v>前野智昭</v>
      </c>
      <c r="C1200" s="1" t="s">
        <v>279</v>
      </c>
      <c r="D1200" s="1" t="str">
        <f>IF(C1200="", "", IFERROR(VLOOKUP(C1200, 作品一覧!A:B, 2, FALSE), "該当なし"))</f>
        <v>夢王国と眠れる100人の王子様</v>
      </c>
      <c r="E1200" s="1" t="str">
        <f ca="1">IFERROR(__xludf.DUMMYFUNCTION("""COMPUTED_VALUE"""),"フォイア")</f>
        <v>フォイア</v>
      </c>
      <c r="F1200" s="1" t="s">
        <v>2018</v>
      </c>
    </row>
    <row r="1201" spans="1:6" ht="13.2">
      <c r="A1201" s="1" t="str">
        <f t="array" aca="1" ref="A1201" ca="1">IF(B1201="", "", IFERROR(INDEX(声優一覧!A:A, MATCH(B1201, 声優一覧!B:B, 0)), "該当なし"))</f>
        <v>va_039</v>
      </c>
      <c r="B1201" s="1" t="str">
        <f ca="1">IFERROR(__xludf.DUMMYFUNCTION("""COMPUTED_VALUE"""),"大須賀純")</f>
        <v>大須賀純</v>
      </c>
      <c r="C1201" s="1" t="s">
        <v>279</v>
      </c>
      <c r="D1201" s="1" t="str">
        <f>IF(C1201="", "", IFERROR(VLOOKUP(C1201, 作品一覧!A:B, 2, FALSE), "該当なし"))</f>
        <v>夢王国と眠れる100人の王子様</v>
      </c>
      <c r="E1201" s="1" t="str">
        <f ca="1">IFERROR(__xludf.DUMMYFUNCTION("""COMPUTED_VALUE"""),"フォーマ")</f>
        <v>フォーマ</v>
      </c>
      <c r="F1201" s="1" t="s">
        <v>2019</v>
      </c>
    </row>
    <row r="1202" spans="1:6" ht="13.2">
      <c r="A1202" s="1" t="str">
        <f t="array" aca="1" ref="A1202" ca="1">IF(B1202="", "", IFERROR(INDEX(声優一覧!A:A, MATCH(B1202, 声優一覧!B:B, 0)), "該当なし"))</f>
        <v>va_098</v>
      </c>
      <c r="B1202" s="1" t="str">
        <f ca="1">IFERROR(__xludf.DUMMYFUNCTION("""COMPUTED_VALUE"""),"杉山紀彰")</f>
        <v>杉山紀彰</v>
      </c>
      <c r="C1202" s="1" t="s">
        <v>279</v>
      </c>
      <c r="D1202" s="1" t="str">
        <f>IF(C1202="", "", IFERROR(VLOOKUP(C1202, 作品一覧!A:B, 2, FALSE), "該当なし"))</f>
        <v>夢王国と眠れる100人の王子様</v>
      </c>
      <c r="E1202" s="1" t="str">
        <f ca="1">IFERROR(__xludf.DUMMYFUNCTION("""COMPUTED_VALUE"""),"フォルカー")</f>
        <v>フォルカー</v>
      </c>
      <c r="F1202" s="1" t="s">
        <v>2020</v>
      </c>
    </row>
    <row r="1203" spans="1:6" ht="13.2">
      <c r="A1203" s="1" t="str">
        <f t="array" aca="1" ref="A1203" ca="1">IF(B1203="", "", IFERROR(INDEX(声優一覧!A:A, MATCH(B1203, 声優一覧!B:B, 0)), "該当なし"))</f>
        <v>va_343</v>
      </c>
      <c r="B1203" s="1" t="str">
        <f ca="1">IFERROR(__xludf.DUMMYFUNCTION("""COMPUTED_VALUE"""),"井上剛")</f>
        <v>井上剛</v>
      </c>
      <c r="C1203" s="1" t="s">
        <v>279</v>
      </c>
      <c r="D1203" s="1" t="str">
        <f>IF(C1203="", "", IFERROR(VLOOKUP(C1203, 作品一覧!A:B, 2, FALSE), "該当なし"))</f>
        <v>夢王国と眠れる100人の王子様</v>
      </c>
      <c r="E1203" s="1" t="str">
        <f ca="1">IFERROR(__xludf.DUMMYFUNCTION("""COMPUTED_VALUE"""),"藤目(フジメ)")</f>
        <v>藤目(フジメ)</v>
      </c>
      <c r="F1203" s="1" t="s">
        <v>2021</v>
      </c>
    </row>
    <row r="1204" spans="1:6" ht="13.2">
      <c r="A1204" s="1" t="str">
        <f t="array" aca="1" ref="A1204" ca="1">IF(B1204="", "", IFERROR(INDEX(声優一覧!A:A, MATCH(B1204, 声優一覧!B:B, 0)), "該当なし"))</f>
        <v>va_344</v>
      </c>
      <c r="B1204" s="1" t="str">
        <f ca="1">IFERROR(__xludf.DUMMYFUNCTION("""COMPUTED_VALUE"""),"遊佐浩二")</f>
        <v>遊佐浩二</v>
      </c>
      <c r="C1204" s="1" t="s">
        <v>279</v>
      </c>
      <c r="D1204" s="1" t="str">
        <f>IF(C1204="", "", IFERROR(VLOOKUP(C1204, 作品一覧!A:B, 2, FALSE), "該当なし"))</f>
        <v>夢王国と眠れる100人の王子様</v>
      </c>
      <c r="E1204" s="1" t="str">
        <f ca="1">IFERROR(__xludf.DUMMYFUNCTION("""COMPUTED_VALUE"""),"フリッツ")</f>
        <v>フリッツ</v>
      </c>
      <c r="F1204" s="1" t="s">
        <v>2022</v>
      </c>
    </row>
    <row r="1205" spans="1:6" ht="13.2">
      <c r="A1205" s="1" t="str">
        <f t="array" aca="1" ref="A1205" ca="1">IF(B1205="", "", IFERROR(INDEX(声優一覧!A:A, MATCH(B1205, 声優一覧!B:B, 0)), "該当なし"))</f>
        <v>va_245</v>
      </c>
      <c r="B1205" s="1" t="str">
        <f ca="1">IFERROR(__xludf.DUMMYFUNCTION("""COMPUTED_VALUE"""),"たくみ靖明")</f>
        <v>たくみ靖明</v>
      </c>
      <c r="C1205" s="1" t="s">
        <v>279</v>
      </c>
      <c r="D1205" s="1" t="str">
        <f>IF(C1205="", "", IFERROR(VLOOKUP(C1205, 作品一覧!A:B, 2, FALSE), "該当なし"))</f>
        <v>夢王国と眠れる100人の王子様</v>
      </c>
      <c r="E1205" s="1" t="str">
        <f ca="1">IFERROR(__xludf.DUMMYFUNCTION("""COMPUTED_VALUE"""),"プリトヴェン")</f>
        <v>プリトヴェン</v>
      </c>
      <c r="F1205" s="1" t="s">
        <v>2023</v>
      </c>
    </row>
    <row r="1206" spans="1:6" ht="13.2">
      <c r="A1206" s="1" t="str">
        <f t="array" aca="1" ref="A1206" ca="1">IF(B1206="", "", IFERROR(INDEX(声優一覧!A:A, MATCH(B1206, 声優一覧!B:B, 0)), "該当なし"))</f>
        <v>va_109</v>
      </c>
      <c r="B1206" s="1" t="str">
        <f ca="1">IFERROR(__xludf.DUMMYFUNCTION("""COMPUTED_VALUE"""),"髙橋孝治")</f>
        <v>髙橋孝治</v>
      </c>
      <c r="C1206" s="1" t="s">
        <v>279</v>
      </c>
      <c r="D1206" s="1" t="str">
        <f>IF(C1206="", "", IFERROR(VLOOKUP(C1206, 作品一覧!A:B, 2, FALSE), "該当なし"))</f>
        <v>夢王国と眠れる100人の王子様</v>
      </c>
      <c r="E1206" s="1" t="str">
        <f ca="1">IFERROR(__xludf.DUMMYFUNCTION("""COMPUTED_VALUE"""),"フリュー")</f>
        <v>フリュー</v>
      </c>
      <c r="F1206" s="1" t="s">
        <v>2024</v>
      </c>
    </row>
    <row r="1207" spans="1:6" ht="13.2">
      <c r="A1207" s="1" t="str">
        <f t="array" aca="1" ref="A1207" ca="1">IF(B1207="", "", IFERROR(INDEX(声優一覧!A:A, MATCH(B1207, 声優一覧!B:B, 0)), "該当なし"))</f>
        <v>va_095</v>
      </c>
      <c r="B1207" s="1" t="str">
        <f ca="1">IFERROR(__xludf.DUMMYFUNCTION("""COMPUTED_VALUE"""),"下野紘")</f>
        <v>下野紘</v>
      </c>
      <c r="C1207" s="1" t="s">
        <v>279</v>
      </c>
      <c r="D1207" s="1" t="str">
        <f>IF(C1207="", "", IFERROR(VLOOKUP(C1207, 作品一覧!A:B, 2, FALSE), "該当なし"))</f>
        <v>夢王国と眠れる100人の王子様</v>
      </c>
      <c r="E1207" s="1" t="str">
        <f ca="1">IFERROR(__xludf.DUMMYFUNCTION("""COMPUTED_VALUE"""),"フリュス")</f>
        <v>フリュス</v>
      </c>
      <c r="F1207" s="1" t="s">
        <v>2025</v>
      </c>
    </row>
    <row r="1208" spans="1:6" ht="13.2">
      <c r="A1208" s="1" t="str">
        <f t="array" aca="1" ref="A1208" ca="1">IF(B1208="", "", IFERROR(INDEX(声優一覧!A:A, MATCH(B1208, 声優一覧!B:B, 0)), "該当なし"))</f>
        <v>va_186</v>
      </c>
      <c r="B1208" s="1" t="str">
        <f ca="1">IFERROR(__xludf.DUMMYFUNCTION("""COMPUTED_VALUE"""),"森川智之")</f>
        <v>森川智之</v>
      </c>
      <c r="C1208" s="1" t="s">
        <v>279</v>
      </c>
      <c r="D1208" s="1" t="str">
        <f>IF(C1208="", "", IFERROR(VLOOKUP(C1208, 作品一覧!A:B, 2, FALSE), "該当なし"))</f>
        <v>夢王国と眠れる100人の王子様</v>
      </c>
      <c r="E1208" s="1" t="str">
        <f ca="1">IFERROR(__xludf.DUMMYFUNCTION("""COMPUTED_VALUE"""),"フレイグ")</f>
        <v>フレイグ</v>
      </c>
      <c r="F1208" s="1" t="s">
        <v>2026</v>
      </c>
    </row>
    <row r="1209" spans="1:6" ht="13.2">
      <c r="A1209" s="1" t="str">
        <f t="array" aca="1" ref="A1209" ca="1">IF(B1209="", "", IFERROR(INDEX(声優一覧!A:A, MATCH(B1209, 声優一覧!B:B, 0)), "該当なし"))</f>
        <v>va_198</v>
      </c>
      <c r="B1209" s="1" t="str">
        <f ca="1">IFERROR(__xludf.DUMMYFUNCTION("""COMPUTED_VALUE"""),"代永翼")</f>
        <v>代永翼</v>
      </c>
      <c r="C1209" s="1" t="s">
        <v>279</v>
      </c>
      <c r="D1209" s="1" t="str">
        <f>IF(C1209="", "", IFERROR(VLOOKUP(C1209, 作品一覧!A:B, 2, FALSE), "該当なし"))</f>
        <v>夢王国と眠れる100人の王子様</v>
      </c>
      <c r="E1209" s="1" t="str">
        <f ca="1">IFERROR(__xludf.DUMMYFUNCTION("""COMPUTED_VALUE"""),"プロキオン")</f>
        <v>プロキオン</v>
      </c>
      <c r="F1209" s="1" t="s">
        <v>2027</v>
      </c>
    </row>
    <row r="1210" spans="1:6" ht="13.2">
      <c r="A1210" s="1" t="str">
        <f t="array" aca="1" ref="A1210" ca="1">IF(B1210="", "", IFERROR(INDEX(声優一覧!A:A, MATCH(B1210, 声優一覧!B:B, 0)), "該当なし"))</f>
        <v>va_201</v>
      </c>
      <c r="B1210" s="1" t="str">
        <f ca="1">IFERROR(__xludf.DUMMYFUNCTION("""COMPUTED_VALUE"""),"新垣樽助")</f>
        <v>新垣樽助</v>
      </c>
      <c r="C1210" s="1" t="s">
        <v>279</v>
      </c>
      <c r="D1210" s="1" t="str">
        <f>IF(C1210="", "", IFERROR(VLOOKUP(C1210, 作品一覧!A:B, 2, FALSE), "該当なし"))</f>
        <v>夢王国と眠れる100人の王子様</v>
      </c>
      <c r="E1210" s="1" t="str">
        <f ca="1">IFERROR(__xludf.DUMMYFUNCTION("""COMPUTED_VALUE"""),"フロスト")</f>
        <v>フロスト</v>
      </c>
      <c r="F1210" s="1" t="s">
        <v>2028</v>
      </c>
    </row>
    <row r="1211" spans="1:6" ht="13.2">
      <c r="A1211" s="1" t="str">
        <f t="array" aca="1" ref="A1211" ca="1">IF(B1211="", "", IFERROR(INDEX(声優一覧!A:A, MATCH(B1211, 声優一覧!B:B, 0)), "該当なし"))</f>
        <v>va_275</v>
      </c>
      <c r="B1211" s="1" t="str">
        <f ca="1">IFERROR(__xludf.DUMMYFUNCTION("""COMPUTED_VALUE"""),"菅沼久義")</f>
        <v>菅沼久義</v>
      </c>
      <c r="C1211" s="1" t="s">
        <v>279</v>
      </c>
      <c r="D1211" s="1" t="str">
        <f>IF(C1211="", "", IFERROR(VLOOKUP(C1211, 作品一覧!A:B, 2, FALSE), "該当なし"))</f>
        <v>夢王国と眠れる100人の王子様</v>
      </c>
      <c r="E1211" s="1" t="str">
        <f ca="1">IFERROR(__xludf.DUMMYFUNCTION("""COMPUTED_VALUE"""),"ベウル")</f>
        <v>ベウル</v>
      </c>
      <c r="F1211" s="1" t="s">
        <v>2029</v>
      </c>
    </row>
    <row r="1212" spans="1:6" ht="13.2">
      <c r="A1212" s="1" t="str">
        <f t="array" aca="1" ref="A1212" ca="1">IF(B1212="", "", IFERROR(INDEX(声優一覧!A:A, MATCH(B1212, 声優一覧!B:B, 0)), "該当なし"))</f>
        <v>va_148</v>
      </c>
      <c r="B1212" s="1" t="str">
        <f ca="1">IFERROR(__xludf.DUMMYFUNCTION("""COMPUTED_VALUE"""),"羽多野渉")</f>
        <v>羽多野渉</v>
      </c>
      <c r="C1212" s="1" t="s">
        <v>279</v>
      </c>
      <c r="D1212" s="1" t="str">
        <f>IF(C1212="", "", IFERROR(VLOOKUP(C1212, 作品一覧!A:B, 2, FALSE), "該当なし"))</f>
        <v>夢王国と眠れる100人の王子様</v>
      </c>
      <c r="E1212" s="1" t="str">
        <f ca="1">IFERROR(__xludf.DUMMYFUNCTION("""COMPUTED_VALUE"""),"ベガ")</f>
        <v>ベガ</v>
      </c>
      <c r="F1212" s="1" t="s">
        <v>2030</v>
      </c>
    </row>
    <row r="1213" spans="1:6" ht="13.2">
      <c r="A1213" s="1" t="str">
        <f t="array" aca="1" ref="A1213" ca="1">IF(B1213="", "", IFERROR(INDEX(声優一覧!A:A, MATCH(B1213, 声優一覧!B:B, 0)), "該当なし"))</f>
        <v>va_305</v>
      </c>
      <c r="B1213" s="1" t="str">
        <f ca="1">IFERROR(__xludf.DUMMYFUNCTION("""COMPUTED_VALUE"""),"伊藤健太郎")</f>
        <v>伊藤健太郎</v>
      </c>
      <c r="C1213" s="1" t="s">
        <v>279</v>
      </c>
      <c r="D1213" s="1" t="str">
        <f>IF(C1213="", "", IFERROR(VLOOKUP(C1213, 作品一覧!A:B, 2, FALSE), "該当なし"))</f>
        <v>夢王国と眠れる100人の王子様</v>
      </c>
      <c r="E1213" s="1" t="str">
        <f ca="1">IFERROR(__xludf.DUMMYFUNCTION("""COMPUTED_VALUE"""),"ヘラクレス")</f>
        <v>ヘラクレス</v>
      </c>
      <c r="F1213" s="1" t="s">
        <v>2031</v>
      </c>
    </row>
    <row r="1214" spans="1:6" ht="13.2">
      <c r="A1214" s="1" t="str">
        <f t="array" aca="1" ref="A1214" ca="1">IF(B1214="", "", IFERROR(INDEX(声優一覧!A:A, MATCH(B1214, 声優一覧!B:B, 0)), "該当なし"))</f>
        <v>va_267</v>
      </c>
      <c r="B1214" s="1" t="str">
        <f ca="1">IFERROR(__xludf.DUMMYFUNCTION("""COMPUTED_VALUE"""),"山口勝平")</f>
        <v>山口勝平</v>
      </c>
      <c r="C1214" s="1" t="s">
        <v>279</v>
      </c>
      <c r="D1214" s="1" t="str">
        <f>IF(C1214="", "", IFERROR(VLOOKUP(C1214, 作品一覧!A:B, 2, FALSE), "該当なし"))</f>
        <v>夢王国と眠れる100人の王子様</v>
      </c>
      <c r="E1214" s="1" t="str">
        <f ca="1">IFERROR(__xludf.DUMMYFUNCTION("""COMPUTED_VALUE"""),"ヘルト")</f>
        <v>ヘルト</v>
      </c>
      <c r="F1214" s="1" t="s">
        <v>2032</v>
      </c>
    </row>
    <row r="1215" spans="1:6" ht="13.2">
      <c r="A1215" s="1" t="str">
        <f t="array" aca="1" ref="A1215" ca="1">IF(B1215="", "", IFERROR(INDEX(声優一覧!A:A, MATCH(B1215, 声優一覧!B:B, 0)), "該当なし"))</f>
        <v>va_017</v>
      </c>
      <c r="B1215" s="1" t="str">
        <f ca="1">IFERROR(__xludf.DUMMYFUNCTION("""COMPUTED_VALUE"""),"市来光弘")</f>
        <v>市来光弘</v>
      </c>
      <c r="C1215" s="1" t="s">
        <v>279</v>
      </c>
      <c r="D1215" s="1" t="str">
        <f>IF(C1215="", "", IFERROR(VLOOKUP(C1215, 作品一覧!A:B, 2, FALSE), "該当なし"))</f>
        <v>夢王国と眠れる100人の王子様</v>
      </c>
      <c r="E1215" s="1" t="str">
        <f ca="1">IFERROR(__xludf.DUMMYFUNCTION("""COMPUTED_VALUE"""),"ペルラ")</f>
        <v>ペルラ</v>
      </c>
      <c r="F1215" s="1" t="s">
        <v>2033</v>
      </c>
    </row>
    <row r="1216" spans="1:6" ht="13.2">
      <c r="A1216" s="1" t="str">
        <f t="array" aca="1" ref="A1216" ca="1">IF(B1216="", "", IFERROR(INDEX(声優一覧!A:A, MATCH(B1216, 声優一覧!B:B, 0)), "該当なし"))</f>
        <v>va_048</v>
      </c>
      <c r="B1216" s="1" t="str">
        <f ca="1">IFERROR(__xludf.DUMMYFUNCTION("""COMPUTED_VALUE"""),"柿原徹也")</f>
        <v>柿原徹也</v>
      </c>
      <c r="C1216" s="1" t="s">
        <v>279</v>
      </c>
      <c r="D1216" s="1" t="str">
        <f>IF(C1216="", "", IFERROR(VLOOKUP(C1216, 作品一覧!A:B, 2, FALSE), "該当なし"))</f>
        <v>夢王国と眠れる100人の王子様</v>
      </c>
      <c r="E1216" s="1" t="str">
        <f ca="1">IFERROR(__xludf.DUMMYFUNCTION("""COMPUTED_VALUE"""),"マーチア")</f>
        <v>マーチア</v>
      </c>
      <c r="F1216" s="1" t="s">
        <v>2034</v>
      </c>
    </row>
    <row r="1217" spans="1:6" ht="13.2">
      <c r="A1217" s="1" t="str">
        <f t="array" aca="1" ref="A1217" ca="1">IF(B1217="", "", IFERROR(INDEX(声優一覧!A:A, MATCH(B1217, 声優一覧!B:B, 0)), "該当なし"))</f>
        <v>va_150</v>
      </c>
      <c r="B1217" s="1" t="str">
        <f ca="1">IFERROR(__xludf.DUMMYFUNCTION("""COMPUTED_VALUE"""),"花江夏樹")</f>
        <v>花江夏樹</v>
      </c>
      <c r="C1217" s="1" t="s">
        <v>279</v>
      </c>
      <c r="D1217" s="1" t="str">
        <f>IF(C1217="", "", IFERROR(VLOOKUP(C1217, 作品一覧!A:B, 2, FALSE), "該当なし"))</f>
        <v>夢王国と眠れる100人の王子様</v>
      </c>
      <c r="E1217" s="1" t="str">
        <f ca="1">IFERROR(__xludf.DUMMYFUNCTION("""COMPUTED_VALUE"""),"真琴(マコト)")</f>
        <v>真琴(マコト)</v>
      </c>
      <c r="F1217" s="1" t="s">
        <v>2035</v>
      </c>
    </row>
    <row r="1218" spans="1:6" ht="13.2">
      <c r="A1218" s="1" t="str">
        <f t="array" aca="1" ref="A1218" ca="1">IF(B1218="", "", IFERROR(INDEX(声優一覧!A:A, MATCH(B1218, 声優一覧!B:B, 0)), "該当なし"))</f>
        <v>va_157</v>
      </c>
      <c r="B1218" s="1" t="str">
        <f ca="1">IFERROR(__xludf.DUMMYFUNCTION("""COMPUTED_VALUE"""),"平川大輔")</f>
        <v>平川大輔</v>
      </c>
      <c r="C1218" s="1" t="s">
        <v>279</v>
      </c>
      <c r="D1218" s="1" t="str">
        <f>IF(C1218="", "", IFERROR(VLOOKUP(C1218, 作品一覧!A:B, 2, FALSE), "該当なし"))</f>
        <v>夢王国と眠れる100人の王子様</v>
      </c>
      <c r="E1218" s="1" t="str">
        <f ca="1">IFERROR(__xludf.DUMMYFUNCTION("""COMPUTED_VALUE"""),"マッドハッター")</f>
        <v>マッドハッター</v>
      </c>
      <c r="F1218" s="1" t="s">
        <v>2036</v>
      </c>
    </row>
    <row r="1219" spans="1:6" ht="13.2">
      <c r="A1219" s="1" t="str">
        <f t="array" aca="1" ref="A1219" ca="1">IF(B1219="", "", IFERROR(INDEX(声優一覧!A:A, MATCH(B1219, 声優一覧!B:B, 0)), "該当なし"))</f>
        <v>va_345</v>
      </c>
      <c r="B1219" s="1" t="str">
        <f ca="1">IFERROR(__xludf.DUMMYFUNCTION("""COMPUTED_VALUE"""),"藤原啓治")</f>
        <v>藤原啓治</v>
      </c>
      <c r="C1219" s="1" t="s">
        <v>279</v>
      </c>
      <c r="D1219" s="1" t="str">
        <f>IF(C1219="", "", IFERROR(VLOOKUP(C1219, 作品一覧!A:B, 2, FALSE), "該当なし"))</f>
        <v>夢王国と眠れる100人の王子様</v>
      </c>
      <c r="E1219" s="1" t="str">
        <f ca="1">IFERROR(__xludf.DUMMYFUNCTION("""COMPUTED_VALUE"""),"マルタン")</f>
        <v>マルタン</v>
      </c>
      <c r="F1219" s="1" t="s">
        <v>2037</v>
      </c>
    </row>
    <row r="1220" spans="1:6" ht="13.2">
      <c r="A1220" s="1" t="str">
        <f t="array" aca="1" ref="A1220" ca="1">IF(B1220="", "", IFERROR(INDEX(声優一覧!A:A, MATCH(B1220, 声優一覧!B:B, 0)), "該当なし"))</f>
        <v>va_021</v>
      </c>
      <c r="B1220" s="1" t="str">
        <f ca="1">IFERROR(__xludf.DUMMYFUNCTION("""COMPUTED_VALUE"""),"井上和彦")</f>
        <v>井上和彦</v>
      </c>
      <c r="C1220" s="1" t="s">
        <v>279</v>
      </c>
      <c r="D1220" s="1" t="str">
        <f>IF(C1220="", "", IFERROR(VLOOKUP(C1220, 作品一覧!A:B, 2, FALSE), "該当なし"))</f>
        <v>夢王国と眠れる100人の王子様</v>
      </c>
      <c r="E1220" s="1" t="str">
        <f ca="1">IFERROR(__xludf.DUMMYFUNCTION("""COMPUTED_VALUE"""),"マルタン")</f>
        <v>マルタン</v>
      </c>
      <c r="F1220" s="1" t="s">
        <v>2038</v>
      </c>
    </row>
    <row r="1221" spans="1:6" ht="13.2">
      <c r="A1221" s="1" t="str">
        <f t="array" aca="1" ref="A1221" ca="1">IF(B1221="", "", IFERROR(INDEX(声優一覧!A:A, MATCH(B1221, 声優一覧!B:B, 0)), "該当なし"))</f>
        <v>va_094</v>
      </c>
      <c r="B1221" s="1" t="str">
        <f ca="1">IFERROR(__xludf.DUMMYFUNCTION("""COMPUTED_VALUE"""),"島﨑信長")</f>
        <v>島﨑信長</v>
      </c>
      <c r="C1221" s="1" t="s">
        <v>279</v>
      </c>
      <c r="D1221" s="1" t="str">
        <f>IF(C1221="", "", IFERROR(VLOOKUP(C1221, 作品一覧!A:B, 2, FALSE), "該当なし"))</f>
        <v>夢王国と眠れる100人の王子様</v>
      </c>
      <c r="E1221" s="1" t="str">
        <f ca="1">IFERROR(__xludf.DUMMYFUNCTION("""COMPUTED_VALUE"""),"ミカエラ")</f>
        <v>ミカエラ</v>
      </c>
      <c r="F1221" s="1" t="s">
        <v>2039</v>
      </c>
    </row>
    <row r="1222" spans="1:6" ht="13.2">
      <c r="A1222" s="1" t="str">
        <f t="array" aca="1" ref="A1222" ca="1">IF(B1222="", "", IFERROR(INDEX(声優一覧!A:A, MATCH(B1222, 声優一覧!B:B, 0)), "該当なし"))</f>
        <v>va_009</v>
      </c>
      <c r="B1222" s="1" t="str">
        <f ca="1">IFERROR(__xludf.DUMMYFUNCTION("""COMPUTED_VALUE"""),"蒼井翔太")</f>
        <v>蒼井翔太</v>
      </c>
      <c r="C1222" s="1" t="s">
        <v>279</v>
      </c>
      <c r="D1222" s="1" t="str">
        <f>IF(C1222="", "", IFERROR(VLOOKUP(C1222, 作品一覧!A:B, 2, FALSE), "該当なし"))</f>
        <v>夢王国と眠れる100人の王子様</v>
      </c>
      <c r="E1222" s="1" t="str">
        <f ca="1">IFERROR(__xludf.DUMMYFUNCTION("""COMPUTED_VALUE"""),"ミチル")</f>
        <v>ミチル</v>
      </c>
      <c r="F1222" s="1" t="s">
        <v>2040</v>
      </c>
    </row>
    <row r="1223" spans="1:6" ht="13.2">
      <c r="A1223" s="1" t="str">
        <f t="array" aca="1" ref="A1223" ca="1">IF(B1223="", "", IFERROR(INDEX(声優一覧!A:A, MATCH(B1223, 声優一覧!B:B, 0)), "該当なし"))</f>
        <v>va_045</v>
      </c>
      <c r="B1223" s="1" t="str">
        <f ca="1">IFERROR(__xludf.DUMMYFUNCTION("""COMPUTED_VALUE"""),"小野賢章")</f>
        <v>小野賢章</v>
      </c>
      <c r="C1223" s="1" t="s">
        <v>279</v>
      </c>
      <c r="D1223" s="1" t="str">
        <f>IF(C1223="", "", IFERROR(VLOOKUP(C1223, 作品一覧!A:B, 2, FALSE), "該当なし"))</f>
        <v>夢王国と眠れる100人の王子様</v>
      </c>
      <c r="E1223" s="1" t="str">
        <f ca="1">IFERROR(__xludf.DUMMYFUNCTION("""COMPUTED_VALUE"""),"ミヤ")</f>
        <v>ミヤ</v>
      </c>
      <c r="F1223" s="1" t="s">
        <v>2041</v>
      </c>
    </row>
    <row r="1224" spans="1:6" ht="13.2">
      <c r="A1224" s="1" t="str">
        <f t="array" aca="1" ref="A1224" ca="1">IF(B1224="", "", IFERROR(INDEX(声優一覧!A:A, MATCH(B1224, 声優一覧!B:B, 0)), "該当なし"))</f>
        <v>va_066</v>
      </c>
      <c r="B1224" s="1" t="str">
        <f ca="1">IFERROR(__xludf.DUMMYFUNCTION("""COMPUTED_VALUE"""),"木村良平")</f>
        <v>木村良平</v>
      </c>
      <c r="C1224" s="1" t="s">
        <v>279</v>
      </c>
      <c r="D1224" s="1" t="str">
        <f>IF(C1224="", "", IFERROR(VLOOKUP(C1224, 作品一覧!A:B, 2, FALSE), "該当なし"))</f>
        <v>夢王国と眠れる100人の王子様</v>
      </c>
      <c r="E1224" s="1" t="str">
        <f ca="1">IFERROR(__xludf.DUMMYFUNCTION("""COMPUTED_VALUE"""),"ミリオン")</f>
        <v>ミリオン</v>
      </c>
      <c r="F1224" s="1" t="s">
        <v>2042</v>
      </c>
    </row>
    <row r="1225" spans="1:6" ht="13.2">
      <c r="A1225" s="1" t="str">
        <f t="array" aca="1" ref="A1225" ca="1">IF(B1225="", "", IFERROR(INDEX(声優一覧!A:A, MATCH(B1225, 声優一覧!B:B, 0)), "該当なし"))</f>
        <v>va_170</v>
      </c>
      <c r="B1225" s="1" t="str">
        <f ca="1">IFERROR(__xludf.DUMMYFUNCTION("""COMPUTED_VALUE"""),"益山武明")</f>
        <v>益山武明</v>
      </c>
      <c r="C1225" s="1" t="s">
        <v>279</v>
      </c>
      <c r="D1225" s="1" t="str">
        <f>IF(C1225="", "", IFERROR(VLOOKUP(C1225, 作品一覧!A:B, 2, FALSE), "該当なし"))</f>
        <v>夢王国と眠れる100人の王子様</v>
      </c>
      <c r="E1225" s="1" t="str">
        <f ca="1">IFERROR(__xludf.DUMMYFUNCTION("""COMPUTED_VALUE"""),"メディ")</f>
        <v>メディ</v>
      </c>
      <c r="F1225" s="1" t="s">
        <v>2043</v>
      </c>
    </row>
    <row r="1226" spans="1:6" ht="13.2">
      <c r="A1226" s="1" t="str">
        <f t="array" aca="1" ref="A1226" ca="1">IF(B1226="", "", IFERROR(INDEX(声優一覧!A:A, MATCH(B1226, 声優一覧!B:B, 0)), "該当なし"))</f>
        <v>va_112</v>
      </c>
      <c r="B1226" s="1" t="str">
        <f ca="1">IFERROR(__xludf.DUMMYFUNCTION("""COMPUTED_VALUE"""),"武内駿輔")</f>
        <v>武内駿輔</v>
      </c>
      <c r="C1226" s="1" t="s">
        <v>279</v>
      </c>
      <c r="D1226" s="1" t="str">
        <f>IF(C1226="", "", IFERROR(VLOOKUP(C1226, 作品一覧!A:B, 2, FALSE), "該当なし"))</f>
        <v>夢王国と眠れる100人の王子様</v>
      </c>
      <c r="E1226" s="1" t="str">
        <f ca="1">IFERROR(__xludf.DUMMYFUNCTION("""COMPUTED_VALUE"""),"モルタ")</f>
        <v>モルタ</v>
      </c>
      <c r="F1226" s="1" t="s">
        <v>2044</v>
      </c>
    </row>
    <row r="1227" spans="1:6" ht="13.2">
      <c r="A1227" s="1" t="str">
        <f t="array" aca="1" ref="A1227" ca="1">IF(B1227="", "", IFERROR(INDEX(声優一覧!A:A, MATCH(B1227, 声優一覧!B:B, 0)), "該当なし"))</f>
        <v>va_200</v>
      </c>
      <c r="B1227" s="1" t="str">
        <f ca="1">IFERROR(__xludf.DUMMYFUNCTION("""COMPUTED_VALUE"""),"KENN")</f>
        <v>KENN</v>
      </c>
      <c r="C1227" s="1" t="s">
        <v>279</v>
      </c>
      <c r="D1227" s="1" t="str">
        <f>IF(C1227="", "", IFERROR(VLOOKUP(C1227, 作品一覧!A:B, 2, FALSE), "該当なし"))</f>
        <v>夢王国と眠れる100人の王子様</v>
      </c>
      <c r="E1227" s="1" t="str">
        <f ca="1">IFERROR(__xludf.DUMMYFUNCTION("""COMPUTED_VALUE"""),"ヤナギ")</f>
        <v>ヤナギ</v>
      </c>
      <c r="F1227" s="1" t="s">
        <v>2045</v>
      </c>
    </row>
    <row r="1228" spans="1:6" ht="13.2">
      <c r="A1228" s="1" t="str">
        <f t="array" aca="1" ref="A1228" ca="1">IF(B1228="", "", IFERROR(INDEX(声優一覧!A:A, MATCH(B1228, 声優一覧!B:B, 0)), "該当なし"))</f>
        <v>va_181</v>
      </c>
      <c r="B1228" s="1" t="str">
        <f ca="1">IFERROR(__xludf.DUMMYFUNCTION("""COMPUTED_VALUE"""),"宮下栄治")</f>
        <v>宮下栄治</v>
      </c>
      <c r="C1228" s="1" t="s">
        <v>279</v>
      </c>
      <c r="D1228" s="1" t="str">
        <f>IF(C1228="", "", IFERROR(VLOOKUP(C1228, 作品一覧!A:B, 2, FALSE), "該当なし"))</f>
        <v>夢王国と眠れる100人の王子様</v>
      </c>
      <c r="E1228" s="1" t="str">
        <f ca="1">IFERROR(__xludf.DUMMYFUNCTION("""COMPUTED_VALUE"""),"ユーノ")</f>
        <v>ユーノ</v>
      </c>
      <c r="F1228" s="1" t="s">
        <v>2046</v>
      </c>
    </row>
    <row r="1229" spans="1:6" ht="13.2">
      <c r="A1229" s="1" t="str">
        <f t="array" aca="1" ref="A1229" ca="1">IF(B1229="", "", IFERROR(INDEX(声優一覧!A:A, MATCH(B1229, 声優一覧!B:B, 0)), "該当なし"))</f>
        <v>va_237</v>
      </c>
      <c r="B1229" s="1" t="str">
        <f ca="1">IFERROR(__xludf.DUMMYFUNCTION("""COMPUTED_VALUE"""),"鈴木達央")</f>
        <v>鈴木達央</v>
      </c>
      <c r="C1229" s="1" t="s">
        <v>279</v>
      </c>
      <c r="D1229" s="1" t="str">
        <f>IF(C1229="", "", IFERROR(VLOOKUP(C1229, 作品一覧!A:B, 2, FALSE), "該当なし"))</f>
        <v>夢王国と眠れる100人の王子様</v>
      </c>
      <c r="E1229" s="1" t="str">
        <f ca="1">IFERROR(__xludf.DUMMYFUNCTION("""COMPUTED_VALUE"""),"ユリウス")</f>
        <v>ユリウス</v>
      </c>
      <c r="F1229" s="1" t="s">
        <v>2047</v>
      </c>
    </row>
    <row r="1230" spans="1:6" ht="13.2">
      <c r="A1230" s="1" t="str">
        <f t="array" aca="1" ref="A1230" ca="1">IF(B1230="", "", IFERROR(INDEX(声優一覧!A:A, MATCH(B1230, 声優一覧!B:B, 0)), "該当なし"))</f>
        <v>va_253</v>
      </c>
      <c r="B1230" s="1" t="str">
        <f ca="1">IFERROR(__xludf.DUMMYFUNCTION("""COMPUTED_VALUE"""),"バレッタ裕")</f>
        <v>バレッタ裕</v>
      </c>
      <c r="C1230" s="1" t="s">
        <v>279</v>
      </c>
      <c r="D1230" s="1" t="str">
        <f>IF(C1230="", "", IFERROR(VLOOKUP(C1230, 作品一覧!A:B, 2, FALSE), "該当なし"))</f>
        <v>夢王国と眠れる100人の王子様</v>
      </c>
      <c r="E1230" s="1" t="str">
        <f ca="1">IFERROR(__xludf.DUMMYFUNCTION("""COMPUTED_VALUE"""),"ライアン")</f>
        <v>ライアン</v>
      </c>
      <c r="F1230" s="1" t="s">
        <v>2048</v>
      </c>
    </row>
    <row r="1231" spans="1:6" ht="13.2">
      <c r="A1231" s="1" t="str">
        <f t="array" aca="1" ref="A1231" ca="1">IF(B1231="", "", IFERROR(INDEX(声優一覧!A:A, MATCH(B1231, 声優一覧!B:B, 0)), "該当なし"))</f>
        <v>va_111</v>
      </c>
      <c r="B1231" s="1" t="str">
        <f ca="1">IFERROR(__xludf.DUMMYFUNCTION("""COMPUTED_VALUE"""),"高橋広樹")</f>
        <v>高橋広樹</v>
      </c>
      <c r="C1231" s="1" t="s">
        <v>279</v>
      </c>
      <c r="D1231" s="1" t="str">
        <f>IF(C1231="", "", IFERROR(VLOOKUP(C1231, 作品一覧!A:B, 2, FALSE), "該当なし"))</f>
        <v>夢王国と眠れる100人の王子様</v>
      </c>
      <c r="E1231" s="1" t="str">
        <f ca="1">IFERROR(__xludf.DUMMYFUNCTION("""COMPUTED_VALUE"""),"ラス")</f>
        <v>ラス</v>
      </c>
      <c r="F1231" s="1" t="s">
        <v>2049</v>
      </c>
    </row>
    <row r="1232" spans="1:6" ht="13.2">
      <c r="A1232" s="1" t="str">
        <f t="array" aca="1" ref="A1232" ca="1">IF(B1232="", "", IFERROR(INDEX(声優一覧!A:A, MATCH(B1232, 声優一覧!B:B, 0)), "該当なし"))</f>
        <v>va_118</v>
      </c>
      <c r="B1232" s="1" t="str">
        <f ca="1">IFERROR(__xludf.DUMMYFUNCTION("""COMPUTED_VALUE"""),"泰勇気")</f>
        <v>泰勇気</v>
      </c>
      <c r="C1232" s="1" t="s">
        <v>279</v>
      </c>
      <c r="D1232" s="1" t="str">
        <f>IF(C1232="", "", IFERROR(VLOOKUP(C1232, 作品一覧!A:B, 2, FALSE), "該当なし"))</f>
        <v>夢王国と眠れる100人の王子様</v>
      </c>
      <c r="E1232" s="1" t="str">
        <f ca="1">IFERROR(__xludf.DUMMYFUNCTION("""COMPUTED_VALUE"""),"ラトリア")</f>
        <v>ラトリア</v>
      </c>
      <c r="F1232" s="1" t="s">
        <v>2050</v>
      </c>
    </row>
    <row r="1233" spans="1:6" ht="13.2">
      <c r="A1233" s="1" t="str">
        <f t="array" aca="1" ref="A1233" ca="1">IF(B1233="", "", IFERROR(INDEX(声優一覧!A:A, MATCH(B1233, 声優一覧!B:B, 0)), "該当なし"))</f>
        <v>va_346</v>
      </c>
      <c r="B1233" s="1" t="str">
        <f ca="1">IFERROR(__xludf.DUMMYFUNCTION("""COMPUTED_VALUE"""),"松浦義之")</f>
        <v>松浦義之</v>
      </c>
      <c r="C1233" s="1" t="s">
        <v>279</v>
      </c>
      <c r="D1233" s="1" t="str">
        <f>IF(C1233="", "", IFERROR(VLOOKUP(C1233, 作品一覧!A:B, 2, FALSE), "該当なし"))</f>
        <v>夢王国と眠れる100人の王子様</v>
      </c>
      <c r="E1233" s="1" t="str">
        <f ca="1">IFERROR(__xludf.DUMMYFUNCTION("""COMPUTED_VALUE"""),"ランダ")</f>
        <v>ランダ</v>
      </c>
      <c r="F1233" s="1" t="s">
        <v>2051</v>
      </c>
    </row>
    <row r="1234" spans="1:6" ht="13.2">
      <c r="A1234" s="1" t="str">
        <f t="array" aca="1" ref="A1234" ca="1">IF(B1234="", "", IFERROR(INDEX(声優一覧!A:A, MATCH(B1234, 声優一覧!B:B, 0)), "該当なし"))</f>
        <v>va_347</v>
      </c>
      <c r="B1234" s="1" t="str">
        <f ca="1">IFERROR(__xludf.DUMMYFUNCTION("""COMPUTED_VALUE"""),"相楽信頼")</f>
        <v>相楽信頼</v>
      </c>
      <c r="C1234" s="1" t="s">
        <v>279</v>
      </c>
      <c r="D1234" s="1" t="str">
        <f>IF(C1234="", "", IFERROR(VLOOKUP(C1234, 作品一覧!A:B, 2, FALSE), "該当なし"))</f>
        <v>夢王国と眠れる100人の王子様</v>
      </c>
      <c r="E1234" s="1" t="str">
        <f ca="1">IFERROR(__xludf.DUMMYFUNCTION("""COMPUTED_VALUE"""),"リード")</f>
        <v>リード</v>
      </c>
      <c r="F1234" s="1" t="s">
        <v>2052</v>
      </c>
    </row>
    <row r="1235" spans="1:6" ht="13.2">
      <c r="A1235" s="1" t="str">
        <f t="array" aca="1" ref="A1235" ca="1">IF(B1235="", "", IFERROR(INDEX(声優一覧!A:A, MATCH(B1235, 声優一覧!B:B, 0)), "該当なし"))</f>
        <v>va_081</v>
      </c>
      <c r="B1235" s="1" t="str">
        <f ca="1">IFERROR(__xludf.DUMMYFUNCTION("""COMPUTED_VALUE"""),"近藤隆")</f>
        <v>近藤隆</v>
      </c>
      <c r="C1235" s="1" t="s">
        <v>279</v>
      </c>
      <c r="D1235" s="1" t="str">
        <f>IF(C1235="", "", IFERROR(VLOOKUP(C1235, 作品一覧!A:B, 2, FALSE), "該当なし"))</f>
        <v>夢王国と眠れる100人の王子様</v>
      </c>
      <c r="E1235" s="1" t="str">
        <f ca="1">IFERROR(__xludf.DUMMYFUNCTION("""COMPUTED_VALUE"""),"リーヤ")</f>
        <v>リーヤ</v>
      </c>
      <c r="F1235" s="1" t="s">
        <v>2053</v>
      </c>
    </row>
    <row r="1236" spans="1:6" ht="13.2">
      <c r="A1236" s="1" t="str">
        <f t="array" aca="1" ref="A1236" ca="1">IF(B1236="", "", IFERROR(INDEX(声優一覧!A:A, MATCH(B1236, 声優一覧!B:B, 0)), "該当なし"))</f>
        <v>va_141</v>
      </c>
      <c r="B1236" s="1" t="str">
        <f ca="1">IFERROR(__xludf.DUMMYFUNCTION("""COMPUTED_VALUE"""),"西山宏太朗")</f>
        <v>西山宏太朗</v>
      </c>
      <c r="C1236" s="1" t="s">
        <v>279</v>
      </c>
      <c r="D1236" s="1" t="str">
        <f>IF(C1236="", "", IFERROR(VLOOKUP(C1236, 作品一覧!A:B, 2, FALSE), "該当なし"))</f>
        <v>夢王国と眠れる100人の王子様</v>
      </c>
      <c r="E1236" s="1" t="str">
        <f ca="1">IFERROR(__xludf.DUMMYFUNCTION("""COMPUTED_VALUE"""),"リエル")</f>
        <v>リエル</v>
      </c>
      <c r="F1236" s="1" t="s">
        <v>2054</v>
      </c>
    </row>
    <row r="1237" spans="1:6" ht="13.2">
      <c r="A1237" s="1" t="str">
        <f t="array" aca="1" ref="A1237" ca="1">IF(B1237="", "", IFERROR(INDEX(声優一覧!A:A, MATCH(B1237, 声優一覧!B:B, 0)), "該当なし"))</f>
        <v>va_044</v>
      </c>
      <c r="B1237" s="1" t="str">
        <f ca="1">IFERROR(__xludf.DUMMYFUNCTION("""COMPUTED_VALUE"""),"興津和幸")</f>
        <v>興津和幸</v>
      </c>
      <c r="C1237" s="1" t="s">
        <v>279</v>
      </c>
      <c r="D1237" s="1" t="str">
        <f>IF(C1237="", "", IFERROR(VLOOKUP(C1237, 作品一覧!A:B, 2, FALSE), "該当なし"))</f>
        <v>夢王国と眠れる100人の王子様</v>
      </c>
      <c r="E1237" s="1" t="str">
        <f ca="1">IFERROR(__xludf.DUMMYFUNCTION("""COMPUTED_VALUE"""),"リカ")</f>
        <v>リカ</v>
      </c>
      <c r="F1237" s="1" t="s">
        <v>2055</v>
      </c>
    </row>
    <row r="1238" spans="1:6" ht="13.2">
      <c r="A1238" s="1" t="str">
        <f t="array" aca="1" ref="A1238" ca="1">IF(B1238="", "", IFERROR(INDEX(声優一覧!A:A, MATCH(B1238, 声優一覧!B:B, 0)), "該当なし"))</f>
        <v>va_083</v>
      </c>
      <c r="B1238" s="1" t="str">
        <f ca="1">IFERROR(__xludf.DUMMYFUNCTION("""COMPUTED_VALUE"""),"斉藤壮馬")</f>
        <v>斉藤壮馬</v>
      </c>
      <c r="C1238" s="1" t="s">
        <v>279</v>
      </c>
      <c r="D1238" s="1" t="str">
        <f>IF(C1238="", "", IFERROR(VLOOKUP(C1238, 作品一覧!A:B, 2, FALSE), "該当なし"))</f>
        <v>夢王国と眠れる100人の王子様</v>
      </c>
      <c r="E1238" s="1" t="str">
        <f ca="1">IFERROR(__xludf.DUMMYFUNCTION("""COMPUTED_VALUE"""),"リッツ")</f>
        <v>リッツ</v>
      </c>
      <c r="F1238" s="1" t="s">
        <v>2056</v>
      </c>
    </row>
    <row r="1239" spans="1:6" ht="13.2">
      <c r="A1239" s="1" t="str">
        <f t="array" aca="1" ref="A1239" ca="1">IF(B1239="", "", IFERROR(INDEX(声優一覧!A:A, MATCH(B1239, 声優一覧!B:B, 0)), "該当なし"))</f>
        <v>va_002</v>
      </c>
      <c r="B1239" s="1" t="str">
        <f ca="1">IFERROR(__xludf.DUMMYFUNCTION("""COMPUTED_VALUE"""),"赤羽根健治")</f>
        <v>赤羽根健治</v>
      </c>
      <c r="C1239" s="1" t="s">
        <v>279</v>
      </c>
      <c r="D1239" s="1" t="str">
        <f>IF(C1239="", "", IFERROR(VLOOKUP(C1239, 作品一覧!A:B, 2, FALSE), "該当なし"))</f>
        <v>夢王国と眠れる100人の王子様</v>
      </c>
      <c r="E1239" s="1" t="str">
        <f ca="1">IFERROR(__xludf.DUMMYFUNCTION("""COMPUTED_VALUE"""),"リド")</f>
        <v>リド</v>
      </c>
      <c r="F1239" s="1" t="s">
        <v>2057</v>
      </c>
    </row>
    <row r="1240" spans="1:6" ht="13.2">
      <c r="A1240" s="1" t="str">
        <f t="array" aca="1" ref="A1240" ca="1">IF(B1240="", "", IFERROR(INDEX(声優一覧!A:A, MATCH(B1240, 声優一覧!B:B, 0)), "該当なし"))</f>
        <v>va_076</v>
      </c>
      <c r="B1240" s="1" t="str">
        <f ca="1">IFERROR(__xludf.DUMMYFUNCTION("""COMPUTED_VALUE"""),"小松昌平")</f>
        <v>小松昌平</v>
      </c>
      <c r="C1240" s="1" t="s">
        <v>279</v>
      </c>
      <c r="D1240" s="1" t="str">
        <f>IF(C1240="", "", IFERROR(VLOOKUP(C1240, 作品一覧!A:B, 2, FALSE), "該当なし"))</f>
        <v>夢王国と眠れる100人の王子様</v>
      </c>
      <c r="E1240" s="1" t="str">
        <f ca="1">IFERROR(__xludf.DUMMYFUNCTION("""COMPUTED_VALUE"""),"ルーク")</f>
        <v>ルーク</v>
      </c>
      <c r="F1240" s="1" t="s">
        <v>2058</v>
      </c>
    </row>
    <row r="1241" spans="1:6" ht="13.2">
      <c r="A1241" s="1" t="str">
        <f t="array" aca="1" ref="A1241" ca="1">IF(B1241="", "", IFERROR(INDEX(声優一覧!A:A, MATCH(B1241, 声優一覧!B:B, 0)), "該当なし"))</f>
        <v>va_058</v>
      </c>
      <c r="B1241" s="1" t="str">
        <f ca="1">IFERROR(__xludf.DUMMYFUNCTION("""COMPUTED_VALUE"""),"河西健吾")</f>
        <v>河西健吾</v>
      </c>
      <c r="C1241" s="1" t="s">
        <v>279</v>
      </c>
      <c r="D1241" s="1" t="str">
        <f>IF(C1241="", "", IFERROR(VLOOKUP(C1241, 作品一覧!A:B, 2, FALSE), "該当なし"))</f>
        <v>夢王国と眠れる100人の王子様</v>
      </c>
      <c r="E1241" s="1" t="str">
        <f ca="1">IFERROR(__xludf.DUMMYFUNCTION("""COMPUTED_VALUE"""),"ルグランジュ")</f>
        <v>ルグランジュ</v>
      </c>
      <c r="F1241" s="1" t="s">
        <v>2059</v>
      </c>
    </row>
    <row r="1242" spans="1:6" ht="13.2">
      <c r="A1242" s="1" t="str">
        <f t="array" aca="1" ref="A1242" ca="1">IF(B1242="", "", IFERROR(INDEX(声優一覧!A:A, MATCH(B1242, 声優一覧!B:B, 0)), "該当なし"))</f>
        <v>va_042</v>
      </c>
      <c r="B1242" s="1" t="str">
        <f ca="1">IFERROR(__xludf.DUMMYFUNCTION("""COMPUTED_VALUE"""),"岡本信彦")</f>
        <v>岡本信彦</v>
      </c>
      <c r="C1242" s="1" t="s">
        <v>279</v>
      </c>
      <c r="D1242" s="1" t="str">
        <f>IF(C1242="", "", IFERROR(VLOOKUP(C1242, 作品一覧!A:B, 2, FALSE), "該当なし"))</f>
        <v>夢王国と眠れる100人の王子様</v>
      </c>
      <c r="E1242" s="1" t="str">
        <f ca="1">IFERROR(__xludf.DUMMYFUNCTION("""COMPUTED_VALUE"""),"ルシアン")</f>
        <v>ルシアン</v>
      </c>
      <c r="F1242" s="1" t="s">
        <v>2060</v>
      </c>
    </row>
    <row r="1243" spans="1:6" ht="13.2">
      <c r="A1243" s="1" t="str">
        <f t="array" aca="1" ref="A1243" ca="1">IF(B1243="", "", IFERROR(INDEX(声優一覧!A:A, MATCH(B1243, 声優一覧!B:B, 0)), "該当なし"))</f>
        <v>va_006</v>
      </c>
      <c r="B1243" s="1" t="str">
        <f ca="1">IFERROR(__xludf.DUMMYFUNCTION("""COMPUTED_VALUE"""),"阿部敦")</f>
        <v>阿部敦</v>
      </c>
      <c r="C1243" s="1" t="s">
        <v>279</v>
      </c>
      <c r="D1243" s="1" t="str">
        <f>IF(C1243="", "", IFERROR(VLOOKUP(C1243, 作品一覧!A:B, 2, FALSE), "該当なし"))</f>
        <v>夢王国と眠れる100人の王子様</v>
      </c>
      <c r="E1243" s="1" t="str">
        <f ca="1">IFERROR(__xludf.DUMMYFUNCTION("""COMPUTED_VALUE"""),"ルーファス")</f>
        <v>ルーファス</v>
      </c>
      <c r="F1243" s="1" t="s">
        <v>2061</v>
      </c>
    </row>
    <row r="1244" spans="1:6" ht="13.2">
      <c r="A1244" s="1" t="str">
        <f t="array" aca="1" ref="A1244" ca="1">IF(B1244="", "", IFERROR(INDEX(声優一覧!A:A, MATCH(B1244, 声優一覧!B:B, 0)), "該当なし"))</f>
        <v>va_348</v>
      </c>
      <c r="B1244" s="1" t="str">
        <f ca="1">IFERROR(__xludf.DUMMYFUNCTION("""COMPUTED_VALUE"""),"山口正秀")</f>
        <v>山口正秀</v>
      </c>
      <c r="C1244" s="1" t="s">
        <v>279</v>
      </c>
      <c r="D1244" s="1" t="str">
        <f>IF(C1244="", "", IFERROR(VLOOKUP(C1244, 作品一覧!A:B, 2, FALSE), "該当なし"))</f>
        <v>夢王国と眠れる100人の王子様</v>
      </c>
      <c r="E1244" s="1" t="str">
        <f ca="1">IFERROR(__xludf.DUMMYFUNCTION("""COMPUTED_VALUE"""),"ルーフェン")</f>
        <v>ルーフェン</v>
      </c>
      <c r="F1244" s="1" t="s">
        <v>2062</v>
      </c>
    </row>
    <row r="1245" spans="1:6" ht="13.2">
      <c r="A1245" s="1" t="str">
        <f t="array" aca="1" ref="A1245" ca="1">IF(B1245="", "", IFERROR(INDEX(声優一覧!A:A, MATCH(B1245, 声優一覧!B:B, 0)), "該当なし"))</f>
        <v>va_169</v>
      </c>
      <c r="B1245" s="1" t="str">
        <f ca="1">IFERROR(__xludf.DUMMYFUNCTION("""COMPUTED_VALUE"""),"前野智昭")</f>
        <v>前野智昭</v>
      </c>
      <c r="C1245" s="1" t="s">
        <v>279</v>
      </c>
      <c r="D1245" s="1" t="str">
        <f>IF(C1245="", "", IFERROR(VLOOKUP(C1245, 作品一覧!A:B, 2, FALSE), "該当なし"))</f>
        <v>夢王国と眠れる100人の王子様</v>
      </c>
      <c r="E1245" s="1" t="str">
        <f ca="1">IFERROR(__xludf.DUMMYFUNCTION("""COMPUTED_VALUE"""),"ルベル")</f>
        <v>ルベル</v>
      </c>
      <c r="F1245" s="1" t="s">
        <v>2063</v>
      </c>
    </row>
    <row r="1246" spans="1:6" ht="13.2">
      <c r="A1246" s="1" t="str">
        <f t="array" aca="1" ref="A1246" ca="1">IF(B1246="", "", IFERROR(INDEX(声優一覧!A:A, MATCH(B1246, 声優一覧!B:B, 0)), "該当なし"))</f>
        <v>va_115</v>
      </c>
      <c r="B1246" s="1" t="str">
        <f ca="1">IFERROR(__xludf.DUMMYFUNCTION("""COMPUTED_VALUE"""),"谷山紀章")</f>
        <v>谷山紀章</v>
      </c>
      <c r="C1246" s="1" t="s">
        <v>279</v>
      </c>
      <c r="D1246" s="1" t="str">
        <f>IF(C1246="", "", IFERROR(VLOOKUP(C1246, 作品一覧!A:B, 2, FALSE), "該当なし"))</f>
        <v>夢王国と眠れる100人の王子様</v>
      </c>
      <c r="E1246" s="1" t="str">
        <f ca="1">IFERROR(__xludf.DUMMYFUNCTION("""COMPUTED_VALUE"""),"ルルス")</f>
        <v>ルルス</v>
      </c>
      <c r="F1246" s="1" t="s">
        <v>2064</v>
      </c>
    </row>
    <row r="1247" spans="1:6" ht="13.2">
      <c r="A1247" s="1" t="str">
        <f t="array" aca="1" ref="A1247" ca="1">IF(B1247="", "", IFERROR(INDEX(声優一覧!A:A, MATCH(B1247, 声優一覧!B:B, 0)), "該当なし"))</f>
        <v>va_137</v>
      </c>
      <c r="B1247" s="1" t="str">
        <f ca="1">IFERROR(__xludf.DUMMYFUNCTION("""COMPUTED_VALUE"""),"中村悠一")</f>
        <v>中村悠一</v>
      </c>
      <c r="C1247" s="1" t="s">
        <v>279</v>
      </c>
      <c r="D1247" s="1" t="str">
        <f>IF(C1247="", "", IFERROR(VLOOKUP(C1247, 作品一覧!A:B, 2, FALSE), "該当なし"))</f>
        <v>夢王国と眠れる100人の王子様</v>
      </c>
      <c r="E1247" s="1" t="str">
        <f ca="1">IFERROR(__xludf.DUMMYFUNCTION("""COMPUTED_VALUE"""),"レイ")</f>
        <v>レイ</v>
      </c>
      <c r="F1247" s="1" t="s">
        <v>2065</v>
      </c>
    </row>
    <row r="1248" spans="1:6" ht="13.2">
      <c r="A1248" s="1" t="str">
        <f t="array" aca="1" ref="A1248" ca="1">IF(B1248="", "", IFERROR(INDEX(声優一覧!A:A, MATCH(B1248, 声優一覧!B:B, 0)), "該当なし"))</f>
        <v>va_132</v>
      </c>
      <c r="B1248" s="1" t="str">
        <f ca="1">IFERROR(__xludf.DUMMYFUNCTION("""COMPUTED_VALUE"""),"鳥海浩輔")</f>
        <v>鳥海浩輔</v>
      </c>
      <c r="C1248" s="1" t="s">
        <v>279</v>
      </c>
      <c r="D1248" s="1" t="str">
        <f>IF(C1248="", "", IFERROR(VLOOKUP(C1248, 作品一覧!A:B, 2, FALSE), "該当なし"))</f>
        <v>夢王国と眠れる100人の王子様</v>
      </c>
      <c r="E1248" s="1" t="str">
        <f ca="1">IFERROR(__xludf.DUMMYFUNCTION("""COMPUTED_VALUE"""),"レイヴン")</f>
        <v>レイヴン</v>
      </c>
      <c r="F1248" s="1" t="s">
        <v>2066</v>
      </c>
    </row>
    <row r="1249" spans="1:6" ht="13.8">
      <c r="A1249" s="1" t="str">
        <f t="array" aca="1" ref="A1249" ca="1">IF(B1249="", "", IFERROR(INDEX(声優一覧!A:A, MATCH(B1249, 声優一覧!B:B, 0)), "該当なし"))</f>
        <v>va_155</v>
      </c>
      <c r="B1249" s="1" t="str">
        <f ca="1">IFERROR(__xludf.DUMMYFUNCTION("""COMPUTED_VALUE"""),"広瀬裕也")</f>
        <v>広瀬裕也</v>
      </c>
      <c r="C1249" s="1" t="s">
        <v>279</v>
      </c>
      <c r="D1249" s="1" t="str">
        <f>IF(C1249="", "", IFERROR(VLOOKUP(C1249, 作品一覧!A:B, 2, FALSE), "該当なし"))</f>
        <v>夢王国と眠れる100人の王子様</v>
      </c>
      <c r="E1249" s="1" t="str">
        <f ca="1">IFERROR(__xludf.DUMMYFUNCTION("""COMPUTED_VALUE"""),"レイス")</f>
        <v>レイス</v>
      </c>
      <c r="F1249" s="6" t="s">
        <v>2067</v>
      </c>
    </row>
    <row r="1250" spans="1:6" ht="13.8">
      <c r="A1250" s="1" t="str">
        <f t="array" aca="1" ref="A1250" ca="1">IF(B1250="", "", IFERROR(INDEX(声優一覧!A:A, MATCH(B1250, 声優一覧!B:B, 0)), "該当なし"))</f>
        <v>va_125</v>
      </c>
      <c r="B1250" s="1" t="str">
        <f ca="1">IFERROR(__xludf.DUMMYFUNCTION("""COMPUTED_VALUE"""),"寺島拓篤")</f>
        <v>寺島拓篤</v>
      </c>
      <c r="C1250" s="1" t="s">
        <v>279</v>
      </c>
      <c r="D1250" s="1" t="str">
        <f>IF(C1250="", "", IFERROR(VLOOKUP(C1250, 作品一覧!A:B, 2, FALSE), "該当なし"))</f>
        <v>夢王国と眠れる100人の王子様</v>
      </c>
      <c r="E1250" s="1" t="str">
        <f ca="1">IFERROR(__xludf.DUMMYFUNCTION("""COMPUTED_VALUE"""),"レオニー")</f>
        <v>レオニー</v>
      </c>
      <c r="F1250" s="6" t="s">
        <v>2068</v>
      </c>
    </row>
    <row r="1251" spans="1:6" ht="13.8">
      <c r="A1251" s="1" t="str">
        <f t="array" aca="1" ref="A1251" ca="1">IF(B1251="", "", IFERROR(INDEX(声優一覧!A:A, MATCH(B1251, 声優一覧!B:B, 0)), "該当なし"))</f>
        <v>va_164</v>
      </c>
      <c r="B1251" s="1" t="str">
        <f ca="1">IFERROR(__xludf.DUMMYFUNCTION("""COMPUTED_VALUE"""),"細谷佳正")</f>
        <v>細谷佳正</v>
      </c>
      <c r="C1251" s="1" t="s">
        <v>279</v>
      </c>
      <c r="D1251" s="1" t="str">
        <f>IF(C1251="", "", IFERROR(VLOOKUP(C1251, 作品一覧!A:B, 2, FALSE), "該当なし"))</f>
        <v>夢王国と眠れる100人の王子様</v>
      </c>
      <c r="E1251" s="1" t="str">
        <f ca="1">IFERROR(__xludf.DUMMYFUNCTION("""COMPUTED_VALUE"""),"レジェ")</f>
        <v>レジェ</v>
      </c>
      <c r="F1251" s="6" t="s">
        <v>2069</v>
      </c>
    </row>
    <row r="1252" spans="1:6" ht="13.8">
      <c r="A1252" s="1" t="str">
        <f t="array" aca="1" ref="A1252" ca="1">IF(B1252="", "", IFERROR(INDEX(声優一覧!A:A, MATCH(B1252, 声優一覧!B:B, 0)), "該当なし"))</f>
        <v>va_176</v>
      </c>
      <c r="B1252" s="1" t="str">
        <f ca="1">IFERROR(__xludf.DUMMYFUNCTION("""COMPUTED_VALUE"""),"三木眞一郎")</f>
        <v>三木眞一郎</v>
      </c>
      <c r="C1252" s="1" t="s">
        <v>279</v>
      </c>
      <c r="D1252" s="1" t="str">
        <f>IF(C1252="", "", IFERROR(VLOOKUP(C1252, 作品一覧!A:B, 2, FALSE), "該当なし"))</f>
        <v>夢王国と眠れる100人の王子様</v>
      </c>
      <c r="E1252" s="1" t="str">
        <f ca="1">IFERROR(__xludf.DUMMYFUNCTION("""COMPUTED_VALUE"""),"ロイエ")</f>
        <v>ロイエ</v>
      </c>
      <c r="F1252" s="6" t="s">
        <v>2070</v>
      </c>
    </row>
    <row r="1253" spans="1:6" ht="13.8">
      <c r="A1253" s="1" t="str">
        <f t="array" aca="1" ref="A1253" ca="1">IF(B1253="", "", IFERROR(INDEX(声優一覧!A:A, MATCH(B1253, 声優一覧!B:B, 0)), "該当なし"))</f>
        <v>va_269</v>
      </c>
      <c r="B1253" s="1" t="str">
        <f ca="1">IFERROR(__xludf.DUMMYFUNCTION("""COMPUTED_VALUE"""),"森田成一")</f>
        <v>森田成一</v>
      </c>
      <c r="C1253" s="1" t="s">
        <v>279</v>
      </c>
      <c r="D1253" s="1" t="str">
        <f>IF(C1253="", "", IFERROR(VLOOKUP(C1253, 作品一覧!A:B, 2, FALSE), "該当なし"))</f>
        <v>夢王国と眠れる100人の王子様</v>
      </c>
      <c r="E1253" s="1" t="str">
        <f ca="1">IFERROR(__xludf.DUMMYFUNCTION("""COMPUTED_VALUE"""),"ロッソ")</f>
        <v>ロッソ</v>
      </c>
      <c r="F1253" s="6" t="s">
        <v>2071</v>
      </c>
    </row>
    <row r="1254" spans="1:6" ht="13.2">
      <c r="A1254" s="1" t="str">
        <f t="array" aca="1" ref="A1254" ca="1">IF(B1254="", "", IFERROR(INDEX(声優一覧!A:A, MATCH(B1254, 声優一覧!B:B, 0)), "該当なし"))</f>
        <v>va_176</v>
      </c>
      <c r="B1254" s="1" t="str">
        <f ca="1">IFERROR(__xludf.DUMMYFUNCTION("""COMPUTED_VALUE"""),"三木眞一郎")</f>
        <v>三木眞一郎</v>
      </c>
      <c r="C1254" s="1" t="s">
        <v>205</v>
      </c>
      <c r="D1254" s="1" t="str">
        <f>IF(C1254="", "", IFERROR(VLOOKUP(C1254, 作品一覧!A:B, 2, FALSE), "該当なし"))</f>
        <v>薄桜鬼シリーズ</v>
      </c>
      <c r="E1254" s="1" t="str">
        <f ca="1">IFERROR(__xludf.DUMMYFUNCTION("""COMPUTED_VALUE"""),"土方歳三")</f>
        <v>土方歳三</v>
      </c>
      <c r="F1254" s="1" t="s">
        <v>2072</v>
      </c>
    </row>
    <row r="1255" spans="1:6" ht="13.2">
      <c r="A1255" s="1" t="str">
        <f t="array" aca="1" ref="A1255" ca="1">IF(B1255="", "", IFERROR(INDEX(声優一覧!A:A, MATCH(B1255, 声優一覧!B:B, 0)), "該当なし"))</f>
        <v>va_185</v>
      </c>
      <c r="B1255" s="1" t="str">
        <f ca="1">IFERROR(__xludf.DUMMYFUNCTION("""COMPUTED_VALUE"""),"森久保祥太郎")</f>
        <v>森久保祥太郎</v>
      </c>
      <c r="C1255" s="1" t="s">
        <v>205</v>
      </c>
      <c r="D1255" s="1" t="str">
        <f>IF(C1255="", "", IFERROR(VLOOKUP(C1255, 作品一覧!A:B, 2, FALSE), "該当なし"))</f>
        <v>薄桜鬼シリーズ</v>
      </c>
      <c r="E1255" s="1" t="str">
        <f ca="1">IFERROR(__xludf.DUMMYFUNCTION("""COMPUTED_VALUE"""),"沖田総司")</f>
        <v>沖田総司</v>
      </c>
      <c r="F1255" s="1" t="s">
        <v>2073</v>
      </c>
    </row>
    <row r="1256" spans="1:6" ht="13.2">
      <c r="A1256" s="1" t="str">
        <f t="array" aca="1" ref="A1256" ca="1">IF(B1256="", "", IFERROR(INDEX(声優一覧!A:A, MATCH(B1256, 声優一覧!B:B, 0)), "該当なし"))</f>
        <v>va_132</v>
      </c>
      <c r="B1256" s="1" t="str">
        <f ca="1">IFERROR(__xludf.DUMMYFUNCTION("""COMPUTED_VALUE"""),"鳥海浩輔")</f>
        <v>鳥海浩輔</v>
      </c>
      <c r="C1256" s="1" t="s">
        <v>205</v>
      </c>
      <c r="D1256" s="1" t="str">
        <f>IF(C1256="", "", IFERROR(VLOOKUP(C1256, 作品一覧!A:B, 2, FALSE), "該当なし"))</f>
        <v>薄桜鬼シリーズ</v>
      </c>
      <c r="E1256" s="1" t="str">
        <f ca="1">IFERROR(__xludf.DUMMYFUNCTION("""COMPUTED_VALUE"""),"斎藤一")</f>
        <v>斎藤一</v>
      </c>
      <c r="F1256" s="1" t="s">
        <v>2074</v>
      </c>
    </row>
    <row r="1257" spans="1:6" ht="13.2">
      <c r="A1257" s="1" t="str">
        <f t="array" aca="1" ref="A1257" ca="1">IF(B1257="", "", IFERROR(INDEX(声優一覧!A:A, MATCH(B1257, 声優一覧!B:B, 0)), "該当なし"))</f>
        <v>va_197</v>
      </c>
      <c r="B1257" s="1" t="str">
        <f ca="1">IFERROR(__xludf.DUMMYFUNCTION("""COMPUTED_VALUE"""),"吉野裕行")</f>
        <v>吉野裕行</v>
      </c>
      <c r="C1257" s="1" t="s">
        <v>205</v>
      </c>
      <c r="D1257" s="1" t="str">
        <f>IF(C1257="", "", IFERROR(VLOOKUP(C1257, 作品一覧!A:B, 2, FALSE), "該当なし"))</f>
        <v>薄桜鬼シリーズ</v>
      </c>
      <c r="E1257" s="1" t="str">
        <f ca="1">IFERROR(__xludf.DUMMYFUNCTION("""COMPUTED_VALUE"""),"藤堂平助")</f>
        <v>藤堂平助</v>
      </c>
      <c r="F1257" s="1" t="s">
        <v>2075</v>
      </c>
    </row>
    <row r="1258" spans="1:6" ht="13.2">
      <c r="A1258" s="1" t="str">
        <f t="array" aca="1" ref="A1258" ca="1">IF(B1258="", "", IFERROR(INDEX(声優一覧!A:A, MATCH(B1258, 声優一覧!B:B, 0)), "該当なし"))</f>
        <v>va_344</v>
      </c>
      <c r="B1258" s="1" t="str">
        <f ca="1">IFERROR(__xludf.DUMMYFUNCTION("""COMPUTED_VALUE"""),"遊佐浩二")</f>
        <v>遊佐浩二</v>
      </c>
      <c r="C1258" s="1" t="s">
        <v>205</v>
      </c>
      <c r="D1258" s="1" t="str">
        <f>IF(C1258="", "", IFERROR(VLOOKUP(C1258, 作品一覧!A:B, 2, FALSE), "該当なし"))</f>
        <v>薄桜鬼シリーズ</v>
      </c>
      <c r="E1258" s="1" t="str">
        <f ca="1">IFERROR(__xludf.DUMMYFUNCTION("""COMPUTED_VALUE"""),"原田左之助")</f>
        <v>原田左之助</v>
      </c>
      <c r="F1258" s="1" t="s">
        <v>2076</v>
      </c>
    </row>
    <row r="1259" spans="1:6" ht="13.2">
      <c r="A1259" s="1" t="str">
        <f t="array" aca="1" ref="A1259" ca="1">IF(B1259="", "", IFERROR(INDEX(声優一覧!A:A, MATCH(B1259, 声優一覧!B:B, 0)), "該当なし"))</f>
        <v>va_120</v>
      </c>
      <c r="B1259" s="1" t="str">
        <f ca="1">IFERROR(__xludf.DUMMYFUNCTION("""COMPUTED_VALUE"""),"津田健次郎")</f>
        <v>津田健次郎</v>
      </c>
      <c r="C1259" s="1" t="s">
        <v>205</v>
      </c>
      <c r="D1259" s="1" t="str">
        <f>IF(C1259="", "", IFERROR(VLOOKUP(C1259, 作品一覧!A:B, 2, FALSE), "該当なし"))</f>
        <v>薄桜鬼シリーズ</v>
      </c>
      <c r="E1259" s="1" t="str">
        <f ca="1">IFERROR(__xludf.DUMMYFUNCTION("""COMPUTED_VALUE"""),"風間千景")</f>
        <v>風間千景</v>
      </c>
      <c r="F1259" s="1" t="s">
        <v>2077</v>
      </c>
    </row>
    <row r="1260" spans="1:6" ht="13.2">
      <c r="A1260" s="1" t="str">
        <f t="array" aca="1" ref="A1260" ca="1">IF(B1260="", "", IFERROR(INDEX(声優一覧!A:A, MATCH(B1260, 声優一覧!B:B, 0)), "該当なし"))</f>
        <v>va_349</v>
      </c>
      <c r="B1260" s="1" t="str">
        <f ca="1">IFERROR(__xludf.DUMMYFUNCTION("""COMPUTED_VALUE"""),"坪井智浩")</f>
        <v>坪井智浩</v>
      </c>
      <c r="C1260" s="1" t="s">
        <v>205</v>
      </c>
      <c r="D1260" s="1" t="str">
        <f>IF(C1260="", "", IFERROR(VLOOKUP(C1260, 作品一覧!A:B, 2, FALSE), "該当なし"))</f>
        <v>薄桜鬼シリーズ</v>
      </c>
      <c r="E1260" s="1" t="str">
        <f ca="1">IFERROR(__xludf.DUMMYFUNCTION("""COMPUTED_VALUE"""),"永倉新八")</f>
        <v>永倉新八</v>
      </c>
      <c r="F1260" s="1" t="s">
        <v>2078</v>
      </c>
    </row>
    <row r="1261" spans="1:6" ht="13.2">
      <c r="A1261" s="1" t="str">
        <f t="array" aca="1" ref="A1261" ca="1">IF(B1261="", "", IFERROR(INDEX(声優一覧!A:A, MATCH(B1261, 声優一覧!B:B, 0)), "該当なし"))</f>
        <v>va_350</v>
      </c>
      <c r="B1261" s="1" t="str">
        <f ca="1">IFERROR(__xludf.DUMMYFUNCTION("""COMPUTED_VALUE"""),"飛田展男")</f>
        <v>飛田展男</v>
      </c>
      <c r="C1261" s="1" t="s">
        <v>205</v>
      </c>
      <c r="D1261" s="1" t="str">
        <f>IF(C1261="", "", IFERROR(VLOOKUP(C1261, 作品一覧!A:B, 2, FALSE), "該当なし"))</f>
        <v>薄桜鬼シリーズ</v>
      </c>
      <c r="E1261" s="1" t="str">
        <f ca="1">IFERROR(__xludf.DUMMYFUNCTION("""COMPUTED_VALUE"""),"山南敬助")</f>
        <v>山南敬助</v>
      </c>
      <c r="F1261" s="1" t="s">
        <v>2079</v>
      </c>
    </row>
    <row r="1262" spans="1:6" ht="13.2">
      <c r="A1262" s="1" t="str">
        <f t="array" aca="1" ref="A1262" ca="1">IF(B1262="", "", IFERROR(INDEX(声優一覧!A:A, MATCH(B1262, 声優一覧!B:B, 0)), "該当なし"))</f>
        <v>va_351</v>
      </c>
      <c r="B1262" s="1" t="str">
        <f ca="1">IFERROR(__xludf.DUMMYFUNCTION("""COMPUTED_VALUE"""),"鈴木貴征")</f>
        <v>鈴木貴征</v>
      </c>
      <c r="C1262" s="1" t="s">
        <v>205</v>
      </c>
      <c r="D1262" s="1" t="str">
        <f>IF(C1262="", "", IFERROR(VLOOKUP(C1262, 作品一覧!A:B, 2, FALSE), "該当なし"))</f>
        <v>薄桜鬼シリーズ</v>
      </c>
      <c r="E1262" s="1" t="str">
        <f ca="1">IFERROR(__xludf.DUMMYFUNCTION("""COMPUTED_VALUE"""),"山崎烝")</f>
        <v>山崎烝</v>
      </c>
      <c r="F1262" s="1" t="s">
        <v>2080</v>
      </c>
    </row>
    <row r="1263" spans="1:6" ht="13.2">
      <c r="A1263" s="1" t="str">
        <f t="array" aca="1" ref="A1263" ca="1">IF(B1263="", "", IFERROR(INDEX(声優一覧!A:A, MATCH(B1263, 声優一覧!B:B, 0)), "該当なし"))</f>
        <v>va_236</v>
      </c>
      <c r="B1263" s="1" t="str">
        <f ca="1">IFERROR(__xludf.DUMMYFUNCTION("""COMPUTED_VALUE"""),"宮野真守")</f>
        <v>宮野真守</v>
      </c>
      <c r="C1263" s="1" t="s">
        <v>205</v>
      </c>
      <c r="D1263" s="1" t="str">
        <f>IF(C1263="", "", IFERROR(VLOOKUP(C1263, 作品一覧!A:B, 2, FALSE), "該当なし"))</f>
        <v>薄桜鬼シリーズ</v>
      </c>
      <c r="E1263" s="1" t="str">
        <f ca="1">IFERROR(__xludf.DUMMYFUNCTION("""COMPUTED_VALUE"""),"伊庭八郎")</f>
        <v>伊庭八郎</v>
      </c>
      <c r="F1263" s="1" t="s">
        <v>2081</v>
      </c>
    </row>
    <row r="1264" spans="1:6" ht="13.2">
      <c r="A1264" s="1" t="str">
        <f t="array" aca="1" ref="A1264" ca="1">IF(B1264="", "", IFERROR(INDEX(声優一覧!A:A, MATCH(B1264, 声優一覧!B:B, 0)), "該当なし"))</f>
        <v>va_051</v>
      </c>
      <c r="B1264" s="1" t="str">
        <f ca="1">IFERROR(__xludf.DUMMYFUNCTION("""COMPUTED_VALUE"""),"梶裕貴")</f>
        <v>梶裕貴</v>
      </c>
      <c r="C1264" s="1" t="s">
        <v>205</v>
      </c>
      <c r="D1264" s="1" t="str">
        <f>IF(C1264="", "", IFERROR(VLOOKUP(C1264, 作品一覧!A:B, 2, FALSE), "該当なし"))</f>
        <v>薄桜鬼シリーズ</v>
      </c>
      <c r="E1264" s="1" t="str">
        <f ca="1">IFERROR(__xludf.DUMMYFUNCTION("""COMPUTED_VALUE"""),"相馬主計")</f>
        <v>相馬主計</v>
      </c>
      <c r="F1264" s="1" t="s">
        <v>2082</v>
      </c>
    </row>
    <row r="1265" spans="1:6" ht="13.2">
      <c r="A1265" s="1" t="str">
        <f t="array" aca="1" ref="A1265" ca="1">IF(B1265="", "", IFERROR(INDEX(声優一覧!A:A, MATCH(B1265, 声優一覧!B:B, 0)), "該当なし"))</f>
        <v>va_238</v>
      </c>
      <c r="B1265" s="1" t="str">
        <f ca="1">IFERROR(__xludf.DUMMYFUNCTION("""COMPUTED_VALUE"""),"小野大輔")</f>
        <v>小野大輔</v>
      </c>
      <c r="C1265" s="1" t="s">
        <v>205</v>
      </c>
      <c r="D1265" s="1" t="str">
        <f>IF(C1265="", "", IFERROR(VLOOKUP(C1265, 作品一覧!A:B, 2, FALSE), "該当なし"))</f>
        <v>薄桜鬼シリーズ</v>
      </c>
      <c r="E1265" s="1" t="str">
        <f ca="1">IFERROR(__xludf.DUMMYFUNCTION("""COMPUTED_VALUE"""),"坂本龍馬")</f>
        <v>坂本龍馬</v>
      </c>
      <c r="F1265" s="1" t="s">
        <v>2083</v>
      </c>
    </row>
    <row r="1266" spans="1:6" ht="13.8">
      <c r="A1266" s="1" t="str">
        <f t="array" aca="1" ref="A1266" ca="1">IF(B1266="", "", IFERROR(INDEX(声優一覧!A:A, MATCH(B1266, 声優一覧!B:B, 0)), "該当なし"))</f>
        <v>va_035</v>
      </c>
      <c r="B1266" s="1" t="str">
        <f ca="1">IFERROR(__xludf.DUMMYFUNCTION("""COMPUTED_VALUE"""),"江口拓也")</f>
        <v>江口拓也</v>
      </c>
      <c r="C1266" s="1" t="s">
        <v>110</v>
      </c>
      <c r="D1266" s="1" t="str">
        <f>IF(C1266="", "", IFERROR(VLOOKUP(C1266, 作品一覧!A:B, 2, FALSE), "該当なし"))</f>
        <v>サンリオ男子</v>
      </c>
      <c r="E1266" s="1" t="str">
        <f ca="1">IFERROR(__xludf.DUMMYFUNCTION("""COMPUTED_VALUE"""),"長谷川康太")</f>
        <v>長谷川康太</v>
      </c>
      <c r="F1266" s="12" t="s">
        <v>2084</v>
      </c>
    </row>
    <row r="1267" spans="1:6" ht="13.8">
      <c r="A1267" s="1" t="str">
        <f t="array" aca="1" ref="A1267" ca="1">IF(B1267="", "", IFERROR(INDEX(声優一覧!A:A, MATCH(B1267, 声優一覧!B:B, 0)), "該当なし"))</f>
        <v>va_039</v>
      </c>
      <c r="B1267" s="1" t="str">
        <f ca="1">IFERROR(__xludf.DUMMYFUNCTION("""COMPUTED_VALUE"""),"大須賀純")</f>
        <v>大須賀純</v>
      </c>
      <c r="C1267" s="1" t="s">
        <v>110</v>
      </c>
      <c r="D1267" s="1" t="str">
        <f>IF(C1267="", "", IFERROR(VLOOKUP(C1267, 作品一覧!A:B, 2, FALSE), "該当なし"))</f>
        <v>サンリオ男子</v>
      </c>
      <c r="E1267" s="1" t="str">
        <f ca="1">IFERROR(__xludf.DUMMYFUNCTION("""COMPUTED_VALUE"""),"吉野俊介")</f>
        <v>吉野俊介</v>
      </c>
      <c r="F1267" s="12" t="s">
        <v>2085</v>
      </c>
    </row>
    <row r="1268" spans="1:6" ht="13.8">
      <c r="A1268" s="1" t="str">
        <f t="array" aca="1" ref="A1268" ca="1">IF(B1268="", "", IFERROR(INDEX(声優一覧!A:A, MATCH(B1268, 声優一覧!B:B, 0)), "該当なし"))</f>
        <v>va_241</v>
      </c>
      <c r="B1268" s="1" t="str">
        <f ca="1">IFERROR(__xludf.DUMMYFUNCTION("""COMPUTED_VALUE"""),"花倉桔道")</f>
        <v>花倉桔道</v>
      </c>
      <c r="C1268" s="1" t="s">
        <v>110</v>
      </c>
      <c r="D1268" s="1" t="str">
        <f>IF(C1268="", "", IFERROR(VLOOKUP(C1268, 作品一覧!A:B, 2, FALSE), "該当なし"))</f>
        <v>サンリオ男子</v>
      </c>
      <c r="E1268" s="1" t="str">
        <f ca="1">IFERROR(__xludf.DUMMYFUNCTION("""COMPUTED_VALUE"""),"西宮諒")</f>
        <v>西宮諒</v>
      </c>
      <c r="F1268" s="10" t="s">
        <v>2086</v>
      </c>
    </row>
    <row r="1269" spans="1:6" ht="13.8">
      <c r="A1269" s="1" t="str">
        <f t="array" aca="1" ref="A1269" ca="1">IF(B1269="", "", IFERROR(INDEX(声優一覧!A:A, MATCH(B1269, 声優一覧!B:B, 0)), "該当なし"))</f>
        <v>va_083</v>
      </c>
      <c r="B1269" s="1" t="str">
        <f ca="1">IFERROR(__xludf.DUMMYFUNCTION("""COMPUTED_VALUE"""),"斉藤壮馬")</f>
        <v>斉藤壮馬</v>
      </c>
      <c r="C1269" s="1" t="s">
        <v>110</v>
      </c>
      <c r="D1269" s="1" t="str">
        <f>IF(C1269="", "", IFERROR(VLOOKUP(C1269, 作品一覧!A:B, 2, FALSE), "該当なし"))</f>
        <v>サンリオ男子</v>
      </c>
      <c r="E1269" s="1" t="str">
        <f ca="1">IFERROR(__xludf.DUMMYFUNCTION("""COMPUTED_VALUE"""),"水野祐")</f>
        <v>水野祐</v>
      </c>
      <c r="F1269" s="12" t="s">
        <v>2087</v>
      </c>
    </row>
    <row r="1270" spans="1:6" ht="13.8">
      <c r="A1270" s="1" t="str">
        <f t="array" aca="1" ref="A1270" ca="1">IF(B1270="", "", IFERROR(INDEX(声優一覧!A:A, MATCH(B1270, 声優一覧!B:B, 0)), "該当なし"))</f>
        <v>va_030</v>
      </c>
      <c r="B1270" s="1" t="str">
        <f ca="1">IFERROR(__xludf.DUMMYFUNCTION("""COMPUTED_VALUE"""),"内田雄馬")</f>
        <v>内田雄馬</v>
      </c>
      <c r="C1270" s="1" t="s">
        <v>110</v>
      </c>
      <c r="D1270" s="1" t="str">
        <f>IF(C1270="", "", IFERROR(VLOOKUP(C1270, 作品一覧!A:B, 2, FALSE), "該当なし"))</f>
        <v>サンリオ男子</v>
      </c>
      <c r="E1270" s="1" t="str">
        <f ca="1">IFERROR(__xludf.DUMMYFUNCTION("""COMPUTED_VALUE"""),"源誠一郎")</f>
        <v>源誠一郎</v>
      </c>
      <c r="F1270" s="12" t="s">
        <v>2088</v>
      </c>
    </row>
    <row r="1271" spans="1:6" ht="13.8">
      <c r="A1271" s="1" t="str">
        <f t="array" aca="1" ref="A1271" ca="1">IF(B1271="", "", IFERROR(INDEX(声優一覧!A:A, MATCH(B1271, 声優一覧!B:B, 0)), "該当なし"))</f>
        <v>va_195</v>
      </c>
      <c r="B1271" s="1" t="str">
        <f ca="1">IFERROR(__xludf.DUMMYFUNCTION("""COMPUTED_VALUE"""),"山本和臣")</f>
        <v>山本和臣</v>
      </c>
      <c r="C1271" s="1" t="s">
        <v>223</v>
      </c>
      <c r="D1271" s="1" t="str">
        <f>IF(C1271="", "", IFERROR(VLOOKUP(C1271, 作品一覧!A:B, 2, FALSE), "該当なし"))</f>
        <v>美男高校地球防衛部シリーズ</v>
      </c>
      <c r="E1271" s="1" t="str">
        <f ca="1">IFERROR(__xludf.DUMMYFUNCTION("""COMPUTED_VALUE"""),"箱根有基")</f>
        <v>箱根有基</v>
      </c>
      <c r="F1271" s="12" t="s">
        <v>2089</v>
      </c>
    </row>
    <row r="1272" spans="1:6" ht="13.8">
      <c r="A1272" s="1" t="str">
        <f t="array" aca="1" ref="A1272" ca="1">IF(B1272="", "", IFERROR(INDEX(声優一覧!A:A, MATCH(B1272, 声優一覧!B:B, 0)), "該当なし"))</f>
        <v>va_033</v>
      </c>
      <c r="B1272" s="1" t="str">
        <f ca="1">IFERROR(__xludf.DUMMYFUNCTION("""COMPUTED_VALUE"""),"梅原裕一郎")</f>
        <v>梅原裕一郎</v>
      </c>
      <c r="C1272" s="1" t="s">
        <v>223</v>
      </c>
      <c r="D1272" s="1" t="str">
        <f>IF(C1272="", "", IFERROR(VLOOKUP(C1272, 作品一覧!A:B, 2, FALSE), "該当なし"))</f>
        <v>美男高校地球防衛部シリーズ</v>
      </c>
      <c r="E1272" s="1" t="str">
        <f ca="1">IFERROR(__xludf.DUMMYFUNCTION("""COMPUTED_VALUE"""),"由布院煙")</f>
        <v>由布院煙</v>
      </c>
      <c r="F1272" s="12" t="s">
        <v>2090</v>
      </c>
    </row>
    <row r="1273" spans="1:6" ht="13.8">
      <c r="A1273" s="1" t="str">
        <f t="array" aca="1" ref="A1273" ca="1">IF(B1273="", "", IFERROR(INDEX(声優一覧!A:A, MATCH(B1273, 声優一覧!B:B, 0)), "該当なし"))</f>
        <v>va_141</v>
      </c>
      <c r="B1273" s="1" t="str">
        <f ca="1">IFERROR(__xludf.DUMMYFUNCTION("""COMPUTED_VALUE"""),"西山宏太朗")</f>
        <v>西山宏太朗</v>
      </c>
      <c r="C1273" s="1" t="s">
        <v>223</v>
      </c>
      <c r="D1273" s="1" t="str">
        <f>IF(C1273="", "", IFERROR(VLOOKUP(C1273, 作品一覧!A:B, 2, FALSE), "該当なし"))</f>
        <v>美男高校地球防衛部シリーズ</v>
      </c>
      <c r="E1273" s="1" t="str">
        <f ca="1">IFERROR(__xludf.DUMMYFUNCTION("""COMPUTED_VALUE"""),"鬼怒川熱史")</f>
        <v>鬼怒川熱史</v>
      </c>
      <c r="F1273" s="12" t="s">
        <v>2091</v>
      </c>
    </row>
    <row r="1274" spans="1:6" ht="13.8">
      <c r="A1274" s="1" t="str">
        <f t="array" aca="1" ref="A1274" ca="1">IF(B1274="", "", IFERROR(INDEX(声優一覧!A:A, MATCH(B1274, 声優一覧!B:B, 0)), "該当なし"))</f>
        <v>va_096</v>
      </c>
      <c r="B1274" s="1" t="str">
        <f ca="1">IFERROR(__xludf.DUMMYFUNCTION("""COMPUTED_VALUE"""),"白井悠介")</f>
        <v>白井悠介</v>
      </c>
      <c r="C1274" s="1" t="s">
        <v>223</v>
      </c>
      <c r="D1274" s="1" t="str">
        <f>IF(C1274="", "", IFERROR(VLOOKUP(C1274, 作品一覧!A:B, 2, FALSE), "該当なし"))</f>
        <v>美男高校地球防衛部シリーズ</v>
      </c>
      <c r="E1274" s="1" t="str">
        <f ca="1">IFERROR(__xludf.DUMMYFUNCTION("""COMPUTED_VALUE"""),"鳴子硫黄")</f>
        <v>鳴子硫黄</v>
      </c>
      <c r="F1274" s="12" t="s">
        <v>2092</v>
      </c>
    </row>
    <row r="1275" spans="1:6" ht="13.8">
      <c r="A1275" s="1" t="str">
        <f t="array" aca="1" ref="A1275" ca="1">IF(B1275="", "", IFERROR(INDEX(声優一覧!A:A, MATCH(B1275, 声優一覧!B:B, 0)), "該当なし"))</f>
        <v>va_172</v>
      </c>
      <c r="B1275" s="1" t="str">
        <f ca="1">IFERROR(__xludf.DUMMYFUNCTION("""COMPUTED_VALUE"""),"増田俊樹")</f>
        <v>増田俊樹</v>
      </c>
      <c r="C1275" s="1" t="s">
        <v>223</v>
      </c>
      <c r="D1275" s="1" t="str">
        <f>IF(C1275="", "", IFERROR(VLOOKUP(C1275, 作品一覧!A:B, 2, FALSE), "該当なし"))</f>
        <v>美男高校地球防衛部シリーズ</v>
      </c>
      <c r="E1275" s="1" t="str">
        <f ca="1">IFERROR(__xludf.DUMMYFUNCTION("""COMPUTED_VALUE"""),"蔵王立")</f>
        <v>蔵王立</v>
      </c>
      <c r="F1275" s="12" t="s">
        <v>2093</v>
      </c>
    </row>
    <row r="1276" spans="1:6" ht="13.8">
      <c r="A1276" s="1" t="str">
        <f t="array" aca="1" ref="A1276" ca="1">IF(B1276="", "", IFERROR(INDEX(声優一覧!A:A, MATCH(B1276, 声優一覧!B:B, 0)), "該当なし"))</f>
        <v>va_097</v>
      </c>
      <c r="B1276" s="1" t="str">
        <f ca="1">IFERROR(__xludf.DUMMYFUNCTION("""COMPUTED_VALUE"""),"杉田智和")</f>
        <v>杉田智和</v>
      </c>
      <c r="C1276" s="1" t="s">
        <v>223</v>
      </c>
      <c r="D1276" s="1" t="str">
        <f>IF(C1276="", "", IFERROR(VLOOKUP(C1276, 作品一覧!A:B, 2, FALSE), "該当なし"))</f>
        <v>美男高校地球防衛部シリーズ</v>
      </c>
      <c r="E1276" s="1" t="str">
        <f ca="1">IFERROR(__xludf.DUMMYFUNCTION("""COMPUTED_VALUE"""),"箱根強羅")</f>
        <v>箱根強羅</v>
      </c>
      <c r="F1276" s="12" t="s">
        <v>2094</v>
      </c>
    </row>
    <row r="1277" spans="1:6" ht="13.8">
      <c r="A1277" s="1" t="str">
        <f t="array" aca="1" ref="A1277" ca="1">IF(B1277="", "", IFERROR(INDEX(声優一覧!A:A, MATCH(B1277, 声優一覧!B:B, 0)), "該当なし"))</f>
        <v>va_298</v>
      </c>
      <c r="B1277" s="1" t="str">
        <f ca="1">IFERROR(__xludf.DUMMYFUNCTION("""COMPUTED_VALUE"""),"神谷浩史")</f>
        <v>神谷浩史</v>
      </c>
      <c r="C1277" s="1" t="s">
        <v>223</v>
      </c>
      <c r="D1277" s="1" t="str">
        <f>IF(C1277="", "", IFERROR(VLOOKUP(C1277, 作品一覧!A:B, 2, FALSE), "該当なし"))</f>
        <v>美男高校地球防衛部シリーズ</v>
      </c>
      <c r="E1277" s="1" t="str">
        <f ca="1">IFERROR(__xludf.DUMMYFUNCTION("""COMPUTED_VALUE"""),"草津錦史郎")</f>
        <v>草津錦史郎</v>
      </c>
      <c r="F1277" s="12" t="s">
        <v>2095</v>
      </c>
    </row>
    <row r="1278" spans="1:6" ht="13.8">
      <c r="A1278" s="1" t="str">
        <f t="array" aca="1" ref="A1278" ca="1">IF(B1278="", "", IFERROR(INDEX(声優一覧!A:A, MATCH(B1278, 声優一覧!B:B, 0)), "該当なし"))</f>
        <v>va_160</v>
      </c>
      <c r="B1278" s="1" t="str">
        <f ca="1">IFERROR(__xludf.DUMMYFUNCTION("""COMPUTED_VALUE"""),"福山潤")</f>
        <v>福山潤</v>
      </c>
      <c r="C1278" s="1" t="s">
        <v>223</v>
      </c>
      <c r="D1278" s="1" t="str">
        <f>IF(C1278="", "", IFERROR(VLOOKUP(C1278, 作品一覧!A:B, 2, FALSE), "該当なし"))</f>
        <v>美男高校地球防衛部シリーズ</v>
      </c>
      <c r="E1278" s="1" t="str">
        <f ca="1">IFERROR(__xludf.DUMMYFUNCTION("""COMPUTED_VALUE"""),"有馬燻")</f>
        <v>有馬燻</v>
      </c>
      <c r="F1278" s="12" t="s">
        <v>2096</v>
      </c>
    </row>
    <row r="1279" spans="1:6" ht="13.8">
      <c r="A1279" s="1" t="str">
        <f t="array" aca="1" ref="A1279" ca="1">IF(B1279="", "", IFERROR(INDEX(声優一覧!A:A, MATCH(B1279, 声優一覧!B:B, 0)), "該当なし"))</f>
        <v>va_125</v>
      </c>
      <c r="B1279" s="1" t="str">
        <f ca="1">IFERROR(__xludf.DUMMYFUNCTION("""COMPUTED_VALUE"""),"寺島拓篤")</f>
        <v>寺島拓篤</v>
      </c>
      <c r="C1279" s="1" t="s">
        <v>223</v>
      </c>
      <c r="D1279" s="1" t="str">
        <f>IF(C1279="", "", IFERROR(VLOOKUP(C1279, 作品一覧!A:B, 2, FALSE), "該当なし"))</f>
        <v>美男高校地球防衛部シリーズ</v>
      </c>
      <c r="E1279" s="1" t="str">
        <f ca="1">IFERROR(__xludf.DUMMYFUNCTION("""COMPUTED_VALUE"""),"下呂阿古哉")</f>
        <v>下呂阿古哉</v>
      </c>
      <c r="F1279" s="12" t="s">
        <v>2097</v>
      </c>
    </row>
    <row r="1280" spans="1:6" ht="13.8">
      <c r="A1280" s="1" t="str">
        <f t="array" aca="1" ref="A1280" ca="1">IF(B1280="", "", IFERROR(INDEX(声優一覧!A:A, MATCH(B1280, 声優一覧!B:B, 0)), "該当なし"))</f>
        <v>va_082</v>
      </c>
      <c r="B1280" s="1" t="str">
        <f ca="1">IFERROR(__xludf.DUMMYFUNCTION("""COMPUTED_VALUE"""),"河本啓佑")</f>
        <v>河本啓佑</v>
      </c>
      <c r="C1280" s="1" t="s">
        <v>223</v>
      </c>
      <c r="D1280" s="1" t="str">
        <f>IF(C1280="", "", IFERROR(VLOOKUP(C1280, 作品一覧!A:B, 2, FALSE), "該当なし"))</f>
        <v>美男高校地球防衛部シリーズ</v>
      </c>
      <c r="E1280" s="1" t="str">
        <f ca="1">IFERROR(__xludf.DUMMYFUNCTION("""COMPUTED_VALUE"""),"別府月彦")</f>
        <v>別府月彦</v>
      </c>
      <c r="F1280" s="12" t="s">
        <v>2098</v>
      </c>
    </row>
    <row r="1281" spans="1:6" ht="13.8">
      <c r="A1281" s="1" t="str">
        <f t="array" aca="1" ref="A1281" ca="1">IF(B1281="", "", IFERROR(INDEX(声優一覧!A:A, MATCH(B1281, 声優一覧!B:B, 0)), "該当なし"))</f>
        <v>va_352</v>
      </c>
      <c r="B1281" s="1" t="str">
        <f ca="1">IFERROR(__xludf.DUMMYFUNCTION("""COMPUTED_VALUE"""),"村上喜紀")</f>
        <v>村上喜紀</v>
      </c>
      <c r="C1281" s="1" t="s">
        <v>223</v>
      </c>
      <c r="D1281" s="1" t="str">
        <f>IF(C1281="", "", IFERROR(VLOOKUP(C1281, 作品一覧!A:B, 2, FALSE), "該当なし"))</f>
        <v>美男高校地球防衛部シリーズ</v>
      </c>
      <c r="E1281" s="1" t="str">
        <f ca="1">IFERROR(__xludf.DUMMYFUNCTION("""COMPUTED_VALUE"""),"別府日彦")</f>
        <v>別府日彦</v>
      </c>
      <c r="F1281" s="12" t="s">
        <v>2099</v>
      </c>
    </row>
    <row r="1282" spans="1:6" ht="13.2">
      <c r="A1282" s="1" t="str">
        <f t="array" aca="1" ref="A1282" ca="1">IF(B1282="", "", IFERROR(INDEX(声優一覧!A:A, MATCH(B1282, 声優一覧!B:B, 0)), "該当なし"))</f>
        <v>va_037</v>
      </c>
      <c r="B1282" s="1" t="str">
        <f ca="1">IFERROR(__xludf.DUMMYFUNCTION("""COMPUTED_VALUE"""),"逢坂良太")</f>
        <v>逢坂良太</v>
      </c>
      <c r="C1282" s="1" t="s">
        <v>281</v>
      </c>
      <c r="D1282" s="1" t="str">
        <f>IF(C1282="", "", IFERROR(VLOOKUP(C1282, 作品一覧!A:B, 2, FALSE), "該当なし"))</f>
        <v>夢色キャスト</v>
      </c>
      <c r="E1282" s="1" t="str">
        <f ca="1">IFERROR(__xludf.DUMMYFUNCTION("""COMPUTED_VALUE"""),"朝日奈響也")</f>
        <v>朝日奈響也</v>
      </c>
      <c r="F1282" s="1" t="s">
        <v>2100</v>
      </c>
    </row>
    <row r="1283" spans="1:6" ht="13.2">
      <c r="A1283" s="1" t="str">
        <f t="array" aca="1" ref="A1283" ca="1">IF(B1283="", "", IFERROR(INDEX(声優一覧!A:A, MATCH(B1283, 声優一覧!B:B, 0)), "該当なし"))</f>
        <v>va_150</v>
      </c>
      <c r="B1283" s="1" t="str">
        <f ca="1">IFERROR(__xludf.DUMMYFUNCTION("""COMPUTED_VALUE"""),"花江夏樹")</f>
        <v>花江夏樹</v>
      </c>
      <c r="C1283" s="1" t="s">
        <v>281</v>
      </c>
      <c r="D1283" s="1" t="str">
        <f>IF(C1283="", "", IFERROR(VLOOKUP(C1283, 作品一覧!A:B, 2, FALSE), "該当なし"))</f>
        <v>夢色キャスト</v>
      </c>
      <c r="E1283" s="1" t="str">
        <f ca="1">IFERROR(__xludf.DUMMYFUNCTION("""COMPUTED_VALUE"""),"藤村伊織")</f>
        <v>藤村伊織</v>
      </c>
      <c r="F1283" s="1" t="s">
        <v>2101</v>
      </c>
    </row>
    <row r="1284" spans="1:6" ht="13.2">
      <c r="A1284" s="1" t="str">
        <f t="array" aca="1" ref="A1284" ca="1">IF(B1284="", "", IFERROR(INDEX(声優一覧!A:A, MATCH(B1284, 声優一覧!B:B, 0)), "該当なし"))</f>
        <v>va_131</v>
      </c>
      <c r="B1284" s="1" t="str">
        <f ca="1">IFERROR(__xludf.DUMMYFUNCTION("""COMPUTED_VALUE"""),"豊永利行")</f>
        <v>豊永利行</v>
      </c>
      <c r="C1284" s="1" t="s">
        <v>281</v>
      </c>
      <c r="D1284" s="1" t="str">
        <f>IF(C1284="", "", IFERROR(VLOOKUP(C1284, 作品一覧!A:B, 2, FALSE), "該当なし"))</f>
        <v>夢色キャスト</v>
      </c>
      <c r="E1284" s="1" t="str">
        <f ca="1">IFERROR(__xludf.DUMMYFUNCTION("""COMPUTED_VALUE"""),"橘蒼星")</f>
        <v>橘蒼星</v>
      </c>
      <c r="F1284" s="1" t="s">
        <v>2102</v>
      </c>
    </row>
    <row r="1285" spans="1:6" ht="13.2">
      <c r="A1285" s="1" t="str">
        <f t="array" aca="1" ref="A1285" ca="1">IF(B1285="", "", IFERROR(INDEX(声優一覧!A:A, MATCH(B1285, 声優一覧!B:B, 0)), "該当なし"))</f>
        <v>va_028</v>
      </c>
      <c r="B1285" s="1" t="str">
        <f ca="1">IFERROR(__xludf.DUMMYFUNCTION("""COMPUTED_VALUE"""),"上村祐翔")</f>
        <v>上村祐翔</v>
      </c>
      <c r="C1285" s="1" t="s">
        <v>281</v>
      </c>
      <c r="D1285" s="1" t="str">
        <f>IF(C1285="", "", IFERROR(VLOOKUP(C1285, 作品一覧!A:B, 2, FALSE), "該当なし"))</f>
        <v>夢色キャスト</v>
      </c>
      <c r="E1285" s="1" t="str">
        <f ca="1">IFERROR(__xludf.DUMMYFUNCTION("""COMPUTED_VALUE"""),"桜木陽向")</f>
        <v>桜木陽向</v>
      </c>
      <c r="F1285" s="1" t="s">
        <v>2103</v>
      </c>
    </row>
    <row r="1286" spans="1:6" ht="13.2">
      <c r="A1286" s="1" t="str">
        <f t="array" aca="1" ref="A1286" ca="1">IF(B1286="", "", IFERROR(INDEX(声優一覧!A:A, MATCH(B1286, 声優一覧!B:B, 0)), "該当なし"))</f>
        <v>va_218</v>
      </c>
      <c r="B1286" s="1" t="str">
        <f ca="1">IFERROR(__xludf.DUMMYFUNCTION("""COMPUTED_VALUE"""),"林勇")</f>
        <v>林勇</v>
      </c>
      <c r="C1286" s="1" t="s">
        <v>281</v>
      </c>
      <c r="D1286" s="1" t="str">
        <f>IF(C1286="", "", IFERROR(VLOOKUP(C1286, 作品一覧!A:B, 2, FALSE), "該当なし"))</f>
        <v>夢色キャスト</v>
      </c>
      <c r="E1286" s="1" t="str">
        <f ca="1">IFERROR(__xludf.DUMMYFUNCTION("""COMPUTED_VALUE"""),"新堂カイト")</f>
        <v>新堂カイト</v>
      </c>
      <c r="F1286" s="1" t="s">
        <v>2104</v>
      </c>
    </row>
    <row r="1287" spans="1:6" ht="13.2">
      <c r="A1287" s="1" t="str">
        <f t="array" aca="1" ref="A1287" ca="1">IF(B1287="", "", IFERROR(INDEX(声優一覧!A:A, MATCH(B1287, 声優一覧!B:B, 0)), "該当なし"))</f>
        <v>va_046</v>
      </c>
      <c r="B1287" s="1" t="str">
        <f ca="1">IFERROR(__xludf.DUMMYFUNCTION("""COMPUTED_VALUE"""),"小野友樹")</f>
        <v>小野友樹</v>
      </c>
      <c r="C1287" s="1" t="s">
        <v>281</v>
      </c>
      <c r="D1287" s="1" t="str">
        <f>IF(C1287="", "", IFERROR(VLOOKUP(C1287, 作品一覧!A:B, 2, FALSE), "該当なし"))</f>
        <v>夢色キャスト</v>
      </c>
      <c r="E1287" s="1" t="str">
        <f ca="1">IFERROR(__xludf.DUMMYFUNCTION("""COMPUTED_VALUE"""),"雨宮仁")</f>
        <v>雨宮仁</v>
      </c>
      <c r="F1287" s="1" t="s">
        <v>2105</v>
      </c>
    </row>
    <row r="1288" spans="1:6" ht="13.2">
      <c r="A1288" s="1" t="str">
        <f t="array" aca="1" ref="A1288" ca="1">IF(B1288="", "", IFERROR(INDEX(声優一覧!A:A, MATCH(B1288, 声優一覧!B:B, 0)), "該当なし"))</f>
        <v>va_147</v>
      </c>
      <c r="B1288" s="1" t="str">
        <f ca="1">IFERROR(__xludf.DUMMYFUNCTION("""COMPUTED_VALUE"""),"畠中祐")</f>
        <v>畠中祐</v>
      </c>
      <c r="C1288" s="1" t="s">
        <v>281</v>
      </c>
      <c r="D1288" s="1" t="str">
        <f>IF(C1288="", "", IFERROR(VLOOKUP(C1288, 作品一覧!A:B, 2, FALSE), "該当なし"))</f>
        <v>夢色キャスト</v>
      </c>
      <c r="E1288" s="1" t="str">
        <f ca="1">IFERROR(__xludf.DUMMYFUNCTION("""COMPUTED_VALUE"""),"城ヶ崎昴")</f>
        <v>城ヶ崎昴</v>
      </c>
      <c r="F1288" s="1" t="s">
        <v>2106</v>
      </c>
    </row>
    <row r="1289" spans="1:6" ht="13.2">
      <c r="A1289" s="1" t="str">
        <f t="array" aca="1" ref="A1289" ca="1">IF(B1289="", "", IFERROR(INDEX(声優一覧!A:A, MATCH(B1289, 声優一覧!B:B, 0)), "該当なし"))</f>
        <v>va_161</v>
      </c>
      <c r="B1289" s="1" t="str">
        <f ca="1">IFERROR(__xludf.DUMMYFUNCTION("""COMPUTED_VALUE"""),"古川慎")</f>
        <v>古川慎</v>
      </c>
      <c r="C1289" s="1" t="s">
        <v>281</v>
      </c>
      <c r="D1289" s="1" t="str">
        <f>IF(C1289="", "", IFERROR(VLOOKUP(C1289, 作品一覧!A:B, 2, FALSE), "該当なし"))</f>
        <v>夢色キャスト</v>
      </c>
      <c r="E1289" s="1" t="str">
        <f ca="1">IFERROR(__xludf.DUMMYFUNCTION("""COMPUTED_VALUE"""),"黒木崚介")</f>
        <v>黒木崚介</v>
      </c>
      <c r="F1289" s="1" t="s">
        <v>2107</v>
      </c>
    </row>
    <row r="1290" spans="1:6" ht="13.2">
      <c r="A1290" s="1" t="str">
        <f t="array" aca="1" ref="A1290" ca="1">IF(B1290="", "", IFERROR(INDEX(声優一覧!A:A, MATCH(B1290, 声優一覧!B:B, 0)), "該当なし"))</f>
        <v>va_083</v>
      </c>
      <c r="B1290" s="1" t="str">
        <f ca="1">IFERROR(__xludf.DUMMYFUNCTION("""COMPUTED_VALUE"""),"斉藤壮馬")</f>
        <v>斉藤壮馬</v>
      </c>
      <c r="C1290" s="1" t="s">
        <v>281</v>
      </c>
      <c r="D1290" s="1" t="str">
        <f>IF(C1290="", "", IFERROR(VLOOKUP(C1290, 作品一覧!A:B, 2, FALSE), "該当なし"))</f>
        <v>夢色キャスト</v>
      </c>
      <c r="E1290" s="1" t="str">
        <f ca="1">IFERROR(__xludf.DUMMYFUNCTION("""COMPUTED_VALUE"""),"灰羽拓真")</f>
        <v>灰羽拓真</v>
      </c>
      <c r="F1290" s="1" t="s">
        <v>2108</v>
      </c>
    </row>
    <row r="1291" spans="1:6" ht="13.2">
      <c r="A1291" s="1" t="str">
        <f t="array" aca="1" ref="A1291" ca="1">IF(B1291="", "", IFERROR(INDEX(声優一覧!A:A, MATCH(B1291, 声優一覧!B:B, 0)), "該当なし"))</f>
        <v>va_227</v>
      </c>
      <c r="B1291" s="1" t="str">
        <f ca="1">IFERROR(__xludf.DUMMYFUNCTION("""COMPUTED_VALUE"""),"鈴村健一")</f>
        <v>鈴村健一</v>
      </c>
      <c r="C1291" s="1" t="s">
        <v>281</v>
      </c>
      <c r="D1291" s="1" t="str">
        <f>IF(C1291="", "", IFERROR(VLOOKUP(C1291, 作品一覧!A:B, 2, FALSE), "該当なし"))</f>
        <v>夢色キャスト</v>
      </c>
      <c r="E1291" s="1" t="str">
        <f ca="1">IFERROR(__xludf.DUMMYFUNCTION("""COMPUTED_VALUE"""),"藍沢湧太郎")</f>
        <v>藍沢湧太郎</v>
      </c>
      <c r="F1291" s="1" t="s">
        <v>2109</v>
      </c>
    </row>
    <row r="1292" spans="1:6" ht="13.2">
      <c r="A1292" s="1" t="str">
        <f t="array" aca="1" ref="A1292" ca="1">IF(B1292="", "", IFERROR(INDEX(声優一覧!A:A, MATCH(B1292, 声優一覧!B:B, 0)), "該当なし"))</f>
        <v>va_193</v>
      </c>
      <c r="B1292" s="1" t="str">
        <f ca="1">IFERROR(__xludf.DUMMYFUNCTION("""COMPUTED_VALUE"""),"山下大輝")</f>
        <v>山下大輝</v>
      </c>
      <c r="C1292" s="1" t="s">
        <v>281</v>
      </c>
      <c r="D1292" s="1" t="str">
        <f>IF(C1292="", "", IFERROR(VLOOKUP(C1292, 作品一覧!A:B, 2, FALSE), "該当なし"))</f>
        <v>夢色キャスト</v>
      </c>
      <c r="E1292" s="1" t="str">
        <f ca="1">IFERROR(__xludf.DUMMYFUNCTION("""COMPUTED_VALUE"""),"白椋れい")</f>
        <v>白椋れい</v>
      </c>
      <c r="F1292" s="1" t="s">
        <v>2110</v>
      </c>
    </row>
    <row r="1293" spans="1:6" ht="13.2">
      <c r="A1293" s="1" t="str">
        <f t="array" aca="1" ref="A1293" ca="1">IF(B1293="", "", IFERROR(INDEX(声優一覧!A:A, MATCH(B1293, 声優一覧!B:B, 0)), "該当なし"))</f>
        <v>va_157</v>
      </c>
      <c r="B1293" s="1" t="str">
        <f ca="1">IFERROR(__xludf.DUMMYFUNCTION("""COMPUTED_VALUE"""),"平川大輔")</f>
        <v>平川大輔</v>
      </c>
      <c r="C1293" s="1" t="s">
        <v>281</v>
      </c>
      <c r="D1293" s="1" t="str">
        <f>IF(C1293="", "", IFERROR(VLOOKUP(C1293, 作品一覧!A:B, 2, FALSE), "該当なし"))</f>
        <v>夢色キャスト</v>
      </c>
      <c r="E1293" s="1" t="str">
        <f ca="1">IFERROR(__xludf.DUMMYFUNCTION("""COMPUTED_VALUE"""),"朱道岳")</f>
        <v>朱道岳</v>
      </c>
      <c r="F1293" s="1" t="s">
        <v>2111</v>
      </c>
    </row>
    <row r="1294" spans="1:6" ht="13.2">
      <c r="A1294" s="1" t="str">
        <f t="array" aca="1" ref="A1294" ca="1">IF(B1294="", "", IFERROR(INDEX(声優一覧!A:A, MATCH(B1294, 声優一覧!B:B, 0)), "該当なし"))</f>
        <v>va_069</v>
      </c>
      <c r="B1294" s="1" t="str">
        <f ca="1">IFERROR(__xludf.DUMMYFUNCTION("""COMPUTED_VALUE"""),"熊谷健太郎")</f>
        <v>熊谷健太郎</v>
      </c>
      <c r="C1294" s="1" t="s">
        <v>156</v>
      </c>
      <c r="D1294" s="1" t="str">
        <f>IF(C1294="", "", IFERROR(VLOOKUP(C1294, 作品一覧!A:B, 2, FALSE), "該当なし"))</f>
        <v>千銃士R</v>
      </c>
      <c r="E1294" s="1" t="str">
        <f ca="1">IFERROR(__xludf.DUMMYFUNCTION("""COMPUTED_VALUE"""),"マークス")</f>
        <v>マークス</v>
      </c>
      <c r="F1294" s="1" t="s">
        <v>2112</v>
      </c>
    </row>
    <row r="1295" spans="1:6" ht="13.2">
      <c r="A1295" s="1" t="str">
        <f t="array" aca="1" ref="A1295" ca="1">IF(B1295="", "", IFERROR(INDEX(声優一覧!A:A, MATCH(B1295, 声優一覧!B:B, 0)), "該当なし"))</f>
        <v>va_155</v>
      </c>
      <c r="B1295" s="1" t="str">
        <f ca="1">IFERROR(__xludf.DUMMYFUNCTION("""COMPUTED_VALUE"""),"広瀬裕也")</f>
        <v>広瀬裕也</v>
      </c>
      <c r="C1295" s="1" t="s">
        <v>156</v>
      </c>
      <c r="D1295" s="1" t="str">
        <f>IF(C1295="", "", IFERROR(VLOOKUP(C1295, 作品一覧!A:B, 2, FALSE), "該当なし"))</f>
        <v>千銃士R</v>
      </c>
      <c r="E1295" s="1" t="str">
        <f ca="1">IFERROR(__xludf.DUMMYFUNCTION("""COMPUTED_VALUE"""),"ライク・ツー")</f>
        <v>ライク・ツー</v>
      </c>
      <c r="F1295" s="1" t="s">
        <v>2113</v>
      </c>
    </row>
    <row r="1296" spans="1:6" ht="13.2">
      <c r="A1296" s="1" t="str">
        <f t="array" aca="1" ref="A1296" ca="1">IF(B1296="", "", IFERROR(INDEX(声優一覧!A:A, MATCH(B1296, 声優一覧!B:B, 0)), "該当なし"))</f>
        <v>va_188</v>
      </c>
      <c r="B1296" s="1" t="str">
        <f ca="1">IFERROR(__xludf.DUMMYFUNCTION("""COMPUTED_VALUE"""),"八代拓")</f>
        <v>八代拓</v>
      </c>
      <c r="C1296" s="1" t="s">
        <v>156</v>
      </c>
      <c r="D1296" s="1" t="str">
        <f>IF(C1296="", "", IFERROR(VLOOKUP(C1296, 作品一覧!A:B, 2, FALSE), "該当なし"))</f>
        <v>千銃士R</v>
      </c>
      <c r="E1296" s="1" t="str">
        <f ca="1">IFERROR(__xludf.DUMMYFUNCTION("""COMPUTED_VALUE"""),"ジョージ")</f>
        <v>ジョージ</v>
      </c>
      <c r="F1296" s="1" t="s">
        <v>2114</v>
      </c>
    </row>
    <row r="1297" spans="1:6" ht="13.2">
      <c r="A1297" s="1" t="str">
        <f t="array" aca="1" ref="A1297" ca="1">IF(B1297="", "", IFERROR(INDEX(声優一覧!A:A, MATCH(B1297, 声優一覧!B:B, 0)), "該当なし"))</f>
        <v>va_353</v>
      </c>
      <c r="B1297" s="1" t="str">
        <f ca="1">IFERROR(__xludf.DUMMYFUNCTION("""COMPUTED_VALUE"""),"鈴木勝吾")</f>
        <v>鈴木勝吾</v>
      </c>
      <c r="C1297" s="1" t="s">
        <v>156</v>
      </c>
      <c r="D1297" s="1" t="str">
        <f>IF(C1297="", "", IFERROR(VLOOKUP(C1297, 作品一覧!A:B, 2, FALSE), "該当なし"))</f>
        <v>千銃士R</v>
      </c>
      <c r="E1297" s="1" t="str">
        <f ca="1">IFERROR(__xludf.DUMMYFUNCTION("""COMPUTED_VALUE"""),"エンフィールド")</f>
        <v>エンフィールド</v>
      </c>
      <c r="F1297" s="1" t="s">
        <v>2115</v>
      </c>
    </row>
    <row r="1298" spans="1:6" ht="13.2">
      <c r="A1298" s="1" t="str">
        <f t="array" aca="1" ref="A1298" ca="1">IF(B1298="", "", IFERROR(INDEX(声優一覧!A:A, MATCH(B1298, 声優一覧!B:B, 0)), "該当なし"))</f>
        <v>va_048</v>
      </c>
      <c r="B1298" s="1" t="str">
        <f ca="1">IFERROR(__xludf.DUMMYFUNCTION("""COMPUTED_VALUE"""),"柿原徹也")</f>
        <v>柿原徹也</v>
      </c>
      <c r="C1298" s="1" t="s">
        <v>156</v>
      </c>
      <c r="D1298" s="1" t="str">
        <f>IF(C1298="", "", IFERROR(VLOOKUP(C1298, 作品一覧!A:B, 2, FALSE), "該当なし"))</f>
        <v>千銃士R</v>
      </c>
      <c r="E1298" s="1" t="str">
        <f ca="1">IFERROR(__xludf.DUMMYFUNCTION("""COMPUTED_VALUE"""),"スナイダー")</f>
        <v>スナイダー</v>
      </c>
      <c r="F1298" s="1" t="s">
        <v>2116</v>
      </c>
    </row>
    <row r="1299" spans="1:6" ht="13.2">
      <c r="A1299" s="1" t="str">
        <f t="array" aca="1" ref="A1299" ca="1">IF(B1299="", "", IFERROR(INDEX(声優一覧!A:A, MATCH(B1299, 声優一覧!B:B, 0)), "該当なし"))</f>
        <v>va_051</v>
      </c>
      <c r="B1299" s="1" t="str">
        <f ca="1">IFERROR(__xludf.DUMMYFUNCTION("""COMPUTED_VALUE"""),"梶裕貴")</f>
        <v>梶裕貴</v>
      </c>
      <c r="C1299" s="1" t="s">
        <v>156</v>
      </c>
      <c r="D1299" s="1" t="str">
        <f>IF(C1299="", "", IFERROR(VLOOKUP(C1299, 作品一覧!A:B, 2, FALSE), "該当なし"))</f>
        <v>千銃士R</v>
      </c>
      <c r="E1299" s="1" t="str">
        <f ca="1">IFERROR(__xludf.DUMMYFUNCTION("""COMPUTED_VALUE"""),"ケンタッキー")</f>
        <v>ケンタッキー</v>
      </c>
      <c r="F1299" s="1" t="s">
        <v>2117</v>
      </c>
    </row>
    <row r="1300" spans="1:6" ht="13.2">
      <c r="A1300" s="1" t="str">
        <f t="array" aca="1" ref="A1300" ca="1">IF(B1300="", "", IFERROR(INDEX(声優一覧!A:A, MATCH(B1300, 声優一覧!B:B, 0)), "該当なし"))</f>
        <v>va_019</v>
      </c>
      <c r="B1300" s="1" t="str">
        <f ca="1">IFERROR(__xludf.DUMMYFUNCTION("""COMPUTED_VALUE"""),"伊東健人")</f>
        <v>伊東健人</v>
      </c>
      <c r="C1300" s="1" t="s">
        <v>156</v>
      </c>
      <c r="D1300" s="1" t="str">
        <f>IF(C1300="", "", IFERROR(VLOOKUP(C1300, 作品一覧!A:B, 2, FALSE), "該当なし"))</f>
        <v>千銃士R</v>
      </c>
      <c r="E1300" s="1" t="str">
        <f ca="1">IFERROR(__xludf.DUMMYFUNCTION("""COMPUTED_VALUE"""),"ペンシルヴァニア")</f>
        <v>ペンシルヴァニア</v>
      </c>
      <c r="F1300" s="1" t="s">
        <v>2118</v>
      </c>
    </row>
    <row r="1301" spans="1:6" ht="13.2">
      <c r="A1301" s="1" t="str">
        <f t="array" aca="1" ref="A1301" ca="1">IF(B1301="", "", IFERROR(INDEX(声優一覧!A:A, MATCH(B1301, 声優一覧!B:B, 0)), "該当なし"))</f>
        <v>va_009</v>
      </c>
      <c r="B1301" s="1" t="str">
        <f ca="1">IFERROR(__xludf.DUMMYFUNCTION("""COMPUTED_VALUE"""),"蒼井翔太")</f>
        <v>蒼井翔太</v>
      </c>
      <c r="C1301" s="1" t="s">
        <v>156</v>
      </c>
      <c r="D1301" s="1" t="str">
        <f>IF(C1301="", "", IFERROR(VLOOKUP(C1301, 作品一覧!A:B, 2, FALSE), "該当なし"))</f>
        <v>千銃士R</v>
      </c>
      <c r="E1301" s="1" t="str">
        <f ca="1">IFERROR(__xludf.DUMMYFUNCTION("""COMPUTED_VALUE"""),"スプリングフィールド")</f>
        <v>スプリングフィールド</v>
      </c>
      <c r="F1301" s="1" t="s">
        <v>2119</v>
      </c>
    </row>
    <row r="1302" spans="1:6" ht="13.2">
      <c r="A1302" s="1" t="str">
        <f t="array" aca="1" ref="A1302" ca="1">IF(B1302="", "", IFERROR(INDEX(声優一覧!A:A, MATCH(B1302, 声優一覧!B:B, 0)), "該当なし"))</f>
        <v>va_114</v>
      </c>
      <c r="B1302" s="1" t="str">
        <f ca="1">IFERROR(__xludf.DUMMYFUNCTION("""COMPUTED_VALUE"""),"立花慎之介")</f>
        <v>立花慎之介</v>
      </c>
      <c r="C1302" s="1" t="s">
        <v>156</v>
      </c>
      <c r="D1302" s="1" t="str">
        <f>IF(C1302="", "", IFERROR(VLOOKUP(C1302, 作品一覧!A:B, 2, FALSE), "該当なし"))</f>
        <v>千銃士R</v>
      </c>
      <c r="E1302" s="1" t="str">
        <f ca="1">IFERROR(__xludf.DUMMYFUNCTION("""COMPUTED_VALUE"""),"シャルルヴィル")</f>
        <v>シャルルヴィル</v>
      </c>
      <c r="F1302" s="1" t="s">
        <v>2120</v>
      </c>
    </row>
    <row r="1303" spans="1:6" ht="13.2">
      <c r="A1303" s="1" t="str">
        <f t="array" aca="1" ref="A1303" ca="1">IF(B1303="", "", IFERROR(INDEX(声優一覧!A:A, MATCH(B1303, 声優一覧!B:B, 0)), "該当なし"))</f>
        <v>va_035</v>
      </c>
      <c r="B1303" s="1" t="str">
        <f ca="1">IFERROR(__xludf.DUMMYFUNCTION("""COMPUTED_VALUE"""),"江口拓也")</f>
        <v>江口拓也</v>
      </c>
      <c r="C1303" s="1" t="s">
        <v>156</v>
      </c>
      <c r="D1303" s="1" t="str">
        <f>IF(C1303="", "", IFERROR(VLOOKUP(C1303, 作品一覧!A:B, 2, FALSE), "該当なし"))</f>
        <v>千銃士R</v>
      </c>
      <c r="E1303" s="1" t="str">
        <f ca="1">IFERROR(__xludf.DUMMYFUNCTION("""COMPUTED_VALUE"""),"シャスポー")</f>
        <v>シャスポー</v>
      </c>
      <c r="F1303" s="1" t="s">
        <v>2121</v>
      </c>
    </row>
    <row r="1304" spans="1:6" ht="13.2">
      <c r="A1304" s="1" t="str">
        <f t="array" aca="1" ref="A1304" ca="1">IF(B1304="", "", IFERROR(INDEX(声優一覧!A:A, MATCH(B1304, 声優一覧!B:B, 0)), "該当なし"))</f>
        <v>va_125</v>
      </c>
      <c r="B1304" s="1" t="str">
        <f ca="1">IFERROR(__xludf.DUMMYFUNCTION("""COMPUTED_VALUE"""),"寺島拓篤")</f>
        <v>寺島拓篤</v>
      </c>
      <c r="C1304" s="1" t="s">
        <v>156</v>
      </c>
      <c r="D1304" s="1" t="str">
        <f>IF(C1304="", "", IFERROR(VLOOKUP(C1304, 作品一覧!A:B, 2, FALSE), "該当なし"))</f>
        <v>千銃士R</v>
      </c>
      <c r="E1304" s="1" t="str">
        <f ca="1">IFERROR(__xludf.DUMMYFUNCTION("""COMPUTED_VALUE"""),"グラース")</f>
        <v>グラース</v>
      </c>
      <c r="F1304" s="1" t="s">
        <v>2122</v>
      </c>
    </row>
    <row r="1305" spans="1:6" ht="13.2">
      <c r="A1305" s="1" t="str">
        <f t="array" aca="1" ref="A1305" ca="1">IF(B1305="", "", IFERROR(INDEX(声優一覧!A:A, MATCH(B1305, 声優一覧!B:B, 0)), "該当なし"))</f>
        <v>va_111</v>
      </c>
      <c r="B1305" s="1" t="str">
        <f ca="1">IFERROR(__xludf.DUMMYFUNCTION("""COMPUTED_VALUE"""),"高橋広樹")</f>
        <v>高橋広樹</v>
      </c>
      <c r="C1305" s="1" t="s">
        <v>156</v>
      </c>
      <c r="D1305" s="1" t="str">
        <f>IF(C1305="", "", IFERROR(VLOOKUP(C1305, 作品一覧!A:B, 2, FALSE), "該当なし"))</f>
        <v>千銃士R</v>
      </c>
      <c r="E1305" s="1" t="str">
        <f ca="1">IFERROR(__xludf.DUMMYFUNCTION("""COMPUTED_VALUE"""),"タバティエール")</f>
        <v>タバティエール</v>
      </c>
      <c r="F1305" s="1" t="s">
        <v>2123</v>
      </c>
    </row>
    <row r="1306" spans="1:6" ht="13.2">
      <c r="A1306" s="1" t="str">
        <f t="array" aca="1" ref="A1306" ca="1">IF(B1306="", "", IFERROR(INDEX(声優一覧!A:A, MATCH(B1306, 声優一覧!B:B, 0)), "該当なし"))</f>
        <v>va_090</v>
      </c>
      <c r="B1306" s="1" t="str">
        <f ca="1">IFERROR(__xludf.DUMMYFUNCTION("""COMPUTED_VALUE"""),"佐藤拓也")</f>
        <v>佐藤拓也</v>
      </c>
      <c r="C1306" s="1" t="s">
        <v>156</v>
      </c>
      <c r="D1306" s="1" t="str">
        <f>IF(C1306="", "", IFERROR(VLOOKUP(C1306, 作品一覧!A:B, 2, FALSE), "該当なし"))</f>
        <v>千銃士R</v>
      </c>
      <c r="E1306" s="1" t="str">
        <f ca="1">IFERROR(__xludf.DUMMYFUNCTION("""COMPUTED_VALUE"""),"ドライゼ")</f>
        <v>ドライゼ</v>
      </c>
      <c r="F1306" s="1" t="s">
        <v>2124</v>
      </c>
    </row>
    <row r="1307" spans="1:6" ht="13.2">
      <c r="A1307" s="1" t="str">
        <f t="array" aca="1" ref="A1307" ca="1">IF(B1307="", "", IFERROR(INDEX(声優一覧!A:A, MATCH(B1307, 声優一覧!B:B, 0)), "該当なし"))</f>
        <v>va_102</v>
      </c>
      <c r="B1307" s="1" t="str">
        <f ca="1">IFERROR(__xludf.DUMMYFUNCTION("""COMPUTED_VALUE"""),"諏訪部順一")</f>
        <v>諏訪部順一</v>
      </c>
      <c r="C1307" s="1" t="s">
        <v>156</v>
      </c>
      <c r="D1307" s="1" t="str">
        <f>IF(C1307="", "", IFERROR(VLOOKUP(C1307, 作品一覧!A:B, 2, FALSE), "該当なし"))</f>
        <v>千銃士R</v>
      </c>
      <c r="E1307" s="1" t="str">
        <f ca="1">IFERROR(__xludf.DUMMYFUNCTION("""COMPUTED_VALUE"""),"エルメ")</f>
        <v>エルメ</v>
      </c>
      <c r="F1307" s="1" t="s">
        <v>2125</v>
      </c>
    </row>
    <row r="1308" spans="1:6" ht="13.2">
      <c r="A1308" s="1" t="str">
        <f t="array" aca="1" ref="A1308" ca="1">IF(B1308="", "", IFERROR(INDEX(声優一覧!A:A, MATCH(B1308, 声優一覧!B:B, 0)), "該当なし"))</f>
        <v>va_050</v>
      </c>
      <c r="B1308" s="1" t="str">
        <f ca="1">IFERROR(__xludf.DUMMYFUNCTION("""COMPUTED_VALUE"""),"笠間淳")</f>
        <v>笠間淳</v>
      </c>
      <c r="C1308" s="1" t="s">
        <v>156</v>
      </c>
      <c r="D1308" s="1" t="str">
        <f>IF(C1308="", "", IFERROR(VLOOKUP(C1308, 作品一覧!A:B, 2, FALSE), "該当なし"))</f>
        <v>千銃士R</v>
      </c>
      <c r="E1308" s="1" t="str">
        <f ca="1">IFERROR(__xludf.DUMMYFUNCTION("""COMPUTED_VALUE"""),"ジーグブルート")</f>
        <v>ジーグブルート</v>
      </c>
      <c r="F1308" s="1" t="s">
        <v>2126</v>
      </c>
    </row>
    <row r="1309" spans="1:6" ht="13.2">
      <c r="A1309" s="1" t="str">
        <f t="array" aca="1" ref="A1309" ca="1">IF(B1309="", "", IFERROR(INDEX(声優一覧!A:A, MATCH(B1309, 声優一覧!B:B, 0)), "該当なし"))</f>
        <v>va_354</v>
      </c>
      <c r="B1309" s="1" t="str">
        <f ca="1">IFERROR(__xludf.DUMMYFUNCTION("""COMPUTED_VALUE"""),"真殿光昭")</f>
        <v>真殿光昭</v>
      </c>
      <c r="C1309" s="1" t="s">
        <v>156</v>
      </c>
      <c r="D1309" s="1" t="str">
        <f>IF(C1309="", "", IFERROR(VLOOKUP(C1309, 作品一覧!A:B, 2, FALSE), "該当なし"))</f>
        <v>千銃士R</v>
      </c>
      <c r="E1309" s="1" t="str">
        <f ca="1">IFERROR(__xludf.DUMMYFUNCTION("""COMPUTED_VALUE"""),"ゴースト")</f>
        <v>ゴースト</v>
      </c>
      <c r="F1309" s="1" t="s">
        <v>2127</v>
      </c>
    </row>
    <row r="1310" spans="1:6" ht="13.2">
      <c r="A1310" s="1" t="str">
        <f t="array" aca="1" ref="A1310" ca="1">IF(B1310="", "", IFERROR(INDEX(声優一覧!A:A, MATCH(B1310, 声優一覧!B:B, 0)), "該当なし"))</f>
        <v>va_116</v>
      </c>
      <c r="B1310" s="1" t="str">
        <f ca="1">IFERROR(__xludf.DUMMYFUNCTION("""COMPUTED_VALUE"""),"田所陽向")</f>
        <v>田所陽向</v>
      </c>
      <c r="C1310" s="1" t="s">
        <v>156</v>
      </c>
      <c r="D1310" s="1" t="str">
        <f>IF(C1310="", "", IFERROR(VLOOKUP(C1310, 作品一覧!A:B, 2, FALSE), "該当なし"))</f>
        <v>千銃士R</v>
      </c>
      <c r="E1310" s="1" t="str">
        <f ca="1">IFERROR(__xludf.DUMMYFUNCTION("""COMPUTED_VALUE"""),"十手")</f>
        <v>十手</v>
      </c>
      <c r="F1310" s="1" t="s">
        <v>2128</v>
      </c>
    </row>
    <row r="1311" spans="1:6" ht="13.2">
      <c r="A1311" s="1" t="str">
        <f t="array" aca="1" ref="A1311" ca="1">IF(B1311="", "", IFERROR(INDEX(声優一覧!A:A, MATCH(B1311, 声優一覧!B:B, 0)), "該当なし"))</f>
        <v>va_237</v>
      </c>
      <c r="B1311" s="1" t="str">
        <f ca="1">IFERROR(__xludf.DUMMYFUNCTION("""COMPUTED_VALUE"""),"鈴木達央")</f>
        <v>鈴木達央</v>
      </c>
      <c r="C1311" s="1" t="s">
        <v>156</v>
      </c>
      <c r="D1311" s="1" t="str">
        <f>IF(C1311="", "", IFERROR(VLOOKUP(C1311, 作品一覧!A:B, 2, FALSE), "該当なし"))</f>
        <v>千銃士R</v>
      </c>
      <c r="E1311" s="1" t="str">
        <f ca="1">IFERROR(__xludf.DUMMYFUNCTION("""COMPUTED_VALUE"""),"キセル")</f>
        <v>キセル</v>
      </c>
      <c r="F1311" s="1" t="s">
        <v>2129</v>
      </c>
    </row>
    <row r="1312" spans="1:6" ht="13.2">
      <c r="A1312" s="1" t="str">
        <f t="array" aca="1" ref="A1312" ca="1">IF(B1312="", "", IFERROR(INDEX(声優一覧!A:A, MATCH(B1312, 声優一覧!B:B, 0)), "該当なし"))</f>
        <v>va_158</v>
      </c>
      <c r="B1312" s="1" t="str">
        <f ca="1">IFERROR(__xludf.DUMMYFUNCTION("""COMPUTED_VALUE"""),"深町寿成")</f>
        <v>深町寿成</v>
      </c>
      <c r="C1312" s="1" t="s">
        <v>156</v>
      </c>
      <c r="D1312" s="1" t="str">
        <f>IF(C1312="", "", IFERROR(VLOOKUP(C1312, 作品一覧!A:B, 2, FALSE), "該当なし"))</f>
        <v>千銃士R</v>
      </c>
      <c r="E1312" s="1" t="str">
        <f ca="1">IFERROR(__xludf.DUMMYFUNCTION("""COMPUTED_VALUE"""),"邑田")</f>
        <v>邑田</v>
      </c>
      <c r="F1312" s="1" t="s">
        <v>2130</v>
      </c>
    </row>
    <row r="1313" spans="1:6" ht="13.2">
      <c r="A1313" s="1" t="str">
        <f t="array" aca="1" ref="A1313" ca="1">IF(B1313="", "", IFERROR(INDEX(声優一覧!A:A, MATCH(B1313, 声優一覧!B:B, 0)), "該当なし"))</f>
        <v>va_314</v>
      </c>
      <c r="B1313" s="1" t="str">
        <f ca="1">IFERROR(__xludf.DUMMYFUNCTION("""COMPUTED_VALUE"""),"植田圭輔")</f>
        <v>植田圭輔</v>
      </c>
      <c r="C1313" s="1" t="s">
        <v>156</v>
      </c>
      <c r="D1313" s="1" t="str">
        <f>IF(C1313="", "", IFERROR(VLOOKUP(C1313, 作品一覧!A:B, 2, FALSE), "該当なし"))</f>
        <v>千銃士R</v>
      </c>
      <c r="E1313" s="1" t="str">
        <f ca="1">IFERROR(__xludf.DUMMYFUNCTION("""COMPUTED_VALUE"""),"在坂")</f>
        <v>在坂</v>
      </c>
      <c r="F1313" s="1" t="s">
        <v>2131</v>
      </c>
    </row>
    <row r="1314" spans="1:6" ht="13.2">
      <c r="A1314" s="1" t="str">
        <f t="array" aca="1" ref="A1314" ca="1">IF(B1314="", "", IFERROR(INDEX(声優一覧!A:A, MATCH(B1314, 声優一覧!B:B, 0)), "該当なし"))</f>
        <v>va_227</v>
      </c>
      <c r="B1314" s="1" t="str">
        <f ca="1">IFERROR(__xludf.DUMMYFUNCTION("""COMPUTED_VALUE"""),"鈴村健一")</f>
        <v>鈴村健一</v>
      </c>
      <c r="C1314" s="1" t="s">
        <v>156</v>
      </c>
      <c r="D1314" s="1" t="str">
        <f>IF(C1314="", "", IFERROR(VLOOKUP(C1314, 作品一覧!A:B, 2, FALSE), "該当なし"))</f>
        <v>千銃士R</v>
      </c>
      <c r="E1314" s="1" t="str">
        <f ca="1">IFERROR(__xludf.DUMMYFUNCTION("""COMPUTED_VALUE"""),"八九")</f>
        <v>八九</v>
      </c>
      <c r="F1314" s="1" t="s">
        <v>2132</v>
      </c>
    </row>
    <row r="1315" spans="1:6" ht="13.2">
      <c r="A1315" s="1" t="str">
        <f t="array" aca="1" ref="A1315" ca="1">IF(B1315="", "", IFERROR(INDEX(声優一覧!A:A, MATCH(B1315, 声優一覧!B:B, 0)), "該当なし"))</f>
        <v>va_196</v>
      </c>
      <c r="B1315" s="1" t="str">
        <f ca="1">IFERROR(__xludf.DUMMYFUNCTION("""COMPUTED_VALUE"""),"山谷祥生")</f>
        <v>山谷祥生</v>
      </c>
      <c r="C1315" s="1" t="s">
        <v>156</v>
      </c>
      <c r="D1315" s="1" t="str">
        <f>IF(C1315="", "", IFERROR(VLOOKUP(C1315, 作品一覧!A:B, 2, FALSE), "該当なし"))</f>
        <v>千銃士R</v>
      </c>
      <c r="E1315" s="1" t="str">
        <f ca="1">IFERROR(__xludf.DUMMYFUNCTION("""COMPUTED_VALUE"""),"カール")</f>
        <v>カール</v>
      </c>
      <c r="F1315" s="1" t="s">
        <v>2133</v>
      </c>
    </row>
    <row r="1316" spans="1:6" ht="13.2">
      <c r="A1316" s="1" t="str">
        <f t="array" aca="1" ref="A1316" ca="1">IF(B1316="", "", IFERROR(INDEX(声優一覧!A:A, MATCH(B1316, 声優一覧!B:B, 0)), "該当なし"))</f>
        <v>va_141</v>
      </c>
      <c r="B1316" s="1" t="str">
        <f ca="1">IFERROR(__xludf.DUMMYFUNCTION("""COMPUTED_VALUE"""),"西山宏太朗")</f>
        <v>西山宏太朗</v>
      </c>
      <c r="C1316" s="1" t="s">
        <v>156</v>
      </c>
      <c r="D1316" s="1" t="str">
        <f>IF(C1316="", "", IFERROR(VLOOKUP(C1316, 作品一覧!A:B, 2, FALSE), "該当なし"))</f>
        <v>千銃士R</v>
      </c>
      <c r="E1316" s="1" t="str">
        <f ca="1">IFERROR(__xludf.DUMMYFUNCTION("""COMPUTED_VALUE"""),"ローレンツ")</f>
        <v>ローレンツ</v>
      </c>
      <c r="F1316" s="1" t="s">
        <v>2134</v>
      </c>
    </row>
    <row r="1317" spans="1:6" ht="13.2">
      <c r="A1317" s="1" t="str">
        <f t="array" aca="1" ref="A1317" ca="1">IF(B1317="", "", IFERROR(INDEX(声優一覧!A:A, MATCH(B1317, 声優一覧!B:B, 0)), "該当なし"))</f>
        <v>va_131</v>
      </c>
      <c r="B1317" s="1" t="str">
        <f ca="1">IFERROR(__xludf.DUMMYFUNCTION("""COMPUTED_VALUE"""),"豊永利行")</f>
        <v>豊永利行</v>
      </c>
      <c r="C1317" s="1" t="s">
        <v>156</v>
      </c>
      <c r="D1317" s="1" t="str">
        <f>IF(C1317="", "", IFERROR(VLOOKUP(C1317, 作品一覧!A:B, 2, FALSE), "該当なし"))</f>
        <v>千銃士R</v>
      </c>
      <c r="E1317" s="1" t="str">
        <f ca="1">IFERROR(__xludf.DUMMYFUNCTION("""COMPUTED_VALUE"""),"ベルガー")</f>
        <v>ベルガー</v>
      </c>
      <c r="F1317" s="1" t="s">
        <v>2135</v>
      </c>
    </row>
    <row r="1318" spans="1:6" ht="13.2">
      <c r="A1318" s="1" t="str">
        <f t="array" aca="1" ref="A1318" ca="1">IF(B1318="", "", IFERROR(INDEX(声優一覧!A:A, MATCH(B1318, 声優一覧!B:B, 0)), "該当なし"))</f>
        <v>va_169</v>
      </c>
      <c r="B1318" s="1" t="str">
        <f ca="1">IFERROR(__xludf.DUMMYFUNCTION("""COMPUTED_VALUE"""),"前野智昭")</f>
        <v>前野智昭</v>
      </c>
      <c r="C1318" s="1" t="s">
        <v>156</v>
      </c>
      <c r="D1318" s="1" t="str">
        <f>IF(C1318="", "", IFERROR(VLOOKUP(C1318, 作品一覧!A:B, 2, FALSE), "該当なし"))</f>
        <v>千銃士R</v>
      </c>
      <c r="E1318" s="1" t="str">
        <f ca="1">IFERROR(__xludf.DUMMYFUNCTION("""COMPUTED_VALUE"""),"ファル")</f>
        <v>ファル</v>
      </c>
      <c r="F1318" s="1" t="s">
        <v>2136</v>
      </c>
    </row>
    <row r="1319" spans="1:6" ht="13.2">
      <c r="A1319" s="1" t="str">
        <f t="array" aca="1" ref="A1319" ca="1">IF(B1319="", "", IFERROR(INDEX(声優一覧!A:A, MATCH(B1319, 声優一覧!B:B, 0)), "該当なし"))</f>
        <v>va_143</v>
      </c>
      <c r="B1319" s="1" t="str">
        <f ca="1">IFERROR(__xludf.DUMMYFUNCTION("""COMPUTED_VALUE"""),"野島健児")</f>
        <v>野島健児</v>
      </c>
      <c r="C1319" s="1" t="s">
        <v>156</v>
      </c>
      <c r="D1319" s="1" t="str">
        <f>IF(C1319="", "", IFERROR(VLOOKUP(C1319, 作品一覧!A:B, 2, FALSE), "該当なし"))</f>
        <v>千銃士R</v>
      </c>
      <c r="E1319" s="1" t="str">
        <f ca="1">IFERROR(__xludf.DUMMYFUNCTION("""COMPUTED_VALUE"""),"ミカエル")</f>
        <v>ミカエル</v>
      </c>
      <c r="F1319" s="1" t="s">
        <v>2137</v>
      </c>
    </row>
    <row r="1320" spans="1:6" ht="13.2">
      <c r="A1320" s="1" t="str">
        <f t="array" aca="1" ref="A1320" ca="1">IF(B1320="", "", IFERROR(INDEX(声優一覧!A:A, MATCH(B1320, 声優一覧!B:B, 0)), "該当なし"))</f>
        <v>va_173</v>
      </c>
      <c r="B1320" s="1" t="str">
        <f ca="1">IFERROR(__xludf.DUMMYFUNCTION("""COMPUTED_VALUE"""),"松岡禎丞")</f>
        <v>松岡禎丞</v>
      </c>
      <c r="C1320" s="1" t="s">
        <v>156</v>
      </c>
      <c r="D1320" s="1" t="str">
        <f>IF(C1320="", "", IFERROR(VLOOKUP(C1320, 作品一覧!A:B, 2, FALSE), "該当なし"))</f>
        <v>千銃士R</v>
      </c>
      <c r="E1320" s="1" t="str">
        <f ca="1">IFERROR(__xludf.DUMMYFUNCTION("""COMPUTED_VALUE"""),"カトラリー")</f>
        <v>カトラリー</v>
      </c>
      <c r="F1320" s="1" t="s">
        <v>2138</v>
      </c>
    </row>
    <row r="1321" spans="1:6" ht="13.2">
      <c r="A1321" s="1" t="str">
        <f t="array" aca="1" ref="A1321" ca="1">IF(B1321="", "", IFERROR(INDEX(声優一覧!A:A, MATCH(B1321, 声優一覧!B:B, 0)), "該当なし"))</f>
        <v>va_274</v>
      </c>
      <c r="B1321" s="1" t="str">
        <f ca="1">IFERROR(__xludf.DUMMYFUNCTION("""COMPUTED_VALUE"""),"千葉進歩")</f>
        <v>千葉進歩</v>
      </c>
      <c r="C1321" s="1" t="s">
        <v>156</v>
      </c>
      <c r="D1321" s="1" t="str">
        <f>IF(C1321="", "", IFERROR(VLOOKUP(C1321, 作品一覧!A:B, 2, FALSE), "該当なし"))</f>
        <v>千銃士R</v>
      </c>
      <c r="E1321" s="1" t="str">
        <f ca="1">IFERROR(__xludf.DUMMYFUNCTION("""COMPUTED_VALUE"""),"ベネッタ")</f>
        <v>ベネッタ</v>
      </c>
      <c r="F1321" s="1" t="s">
        <v>2139</v>
      </c>
    </row>
    <row r="1322" spans="1:6" ht="13.2">
      <c r="A1322" s="1" t="str">
        <f t="array" aca="1" ref="A1322" ca="1">IF(B1322="", "", IFERROR(INDEX(声優一覧!A:A, MATCH(B1322, 声優一覧!B:B, 0)), "該当なし"))</f>
        <v>va_041</v>
      </c>
      <c r="B1322" s="1" t="str">
        <f ca="1">IFERROR(__xludf.DUMMYFUNCTION("""COMPUTED_VALUE"""),"大塚剛央")</f>
        <v>大塚剛央</v>
      </c>
      <c r="C1322" s="1" t="s">
        <v>156</v>
      </c>
      <c r="D1322" s="1" t="str">
        <f>IF(C1322="", "", IFERROR(VLOOKUP(C1322, 作品一覧!A:B, 2, FALSE), "該当なし"))</f>
        <v>千銃士R</v>
      </c>
      <c r="E1322" s="1" t="str">
        <f ca="1">IFERROR(__xludf.DUMMYFUNCTION("""COMPUTED_VALUE"""),"カルカノーレ")</f>
        <v>カルカノーレ</v>
      </c>
      <c r="F1322" s="1" t="s">
        <v>2140</v>
      </c>
    </row>
    <row r="1323" spans="1:6" ht="13.2">
      <c r="A1323" s="1" t="str">
        <f t="array" aca="1" ref="A1323" ca="1">IF(B1323="", "", IFERROR(INDEX(声優一覧!A:A, MATCH(B1323, 声優一覧!B:B, 0)), "該当なし"))</f>
        <v>va_076</v>
      </c>
      <c r="B1323" s="1" t="str">
        <f ca="1">IFERROR(__xludf.DUMMYFUNCTION("""COMPUTED_VALUE"""),"小松昌平")</f>
        <v>小松昌平</v>
      </c>
      <c r="C1323" s="1" t="s">
        <v>156</v>
      </c>
      <c r="D1323" s="1" t="str">
        <f>IF(C1323="", "", IFERROR(VLOOKUP(C1323, 作品一覧!A:B, 2, FALSE), "該当なし"))</f>
        <v>千銃士R</v>
      </c>
      <c r="E1323" s="1" t="str">
        <f ca="1">IFERROR(__xludf.DUMMYFUNCTION("""COMPUTED_VALUE"""),"ベイカー")</f>
        <v>ベイカー</v>
      </c>
      <c r="F1323" s="1" t="s">
        <v>2141</v>
      </c>
    </row>
    <row r="1324" spans="1:6" ht="13.2">
      <c r="A1324" s="1" t="str">
        <f t="array" aca="1" ref="A1324" ca="1">IF(B1324="", "", IFERROR(INDEX(声優一覧!A:A, MATCH(B1324, 声優一覧!B:B, 0)), "該当なし"))</f>
        <v>va_033</v>
      </c>
      <c r="B1324" s="1" t="str">
        <f ca="1">IFERROR(__xludf.DUMMYFUNCTION("""COMPUTED_VALUE"""),"梅原裕一郎")</f>
        <v>梅原裕一郎</v>
      </c>
      <c r="C1324" s="1" t="s">
        <v>156</v>
      </c>
      <c r="D1324" s="1" t="str">
        <f>IF(C1324="", "", IFERROR(VLOOKUP(C1324, 作品一覧!A:B, 2, FALSE), "該当なし"))</f>
        <v>千銃士R</v>
      </c>
      <c r="E1324" s="1" t="str">
        <f ca="1">IFERROR(__xludf.DUMMYFUNCTION("""COMPUTED_VALUE"""),"イエヤス")</f>
        <v>イエヤス</v>
      </c>
      <c r="F1324" s="1" t="s">
        <v>2142</v>
      </c>
    </row>
    <row r="1325" spans="1:6" ht="13.2">
      <c r="A1325" s="1" t="str">
        <f t="array" aca="1" ref="A1325" ca="1">IF(B1325="", "", IFERROR(INDEX(声優一覧!A:A, MATCH(B1325, 声優一覧!B:B, 0)), "該当なし"))</f>
        <v>va_119</v>
      </c>
      <c r="B1325" s="1" t="str">
        <f ca="1">IFERROR(__xludf.DUMMYFUNCTION("""COMPUTED_VALUE"""),"千葉翔也")</f>
        <v>千葉翔也</v>
      </c>
      <c r="C1325" s="1" t="s">
        <v>132</v>
      </c>
      <c r="D1325" s="1" t="str">
        <f>IF(C1325="", "", IFERROR(VLOOKUP(C1325, 作品一覧!A:B, 2, FALSE), "該当なし"))</f>
        <v>スパークリンク・スターズ</v>
      </c>
      <c r="E1325" s="1" t="str">
        <f ca="1">IFERROR(__xludf.DUMMYFUNCTION("""COMPUTED_VALUE"""),"ネオ・ミシェル")</f>
        <v>ネオ・ミシェル</v>
      </c>
      <c r="F1325" s="1" t="s">
        <v>2143</v>
      </c>
    </row>
    <row r="1326" spans="1:6" ht="13.2">
      <c r="A1326" s="1" t="str">
        <f t="array" aca="1" ref="A1326" ca="1">IF(B1326="", "", IFERROR(INDEX(声優一覧!A:A, MATCH(B1326, 声優一覧!B:B, 0)), "該当なし"))</f>
        <v>va_023</v>
      </c>
      <c r="B1326" s="1" t="str">
        <f ca="1">IFERROR(__xludf.DUMMYFUNCTION("""COMPUTED_VALUE"""),"今井文也")</f>
        <v>今井文也</v>
      </c>
      <c r="C1326" s="1" t="s">
        <v>132</v>
      </c>
      <c r="D1326" s="1" t="str">
        <f>IF(C1326="", "", IFERROR(VLOOKUP(C1326, 作品一覧!A:B, 2, FALSE), "該当なし"))</f>
        <v>スパークリンク・スターズ</v>
      </c>
      <c r="E1326" s="1" t="str">
        <f ca="1">IFERROR(__xludf.DUMMYFUNCTION("""COMPUTED_VALUE"""),"ヒュー・ガードナー")</f>
        <v>ヒュー・ガードナー</v>
      </c>
      <c r="F1326" s="1" t="s">
        <v>2144</v>
      </c>
    </row>
    <row r="1327" spans="1:6" ht="13.2">
      <c r="A1327" s="1" t="str">
        <f t="array" aca="1" ref="A1327" ca="1">IF(B1327="", "", IFERROR(INDEX(声優一覧!A:A, MATCH(B1327, 声優一覧!B:B, 0)), "該当なし"))</f>
        <v>va_155</v>
      </c>
      <c r="B1327" s="1" t="str">
        <f ca="1">IFERROR(__xludf.DUMMYFUNCTION("""COMPUTED_VALUE"""),"広瀬裕也")</f>
        <v>広瀬裕也</v>
      </c>
      <c r="C1327" s="1" t="s">
        <v>132</v>
      </c>
      <c r="D1327" s="1" t="str">
        <f>IF(C1327="", "", IFERROR(VLOOKUP(C1327, 作品一覧!A:B, 2, FALSE), "該当なし"))</f>
        <v>スパークリンク・スターズ</v>
      </c>
      <c r="E1327" s="1" t="str">
        <f ca="1">IFERROR(__xludf.DUMMYFUNCTION("""COMPUTED_VALUE"""),"ディディ・セドリック・バード")</f>
        <v>ディディ・セドリック・バード</v>
      </c>
      <c r="F1327" s="1" t="s">
        <v>2145</v>
      </c>
    </row>
    <row r="1328" spans="1:6" ht="13.2">
      <c r="A1328" s="1" t="str">
        <f t="array" aca="1" ref="A1328" ca="1">IF(B1328="", "", IFERROR(INDEX(声優一覧!A:A, MATCH(B1328, 声優一覧!B:B, 0)), "該当なし"))</f>
        <v>va_312</v>
      </c>
      <c r="B1328" s="1" t="str">
        <f ca="1">IFERROR(__xludf.DUMMYFUNCTION("""COMPUTED_VALUE"""),"峯田大夢")</f>
        <v>峯田大夢</v>
      </c>
      <c r="C1328" s="1" t="s">
        <v>132</v>
      </c>
      <c r="D1328" s="1" t="str">
        <f>IF(C1328="", "", IFERROR(VLOOKUP(C1328, 作品一覧!A:B, 2, FALSE), "該当なし"))</f>
        <v>スパークリンク・スターズ</v>
      </c>
      <c r="E1328" s="1" t="str">
        <f ca="1">IFERROR(__xludf.DUMMYFUNCTION("""COMPUTED_VALUE"""),"ラスカ・モンクリーフ")</f>
        <v>ラスカ・モンクリーフ</v>
      </c>
      <c r="F1328" s="1" t="s">
        <v>2146</v>
      </c>
    </row>
    <row r="1329" spans="1:6" ht="13.2">
      <c r="A1329" s="1" t="str">
        <f t="array" aca="1" ref="A1329" ca="1">IF(B1329="", "", IFERROR(INDEX(声優一覧!A:A, MATCH(B1329, 声優一覧!B:B, 0)), "該当なし"))</f>
        <v>va_310</v>
      </c>
      <c r="B1329" s="1" t="str">
        <f ca="1">IFERROR(__xludf.DUMMYFUNCTION("""COMPUTED_VALUE"""),"佐藤元")</f>
        <v>佐藤元</v>
      </c>
      <c r="C1329" s="1" t="s">
        <v>132</v>
      </c>
      <c r="D1329" s="1" t="str">
        <f>IF(C1329="", "", IFERROR(VLOOKUP(C1329, 作品一覧!A:B, 2, FALSE), "該当なし"))</f>
        <v>スパークリンク・スターズ</v>
      </c>
      <c r="E1329" s="1" t="str">
        <f ca="1">IFERROR(__xludf.DUMMYFUNCTION("""COMPUTED_VALUE"""),"ランカ・マンク")</f>
        <v>ランカ・マンク</v>
      </c>
      <c r="F1329" s="1" t="s">
        <v>2147</v>
      </c>
    </row>
    <row r="1330" spans="1:6" ht="13.2">
      <c r="A1330" s="1" t="str">
        <f t="array" aca="1" ref="A1330" ca="1">IF(B1330="", "", IFERROR(INDEX(声優一覧!A:A, MATCH(B1330, 声優一覧!B:B, 0)), "該当なし"))</f>
        <v>va_147</v>
      </c>
      <c r="B1330" s="1" t="str">
        <f ca="1">IFERROR(__xludf.DUMMYFUNCTION("""COMPUTED_VALUE"""),"畠中祐")</f>
        <v>畠中祐</v>
      </c>
      <c r="C1330" s="1" t="s">
        <v>132</v>
      </c>
      <c r="D1330" s="1" t="str">
        <f>IF(C1330="", "", IFERROR(VLOOKUP(C1330, 作品一覧!A:B, 2, FALSE), "該当なし"))</f>
        <v>スパークリンク・スターズ</v>
      </c>
      <c r="E1330" s="1" t="str">
        <f ca="1">IFERROR(__xludf.DUMMYFUNCTION("""COMPUTED_VALUE"""),"ラフタ・ヴォックス")</f>
        <v>ラフタ・ヴォックス</v>
      </c>
      <c r="F1330" s="1" t="s">
        <v>2148</v>
      </c>
    </row>
    <row r="1331" spans="1:6" ht="13.2">
      <c r="A1331" s="1" t="str">
        <f t="array" aca="1" ref="A1331" ca="1">IF(B1331="", "", IFERROR(INDEX(声優一覧!A:A, MATCH(B1331, 声優一覧!B:B, 0)), "該当なし"))</f>
        <v>va_210</v>
      </c>
      <c r="B1331" s="1" t="str">
        <f ca="1">IFERROR(__xludf.DUMMYFUNCTION("""COMPUTED_VALUE"""),"濱野大輝")</f>
        <v>濱野大輝</v>
      </c>
      <c r="C1331" s="1" t="s">
        <v>132</v>
      </c>
      <c r="D1331" s="1" t="str">
        <f>IF(C1331="", "", IFERROR(VLOOKUP(C1331, 作品一覧!A:B, 2, FALSE), "該当なし"))</f>
        <v>スパークリンク・スターズ</v>
      </c>
      <c r="E1331" s="1" t="str">
        <f ca="1">IFERROR(__xludf.DUMMYFUNCTION("""COMPUTED_VALUE"""),"シュウ・アヤカシ")</f>
        <v>シュウ・アヤカシ</v>
      </c>
      <c r="F1331" s="1" t="s">
        <v>2149</v>
      </c>
    </row>
    <row r="1332" spans="1:6" ht="13.2">
      <c r="A1332" s="1" t="str">
        <f t="array" aca="1" ref="A1332" ca="1">IF(B1332="", "", IFERROR(INDEX(声優一覧!A:A, MATCH(B1332, 声優一覧!B:B, 0)), "該当なし"))</f>
        <v>va_134</v>
      </c>
      <c r="B1332" s="1" t="str">
        <f ca="1">IFERROR(__xludf.DUMMYFUNCTION("""COMPUTED_VALUE"""),"中島ヨシキ")</f>
        <v>中島ヨシキ</v>
      </c>
      <c r="C1332" s="1" t="s">
        <v>132</v>
      </c>
      <c r="D1332" s="1" t="str">
        <f>IF(C1332="", "", IFERROR(VLOOKUP(C1332, 作品一覧!A:B, 2, FALSE), "該当なし"))</f>
        <v>スパークリンク・スターズ</v>
      </c>
      <c r="E1332" s="1" t="str">
        <f ca="1">IFERROR(__xludf.DUMMYFUNCTION("""COMPUTED_VALUE"""),"ノア・スラッガー")</f>
        <v>ノア・スラッガー</v>
      </c>
      <c r="F1332" s="1" t="s">
        <v>2150</v>
      </c>
    </row>
    <row r="1333" spans="1:6" ht="13.2">
      <c r="A1333" s="1" t="str">
        <f t="array" aca="1" ref="A1333" ca="1">IF(B1333="", "", IFERROR(INDEX(声優一覧!A:A, MATCH(B1333, 声優一覧!B:B, 0)), "該当なし"))</f>
        <v>va_212</v>
      </c>
      <c r="B1333" s="1" t="str">
        <f ca="1">IFERROR(__xludf.DUMMYFUNCTION("""COMPUTED_VALUE"""),"福原かつみ")</f>
        <v>福原かつみ</v>
      </c>
      <c r="C1333" s="1" t="s">
        <v>132</v>
      </c>
      <c r="D1333" s="1" t="str">
        <f>IF(C1333="", "", IFERROR(VLOOKUP(C1333, 作品一覧!A:B, 2, FALSE), "該当なし"))</f>
        <v>スパークリンク・スターズ</v>
      </c>
      <c r="E1333" s="1" t="str">
        <f ca="1">IFERROR(__xludf.DUMMYFUNCTION("""COMPUTED_VALUE"""),"リゼ・クラージュ")</f>
        <v>リゼ・クラージュ</v>
      </c>
      <c r="F1333" s="1" t="s">
        <v>2151</v>
      </c>
    </row>
    <row r="1334" spans="1:6" ht="13.2">
      <c r="A1334" s="1" t="str">
        <f t="array" aca="1" ref="A1334" ca="1">IF(B1334="", "", IFERROR(INDEX(声優一覧!A:A, MATCH(B1334, 声優一覧!B:B, 0)), "該当なし"))</f>
        <v>va_073</v>
      </c>
      <c r="B1334" s="1" t="str">
        <f ca="1">IFERROR(__xludf.DUMMYFUNCTION("""COMPUTED_VALUE"""),"小林親弘")</f>
        <v>小林親弘</v>
      </c>
      <c r="C1334" s="1" t="s">
        <v>132</v>
      </c>
      <c r="D1334" s="1" t="str">
        <f>IF(C1334="", "", IFERROR(VLOOKUP(C1334, 作品一覧!A:B, 2, FALSE), "該当なし"))</f>
        <v>スパークリンク・スターズ</v>
      </c>
      <c r="E1334" s="1" t="str">
        <f ca="1">IFERROR(__xludf.DUMMYFUNCTION("""COMPUTED_VALUE"""),"シャン・ロゼリスト")</f>
        <v>シャン・ロゼリスト</v>
      </c>
      <c r="F1334" s="1" t="s">
        <v>2152</v>
      </c>
    </row>
    <row r="1335" spans="1:6" ht="13.2">
      <c r="A1335" s="1" t="str">
        <f t="array" aca="1" ref="A1335" ca="1">IF(B1335="", "", IFERROR(INDEX(声優一覧!A:A, MATCH(B1335, 声優一覧!B:B, 0)), "該当なし"))</f>
        <v>va_355</v>
      </c>
      <c r="B1335" s="1" t="str">
        <f ca="1">IFERROR(__xludf.DUMMYFUNCTION("""COMPUTED_VALUE"""),"佐藤悠雅")</f>
        <v>佐藤悠雅</v>
      </c>
      <c r="C1335" s="1" t="s">
        <v>132</v>
      </c>
      <c r="D1335" s="1" t="str">
        <f>IF(C1335="", "", IFERROR(VLOOKUP(C1335, 作品一覧!A:B, 2, FALSE), "該当なし"))</f>
        <v>スパークリンク・スターズ</v>
      </c>
      <c r="E1335" s="1" t="str">
        <f ca="1">IFERROR(__xludf.DUMMYFUNCTION("""COMPUTED_VALUE"""),"ニコラ・ヴァニテール")</f>
        <v>ニコラ・ヴァニテール</v>
      </c>
      <c r="F1335" s="1" t="s">
        <v>2153</v>
      </c>
    </row>
    <row r="1336" spans="1:6" ht="13.2">
      <c r="A1336" s="1" t="str">
        <f t="array" aca="1" ref="A1336" ca="1">IF(B1336="", "", IFERROR(INDEX(声優一覧!A:A, MATCH(B1336, 声優一覧!B:B, 0)), "該当なし"))</f>
        <v>va_143</v>
      </c>
      <c r="B1336" s="1" t="str">
        <f ca="1">IFERROR(__xludf.DUMMYFUNCTION("""COMPUTED_VALUE"""),"野島健児")</f>
        <v>野島健児</v>
      </c>
      <c r="C1336" s="1" t="s">
        <v>132</v>
      </c>
      <c r="D1336" s="1" t="str">
        <f>IF(C1336="", "", IFERROR(VLOOKUP(C1336, 作品一覧!A:B, 2, FALSE), "該当なし"))</f>
        <v>スパークリンク・スターズ</v>
      </c>
      <c r="E1336" s="1" t="str">
        <f ca="1">IFERROR(__xludf.DUMMYFUNCTION("""COMPUTED_VALUE"""),"スー・シューヴリール")</f>
        <v>スー・シューヴリール</v>
      </c>
      <c r="F1336" s="1" t="s">
        <v>2154</v>
      </c>
    </row>
    <row r="1337" spans="1:6" ht="13.2">
      <c r="A1337" s="1" t="str">
        <f t="array" aca="1" ref="A1337" ca="1">IF(B1337="", "", IFERROR(INDEX(声優一覧!A:A, MATCH(B1337, 声優一覧!B:B, 0)), "該当なし"))</f>
        <v>va_094</v>
      </c>
      <c r="B1337" s="1" t="str">
        <f ca="1">IFERROR(__xludf.DUMMYFUNCTION("""COMPUTED_VALUE"""),"島﨑信長")</f>
        <v>島﨑信長</v>
      </c>
      <c r="C1337" s="1" t="s">
        <v>132</v>
      </c>
      <c r="D1337" s="1" t="str">
        <f>IF(C1337="", "", IFERROR(VLOOKUP(C1337, 作品一覧!A:B, 2, FALSE), "該当なし"))</f>
        <v>スパークリンク・スターズ</v>
      </c>
      <c r="E1337" s="1" t="str">
        <f ca="1">IFERROR(__xludf.DUMMYFUNCTION("""COMPUTED_VALUE"""),"エリー・サンドリヨン")</f>
        <v>エリー・サンドリヨン</v>
      </c>
      <c r="F1337" s="1" t="s">
        <v>2155</v>
      </c>
    </row>
    <row r="1338" spans="1:6" ht="13.2">
      <c r="A1338" s="1" t="str">
        <f t="array" aca="1" ref="A1338" ca="1">IF(B1338="", "", IFERROR(INDEX(声優一覧!A:A, MATCH(B1338, 声優一覧!B:B, 0)), "該当なし"))</f>
        <v>va_221</v>
      </c>
      <c r="B1338" s="1" t="str">
        <f ca="1">IFERROR(__xludf.DUMMYFUNCTION("""COMPUTED_VALUE"""),"矢野奨吾")</f>
        <v>矢野奨吾</v>
      </c>
      <c r="C1338" s="1" t="s">
        <v>132</v>
      </c>
      <c r="D1338" s="1" t="str">
        <f>IF(C1338="", "", IFERROR(VLOOKUP(C1338, 作品一覧!A:B, 2, FALSE), "該当なし"))</f>
        <v>スパークリンク・スターズ</v>
      </c>
      <c r="E1338" s="1" t="str">
        <f ca="1">IFERROR(__xludf.DUMMYFUNCTION("""COMPUTED_VALUE"""),"アッシュ・フラジール")</f>
        <v>アッシュ・フラジール</v>
      </c>
      <c r="F1338" s="1" t="s">
        <v>2156</v>
      </c>
    </row>
    <row r="1339" spans="1:6" ht="13.2">
      <c r="A1339" s="1" t="str">
        <f t="array" aca="1" ref="A1339" ca="1">IF(B1339="", "", IFERROR(INDEX(声優一覧!A:A, MATCH(B1339, 声優一覧!B:B, 0)), "該当なし"))</f>
        <v>va_161</v>
      </c>
      <c r="B1339" s="1" t="str">
        <f ca="1">IFERROR(__xludf.DUMMYFUNCTION("""COMPUTED_VALUE"""),"古川慎")</f>
        <v>古川慎</v>
      </c>
      <c r="C1339" s="1" t="s">
        <v>132</v>
      </c>
      <c r="D1339" s="1" t="str">
        <f>IF(C1339="", "", IFERROR(VLOOKUP(C1339, 作品一覧!A:B, 2, FALSE), "該当なし"))</f>
        <v>スパークリンク・スターズ</v>
      </c>
      <c r="E1339" s="1" t="str">
        <f ca="1">IFERROR(__xludf.DUMMYFUNCTION("""COMPUTED_VALUE"""),"レント・フラジール")</f>
        <v>レント・フラジール</v>
      </c>
      <c r="F1339" s="1" t="s">
        <v>2157</v>
      </c>
    </row>
    <row r="1340" spans="1:6" ht="13.2">
      <c r="A1340" s="1" t="str">
        <f t="array" aca="1" ref="A1340" ca="1">IF(B1340="", "", IFERROR(INDEX(声優一覧!A:A, MATCH(B1340, 声優一覧!B:B, 0)), "該当なし"))</f>
        <v>va_156</v>
      </c>
      <c r="B1340" s="1" t="str">
        <f ca="1">IFERROR(__xludf.DUMMYFUNCTION("""COMPUTED_VALUE"""),"日野聡")</f>
        <v>日野聡</v>
      </c>
      <c r="C1340" s="1" t="s">
        <v>90</v>
      </c>
      <c r="D1340" s="1" t="str">
        <f>IF(C1340="", "", IFERROR(VLOOKUP(C1340, 作品一覧!A:B, 2, FALSE), "該当なし"))</f>
        <v>金色のコルダ スターライトオーケストラ</v>
      </c>
      <c r="E1340" s="1" t="str">
        <f ca="1">IFERROR(__xludf.DUMMYFUNCTION("""COMPUTED_VALUE"""),"九条朔夜")</f>
        <v>九条朔夜</v>
      </c>
      <c r="F1340" s="1" t="s">
        <v>2158</v>
      </c>
    </row>
    <row r="1341" spans="1:6" ht="13.2">
      <c r="A1341" s="1" t="str">
        <f t="array" aca="1" ref="A1341" ca="1">IF(B1341="", "", IFERROR(INDEX(声優一覧!A:A, MATCH(B1341, 声優一覧!B:B, 0)), "該当なし"))</f>
        <v>va_112</v>
      </c>
      <c r="B1341" s="1" t="str">
        <f ca="1">IFERROR(__xludf.DUMMYFUNCTION("""COMPUTED_VALUE"""),"武内駿輔")</f>
        <v>武内駿輔</v>
      </c>
      <c r="C1341" s="1" t="s">
        <v>90</v>
      </c>
      <c r="D1341" s="1" t="str">
        <f>IF(C1341="", "", IFERROR(VLOOKUP(C1341, 作品一覧!A:B, 2, FALSE), "該当なし"))</f>
        <v>金色のコルダ スターライトオーケストラ</v>
      </c>
      <c r="E1341" s="1" t="str">
        <f ca="1">IFERROR(__xludf.DUMMYFUNCTION("""COMPUTED_VALUE"""),"成宮智治")</f>
        <v>成宮智治</v>
      </c>
      <c r="F1341" s="1" t="s">
        <v>2159</v>
      </c>
    </row>
    <row r="1342" spans="1:6" ht="13.2">
      <c r="A1342" s="1" t="str">
        <f t="array" aca="1" ref="A1342" ca="1">IF(B1342="", "", IFERROR(INDEX(声優一覧!A:A, MATCH(B1342, 声優一覧!B:B, 0)), "該当なし"))</f>
        <v>va_269</v>
      </c>
      <c r="B1342" s="1" t="str">
        <f ca="1">IFERROR(__xludf.DUMMYFUNCTION("""COMPUTED_VALUE"""),"森田成一")</f>
        <v>森田成一</v>
      </c>
      <c r="C1342" s="1" t="s">
        <v>90</v>
      </c>
      <c r="D1342" s="1" t="str">
        <f>IF(C1342="", "", IFERROR(VLOOKUP(C1342, 作品一覧!A:B, 2, FALSE), "該当なし"))</f>
        <v>金色のコルダ スターライトオーケストラ</v>
      </c>
      <c r="E1342" s="1" t="str">
        <f ca="1">IFERROR(__xludf.DUMMYFUNCTION("""COMPUTED_VALUE"""),"竜崎疾風")</f>
        <v>竜崎疾風</v>
      </c>
      <c r="F1342" s="1" t="s">
        <v>2160</v>
      </c>
    </row>
    <row r="1343" spans="1:6" ht="13.2">
      <c r="A1343" s="1" t="str">
        <f t="array" aca="1" ref="A1343" ca="1">IF(B1343="", "", IFERROR(INDEX(声優一覧!A:A, MATCH(B1343, 声優一覧!B:B, 0)), "該当なし"))</f>
        <v>va_160</v>
      </c>
      <c r="B1343" s="1" t="str">
        <f ca="1">IFERROR(__xludf.DUMMYFUNCTION("""COMPUTED_VALUE"""),"福山潤")</f>
        <v>福山潤</v>
      </c>
      <c r="C1343" s="1" t="s">
        <v>90</v>
      </c>
      <c r="D1343" s="1" t="str">
        <f>IF(C1343="", "", IFERROR(VLOOKUP(C1343, 作品一覧!A:B, 2, FALSE), "該当なし"))</f>
        <v>金色のコルダ スターライトオーケストラ</v>
      </c>
      <c r="E1343" s="1" t="str">
        <f ca="1">IFERROR(__xludf.DUMMYFUNCTION("""COMPUTED_VALUE"""),"一ノ瀬銀河")</f>
        <v>一ノ瀬銀河</v>
      </c>
      <c r="F1343" s="1" t="s">
        <v>2161</v>
      </c>
    </row>
    <row r="1344" spans="1:6" ht="13.2">
      <c r="A1344" s="1" t="str">
        <f t="array" aca="1" ref="A1344" ca="1">IF(B1344="", "", IFERROR(INDEX(声優一覧!A:A, MATCH(B1344, 声優一覧!B:B, 0)), "該当なし"))</f>
        <v>va_115</v>
      </c>
      <c r="B1344" s="1" t="str">
        <f ca="1">IFERROR(__xludf.DUMMYFUNCTION("""COMPUTED_VALUE"""),"谷山紀章")</f>
        <v>谷山紀章</v>
      </c>
      <c r="C1344" s="1" t="s">
        <v>90</v>
      </c>
      <c r="D1344" s="1" t="str">
        <f>IF(C1344="", "", IFERROR(VLOOKUP(C1344, 作品一覧!A:B, 2, FALSE), "該当なし"))</f>
        <v>金色のコルダ スターライトオーケストラ</v>
      </c>
      <c r="E1344" s="1" t="str">
        <f ca="1">IFERROR(__xludf.DUMMYFUNCTION("""COMPUTED_VALUE"""),"桐ケ谷晃")</f>
        <v>桐ケ谷晃</v>
      </c>
      <c r="F1344" s="1" t="s">
        <v>2162</v>
      </c>
    </row>
    <row r="1345" spans="1:6" ht="13.2">
      <c r="A1345" s="1" t="str">
        <f t="array" aca="1" ref="A1345" ca="1">IF(B1345="", "", IFERROR(INDEX(声優一覧!A:A, MATCH(B1345, 声優一覧!B:B, 0)), "該当なし"))</f>
        <v>va_305</v>
      </c>
      <c r="B1345" s="1" t="str">
        <f ca="1">IFERROR(__xludf.DUMMYFUNCTION("""COMPUTED_VALUE"""),"伊藤健太郎")</f>
        <v>伊藤健太郎</v>
      </c>
      <c r="C1345" s="1" t="s">
        <v>90</v>
      </c>
      <c r="D1345" s="1" t="str">
        <f>IF(C1345="", "", IFERROR(VLOOKUP(C1345, 作品一覧!A:B, 2, FALSE), "該当なし"))</f>
        <v>金色のコルダ スターライトオーケストラ</v>
      </c>
      <c r="E1345" s="1" t="str">
        <f ca="1">IFERROR(__xludf.DUMMYFUNCTION("""COMPUTED_VALUE"""),"刑部斉士")</f>
        <v>刑部斉士</v>
      </c>
      <c r="F1345" s="1" t="s">
        <v>2163</v>
      </c>
    </row>
    <row r="1346" spans="1:6" ht="13.2">
      <c r="A1346" s="1" t="str">
        <f t="array" aca="1" ref="A1346" ca="1">IF(B1346="", "", IFERROR(INDEX(声優一覧!A:A, MATCH(B1346, 声優一覧!B:B, 0)), "該当なし"))</f>
        <v>va_117</v>
      </c>
      <c r="B1346" s="1" t="str">
        <f ca="1">IFERROR(__xludf.DUMMYFUNCTION("""COMPUTED_VALUE"""),"田丸篤志")</f>
        <v>田丸篤志</v>
      </c>
      <c r="C1346" s="1" t="s">
        <v>90</v>
      </c>
      <c r="D1346" s="1" t="str">
        <f>IF(C1346="", "", IFERROR(VLOOKUP(C1346, 作品一覧!A:B, 2, FALSE), "該当なし"))</f>
        <v>金色のコルダ スターライトオーケストラ</v>
      </c>
      <c r="E1346" s="1" t="str">
        <f ca="1">IFERROR(__xludf.DUMMYFUNCTION("""COMPUTED_VALUE"""),"弓原凛")</f>
        <v>弓原凛</v>
      </c>
      <c r="F1346" s="1" t="s">
        <v>2164</v>
      </c>
    </row>
    <row r="1347" spans="1:6" ht="13.2">
      <c r="A1347" s="1" t="str">
        <f t="array" aca="1" ref="A1347" ca="1">IF(B1347="", "", IFERROR(INDEX(声優一覧!A:A, MATCH(B1347, 声優一覧!B:B, 0)), "該当なし"))</f>
        <v>va_280</v>
      </c>
      <c r="B1347" s="1" t="str">
        <f ca="1">IFERROR(__xludf.DUMMYFUNCTION("""COMPUTED_VALUE"""),"小野将夢")</f>
        <v>小野将夢</v>
      </c>
      <c r="C1347" s="1" t="s">
        <v>90</v>
      </c>
      <c r="D1347" s="1" t="str">
        <f>IF(C1347="", "", IFERROR(VLOOKUP(C1347, 作品一覧!A:B, 2, FALSE), "該当なし"))</f>
        <v>金色のコルダ スターライトオーケストラ</v>
      </c>
      <c r="E1347" s="1" t="str">
        <f ca="1">IFERROR(__xludf.DUMMYFUNCTION("""COMPUTED_VALUE"""),"榛名流星")</f>
        <v>榛名流星</v>
      </c>
      <c r="F1347" s="1" t="s">
        <v>2165</v>
      </c>
    </row>
    <row r="1348" spans="1:6" ht="13.2">
      <c r="A1348" s="1" t="str">
        <f t="array" aca="1" ref="A1348" ca="1">IF(B1348="", "", IFERROR(INDEX(声優一覧!A:A, MATCH(B1348, 声優一覧!B:B, 0)), "該当なし"))</f>
        <v>va_144</v>
      </c>
      <c r="B1348" s="1" t="str">
        <f ca="1">IFERROR(__xludf.DUMMYFUNCTION("""COMPUTED_VALUE"""),"野島裕史")</f>
        <v>野島裕史</v>
      </c>
      <c r="C1348" s="1" t="s">
        <v>90</v>
      </c>
      <c r="D1348" s="1" t="str">
        <f>IF(C1348="", "", IFERROR(VLOOKUP(C1348, 作品一覧!A:B, 2, FALSE), "該当なし"))</f>
        <v>金色のコルダ スターライトオーケストラ</v>
      </c>
      <c r="E1348" s="1" t="str">
        <f ca="1">IFERROR(__xludf.DUMMYFUNCTION("""COMPUTED_VALUE"""),"赤羽拓斗")</f>
        <v>赤羽拓斗</v>
      </c>
      <c r="F1348" s="1" t="s">
        <v>2166</v>
      </c>
    </row>
    <row r="1349" spans="1:6" ht="13.2">
      <c r="A1349" s="1" t="str">
        <f t="array" aca="1" ref="A1349" ca="1">IF(B1349="", "", IFERROR(INDEX(声優一覧!A:A, MATCH(B1349, 声優一覧!B:B, 0)), "該当なし"))</f>
        <v>va_302</v>
      </c>
      <c r="B1349" s="1" t="str">
        <f ca="1">IFERROR(__xludf.DUMMYFUNCTION("""COMPUTED_VALUE"""),"岸尾だいすけ")</f>
        <v>岸尾だいすけ</v>
      </c>
      <c r="C1349" s="1" t="s">
        <v>90</v>
      </c>
      <c r="D1349" s="1" t="str">
        <f>IF(C1349="", "", IFERROR(VLOOKUP(C1349, 作品一覧!A:B, 2, FALSE), "該当なし"))</f>
        <v>金色のコルダ スターライトオーケストラ</v>
      </c>
      <c r="E1349" s="1" t="str">
        <f ca="1">IFERROR(__xludf.DUMMYFUNCTION("""COMPUTED_VALUE"""),"三上蒼司")</f>
        <v>三上蒼司</v>
      </c>
      <c r="F1349" s="1" t="s">
        <v>2167</v>
      </c>
    </row>
    <row r="1350" spans="1:6" ht="13.2">
      <c r="A1350" s="1" t="str">
        <f t="array" aca="1" ref="A1350" ca="1">IF(B1350="", "", IFERROR(INDEX(声優一覧!A:A, MATCH(B1350, 声優一覧!B:B, 0)), "該当なし"))</f>
        <v>va_069</v>
      </c>
      <c r="B1350" s="1" t="str">
        <f ca="1">IFERROR(__xludf.DUMMYFUNCTION("""COMPUTED_VALUE"""),"熊谷健太郎")</f>
        <v>熊谷健太郎</v>
      </c>
      <c r="C1350" s="1" t="s">
        <v>90</v>
      </c>
      <c r="D1350" s="1" t="str">
        <f>IF(C1350="", "", IFERROR(VLOOKUP(C1350, 作品一覧!A:B, 2, FALSE), "該当なし"))</f>
        <v>金色のコルダ スターライトオーケストラ</v>
      </c>
      <c r="E1350" s="1" t="str">
        <f ca="1">IFERROR(__xludf.DUMMYFUNCTION("""COMPUTED_VALUE"""),"南乙音")</f>
        <v>南乙音</v>
      </c>
      <c r="F1350" s="1" t="s">
        <v>2168</v>
      </c>
    </row>
    <row r="1351" spans="1:6" ht="13.2">
      <c r="A1351" s="1" t="str">
        <f t="array" aca="1" ref="A1351" ca="1">IF(B1351="", "", IFERROR(INDEX(声優一覧!A:A, MATCH(B1351, 声優一覧!B:B, 0)), "該当なし"))</f>
        <v>va_169</v>
      </c>
      <c r="B1351" s="1" t="str">
        <f ca="1">IFERROR(__xludf.DUMMYFUNCTION("""COMPUTED_VALUE"""),"前野智昭")</f>
        <v>前野智昭</v>
      </c>
      <c r="C1351" s="1" t="s">
        <v>90</v>
      </c>
      <c r="D1351" s="1" t="str">
        <f>IF(C1351="", "", IFERROR(VLOOKUP(C1351, 作品一覧!A:B, 2, FALSE), "該当なし"))</f>
        <v>金色のコルダ スターライトオーケストラ</v>
      </c>
      <c r="E1351" s="1" t="str">
        <f ca="1">IFERROR(__xludf.DUMMYFUNCTION("""COMPUTED_VALUE"""),"御門浮葉")</f>
        <v>御門浮葉</v>
      </c>
      <c r="F1351" s="1" t="s">
        <v>2169</v>
      </c>
    </row>
    <row r="1352" spans="1:6" ht="13.2">
      <c r="A1352" s="1" t="str">
        <f t="array" aca="1" ref="A1352" ca="1">IF(B1352="", "", IFERROR(INDEX(声優一覧!A:A, MATCH(B1352, 声優一覧!B:B, 0)), "該当なし"))</f>
        <v>va_356</v>
      </c>
      <c r="B1352" s="1" t="str">
        <f ca="1">IFERROR(__xludf.DUMMYFUNCTION("""COMPUTED_VALUE"""),"内田夕夜")</f>
        <v>内田夕夜</v>
      </c>
      <c r="C1352" s="1" t="s">
        <v>90</v>
      </c>
      <c r="D1352" s="1" t="str">
        <f>IF(C1352="", "", IFERROR(VLOOKUP(C1352, 作品一覧!A:B, 2, FALSE), "該当なし"))</f>
        <v>金色のコルダ スターライトオーケストラ</v>
      </c>
      <c r="E1352" s="1" t="str">
        <f ca="1">IFERROR(__xludf.DUMMYFUNCTION("""COMPUTED_VALUE"""),"鷲上源一郎")</f>
        <v>鷲上源一郎</v>
      </c>
      <c r="F1352" s="1" t="s">
        <v>2170</v>
      </c>
    </row>
    <row r="1353" spans="1:6" ht="13.2">
      <c r="A1353" s="1" t="str">
        <f t="array" aca="1" ref="A1353" ca="1">IF(B1353="", "", IFERROR(INDEX(声優一覧!A:A, MATCH(B1353, 声優一覧!B:B, 0)), "該当なし"))</f>
        <v>va_078</v>
      </c>
      <c r="B1353" s="1" t="str">
        <f ca="1">IFERROR(__xludf.DUMMYFUNCTION("""COMPUTED_VALUE"""),"小西克幸")</f>
        <v>小西克幸</v>
      </c>
      <c r="C1353" s="1" t="s">
        <v>90</v>
      </c>
      <c r="D1353" s="1" t="str">
        <f>IF(C1353="", "", IFERROR(VLOOKUP(C1353, 作品一覧!A:B, 2, FALSE), "該当なし"))</f>
        <v>金色のコルダ スターライトオーケストラ</v>
      </c>
      <c r="E1353" s="1" t="str">
        <f ca="1">IFERROR(__xludf.DUMMYFUNCTION("""COMPUTED_VALUE"""),"堂本大我")</f>
        <v>堂本大我</v>
      </c>
      <c r="F1353" s="1" t="s">
        <v>2171</v>
      </c>
    </row>
    <row r="1354" spans="1:6" ht="13.2">
      <c r="A1354" s="1" t="str">
        <f t="array" aca="1" ref="A1354" ca="1">IF(B1354="", "", IFERROR(INDEX(声優一覧!A:A, MATCH(B1354, 声優一覧!B:B, 0)), "該当なし"))</f>
        <v>va_357</v>
      </c>
      <c r="B1354" s="1" t="str">
        <f ca="1">IFERROR(__xludf.DUMMYFUNCTION("""COMPUTED_VALUE"""),"石川英郎")</f>
        <v>石川英郎</v>
      </c>
      <c r="C1354" s="1" t="s">
        <v>90</v>
      </c>
      <c r="D1354" s="1" t="str">
        <f>IF(C1354="", "", IFERROR(VLOOKUP(C1354, 作品一覧!A:B, 2, FALSE), "該当なし"))</f>
        <v>金色のコルダ スターライトオーケストラ</v>
      </c>
      <c r="E1354" s="1" t="str">
        <f ca="1">IFERROR(__xludf.DUMMYFUNCTION("""COMPUTED_VALUE"""),"笹塚創")</f>
        <v>笹塚創</v>
      </c>
      <c r="F1354" s="1" t="s">
        <v>2172</v>
      </c>
    </row>
    <row r="1355" spans="1:6" ht="13.2">
      <c r="A1355" s="1" t="str">
        <f t="array" aca="1" ref="A1355" ca="1">IF(B1355="", "", IFERROR(INDEX(声優一覧!A:A, MATCH(B1355, 声優一覧!B:B, 0)), "該当なし"))</f>
        <v>va_358</v>
      </c>
      <c r="B1355" s="1" t="str">
        <f ca="1">IFERROR(__xludf.DUMMYFUNCTION("""COMPUTED_VALUE"""),"保村真")</f>
        <v>保村真</v>
      </c>
      <c r="C1355" s="1" t="s">
        <v>90</v>
      </c>
      <c r="D1355" s="1" t="str">
        <f>IF(C1355="", "", IFERROR(VLOOKUP(C1355, 作品一覧!A:B, 2, FALSE), "該当なし"))</f>
        <v>金色のコルダ スターライトオーケストラ</v>
      </c>
      <c r="E1355" s="1" t="str">
        <f ca="1">IFERROR(__xludf.DUMMYFUNCTION("""COMPUTED_VALUE"""),"仁科諒介")</f>
        <v>仁科諒介</v>
      </c>
      <c r="F1355" s="1" t="s">
        <v>2173</v>
      </c>
    </row>
    <row r="1356" spans="1:6" ht="13.2">
      <c r="A1356" s="1" t="str">
        <f t="array" aca="1" ref="A1356" ca="1">IF(B1356="", "", IFERROR(INDEX(声優一覧!A:A, MATCH(B1356, 声優一覧!B:B, 0)), "該当なし"))</f>
        <v>va_236</v>
      </c>
      <c r="B1356" s="1" t="str">
        <f ca="1">IFERROR(__xludf.DUMMYFUNCTION("""COMPUTED_VALUE"""),"宮野真守")</f>
        <v>宮野真守</v>
      </c>
      <c r="C1356" s="1" t="s">
        <v>90</v>
      </c>
      <c r="D1356" s="1" t="str">
        <f>IF(C1356="", "", IFERROR(VLOOKUP(C1356, 作品一覧!A:B, 2, FALSE), "該当なし"))</f>
        <v>金色のコルダ スターライトオーケストラ</v>
      </c>
      <c r="E1356" s="1" t="str">
        <f ca="1">IFERROR(__xludf.DUMMYFUNCTION("""COMPUTED_VALUE"""),"月城慧")</f>
        <v>月城慧</v>
      </c>
      <c r="F1356" s="1" t="s">
        <v>2174</v>
      </c>
    </row>
    <row r="1357" spans="1:6" ht="13.2">
      <c r="A1357" s="1" t="str">
        <f t="array" aca="1" ref="A1357" ca="1">IF(B1357="", "", IFERROR(INDEX(声優一覧!A:A, MATCH(B1357, 声優一覧!B:B, 0)), "該当なし"))</f>
        <v>va_308</v>
      </c>
      <c r="B1357" s="1" t="str">
        <f ca="1">IFERROR(__xludf.DUMMYFUNCTION("""COMPUTED_VALUE"""),"三浦祥朗")</f>
        <v>三浦祥朗</v>
      </c>
      <c r="C1357" s="1" t="s">
        <v>90</v>
      </c>
      <c r="D1357" s="1" t="str">
        <f>IF(C1357="", "", IFERROR(VLOOKUP(C1357, 作品一覧!A:B, 2, FALSE), "該当なし"))</f>
        <v>金色のコルダ スターライトオーケストラ</v>
      </c>
      <c r="E1357" s="1" t="str">
        <f ca="1">IFERROR(__xludf.DUMMYFUNCTION("""COMPUTED_VALUE"""),"巽瑛一")</f>
        <v>巽瑛一</v>
      </c>
      <c r="F1357" s="1" t="s">
        <v>2175</v>
      </c>
    </row>
    <row r="1358" spans="1:6" ht="13.2">
      <c r="A1358" s="1" t="str">
        <f t="array" aca="1" ref="A1358" ca="1">IF(B1358="", "", IFERROR(INDEX(声優一覧!A:A, MATCH(B1358, 声優一覧!B:B, 0)), "該当なし"))</f>
        <v>va_161</v>
      </c>
      <c r="B1358" s="1" t="str">
        <f ca="1">IFERROR(__xludf.DUMMYFUNCTION("""COMPUTED_VALUE"""),"古川慎")</f>
        <v>古川慎</v>
      </c>
      <c r="C1358" s="1" t="s">
        <v>90</v>
      </c>
      <c r="D1358" s="1" t="str">
        <f>IF(C1358="", "", IFERROR(VLOOKUP(C1358, 作品一覧!A:B, 2, FALSE), "該当なし"))</f>
        <v>金色のコルダ スターライトオーケストラ</v>
      </c>
      <c r="E1358" s="1" t="str">
        <f ca="1">IFERROR(__xludf.DUMMYFUNCTION("""COMPUTED_VALUE"""),"宇賀神惟世")</f>
        <v>宇賀神惟世</v>
      </c>
      <c r="F1358" s="1" t="s">
        <v>2176</v>
      </c>
    </row>
    <row r="1359" spans="1:6" ht="13.2">
      <c r="A1359" s="1" t="str">
        <f t="array" aca="1" ref="A1359" ca="1">IF(B1359="", "", IFERROR(INDEX(声優一覧!A:A, MATCH(B1359, 声優一覧!B:B, 0)), "該当なし"))</f>
        <v>va_075</v>
      </c>
      <c r="B1359" s="1" t="str">
        <f ca="1">IFERROR(__xludf.DUMMYFUNCTION("""COMPUTED_VALUE"""),"小林裕介")</f>
        <v>小林裕介</v>
      </c>
      <c r="C1359" s="1" t="s">
        <v>90</v>
      </c>
      <c r="D1359" s="1" t="str">
        <f>IF(C1359="", "", IFERROR(VLOOKUP(C1359, 作品一覧!A:B, 2, FALSE), "該当なし"))</f>
        <v>金色のコルダ スターライトオーケストラ</v>
      </c>
      <c r="E1359" s="1" t="str">
        <f ca="1">IFERROR(__xludf.DUMMYFUNCTION("""COMPUTED_VALUE"""),"宇賀神七瀬")</f>
        <v>宇賀神七瀬</v>
      </c>
      <c r="F1359" s="1" t="s">
        <v>2177</v>
      </c>
    </row>
    <row r="1360" spans="1:6" ht="13.2">
      <c r="A1360" s="1" t="str">
        <f t="array" aca="1" ref="A1360" ca="1">IF(B1360="", "", IFERROR(INDEX(声優一覧!A:A, MATCH(B1360, 声優一覧!B:B, 0)), "該当なし"))</f>
        <v>va_180</v>
      </c>
      <c r="B1360" s="1" t="str">
        <f ca="1">IFERROR(__xludf.DUMMYFUNCTION("""COMPUTED_VALUE"""),"緑川光")</f>
        <v>緑川光</v>
      </c>
      <c r="C1360" s="1" t="s">
        <v>176</v>
      </c>
      <c r="D1360" s="1" t="str">
        <f>IF(C1360="", "", IFERROR(VLOOKUP(C1360, 作品一覧!A:B, 2, FALSE), "該当なし"))</f>
        <v>DIABOLIK LOVERS</v>
      </c>
      <c r="E1360" s="1" t="str">
        <f ca="1">IFERROR(__xludf.DUMMYFUNCTION("""COMPUTED_VALUE"""),"逆巻アヤト")</f>
        <v>逆巻アヤト</v>
      </c>
      <c r="F1360" s="1" t="s">
        <v>2178</v>
      </c>
    </row>
    <row r="1361" spans="1:6" ht="13.2">
      <c r="A1361" s="1" t="str">
        <f t="array" aca="1" ref="A1361" ca="1">IF(B1361="", "", IFERROR(INDEX(声優一覧!A:A, MATCH(B1361, 声優一覧!B:B, 0)), "該当なし"))</f>
        <v>va_051</v>
      </c>
      <c r="B1361" s="1" t="str">
        <f ca="1">IFERROR(__xludf.DUMMYFUNCTION("""COMPUTED_VALUE"""),"梶裕貴")</f>
        <v>梶裕貴</v>
      </c>
      <c r="C1361" s="1" t="s">
        <v>176</v>
      </c>
      <c r="D1361" s="1" t="str">
        <f>IF(C1361="", "", IFERROR(VLOOKUP(C1361, 作品一覧!A:B, 2, FALSE), "該当なし"))</f>
        <v>DIABOLIK LOVERS</v>
      </c>
      <c r="E1361" s="1" t="str">
        <f ca="1">IFERROR(__xludf.DUMMYFUNCTION("""COMPUTED_VALUE"""),"逆巻カナト")</f>
        <v>逆巻カナト</v>
      </c>
      <c r="F1361" s="1" t="s">
        <v>2179</v>
      </c>
    </row>
    <row r="1362" spans="1:6" ht="13.2">
      <c r="A1362" s="1" t="str">
        <f t="array" aca="1" ref="A1362" ca="1">IF(B1362="", "", IFERROR(INDEX(声優一覧!A:A, MATCH(B1362, 声優一覧!B:B, 0)), "該当なし"))</f>
        <v>va_157</v>
      </c>
      <c r="B1362" s="1" t="str">
        <f ca="1">IFERROR(__xludf.DUMMYFUNCTION("""COMPUTED_VALUE"""),"平川大輔")</f>
        <v>平川大輔</v>
      </c>
      <c r="C1362" s="1" t="s">
        <v>176</v>
      </c>
      <c r="D1362" s="1" t="str">
        <f>IF(C1362="", "", IFERROR(VLOOKUP(C1362, 作品一覧!A:B, 2, FALSE), "該当なし"))</f>
        <v>DIABOLIK LOVERS</v>
      </c>
      <c r="E1362" s="1" t="str">
        <f ca="1">IFERROR(__xludf.DUMMYFUNCTION("""COMPUTED_VALUE"""),"逆巻ライト")</f>
        <v>逆巻ライト</v>
      </c>
      <c r="F1362" s="1" t="s">
        <v>2180</v>
      </c>
    </row>
    <row r="1363" spans="1:6" ht="13.2">
      <c r="A1363" s="1" t="str">
        <f t="array" aca="1" ref="A1363" ca="1">IF(B1363="", "", IFERROR(INDEX(声優一覧!A:A, MATCH(B1363, 声優一覧!B:B, 0)), "該当なし"))</f>
        <v>va_132</v>
      </c>
      <c r="B1363" s="1" t="str">
        <f ca="1">IFERROR(__xludf.DUMMYFUNCTION("""COMPUTED_VALUE"""),"鳥海浩輔")</f>
        <v>鳥海浩輔</v>
      </c>
      <c r="C1363" s="1" t="s">
        <v>176</v>
      </c>
      <c r="D1363" s="1" t="str">
        <f>IF(C1363="", "", IFERROR(VLOOKUP(C1363, 作品一覧!A:B, 2, FALSE), "該当なし"))</f>
        <v>DIABOLIK LOVERS</v>
      </c>
      <c r="E1363" s="1" t="str">
        <f ca="1">IFERROR(__xludf.DUMMYFUNCTION("""COMPUTED_VALUE"""),"逆巻シュウ")</f>
        <v>逆巻シュウ</v>
      </c>
      <c r="F1363" s="1" t="s">
        <v>2181</v>
      </c>
    </row>
    <row r="1364" spans="1:6" ht="13.2">
      <c r="A1364" s="1" t="str">
        <f t="array" aca="1" ref="A1364" ca="1">IF(B1364="", "", IFERROR(INDEX(声優一覧!A:A, MATCH(B1364, 声優一覧!B:B, 0)), "該当なし"))</f>
        <v>va_078</v>
      </c>
      <c r="B1364" s="1" t="str">
        <f ca="1">IFERROR(__xludf.DUMMYFUNCTION("""COMPUTED_VALUE"""),"小西克幸")</f>
        <v>小西克幸</v>
      </c>
      <c r="C1364" s="1" t="s">
        <v>176</v>
      </c>
      <c r="D1364" s="1" t="str">
        <f>IF(C1364="", "", IFERROR(VLOOKUP(C1364, 作品一覧!A:B, 2, FALSE), "該当なし"))</f>
        <v>DIABOLIK LOVERS</v>
      </c>
      <c r="E1364" s="1" t="str">
        <f ca="1">IFERROR(__xludf.DUMMYFUNCTION("""COMPUTED_VALUE"""),"逆巻レイジ")</f>
        <v>逆巻レイジ</v>
      </c>
      <c r="F1364" s="1" t="s">
        <v>2182</v>
      </c>
    </row>
    <row r="1365" spans="1:6" ht="13.2">
      <c r="A1365" s="1" t="str">
        <f t="array" aca="1" ref="A1365" ca="1">IF(B1365="", "", IFERROR(INDEX(声優一覧!A:A, MATCH(B1365, 声優一覧!B:B, 0)), "該当なし"))</f>
        <v>va_081</v>
      </c>
      <c r="B1365" s="1" t="str">
        <f ca="1">IFERROR(__xludf.DUMMYFUNCTION("""COMPUTED_VALUE"""),"近藤隆")</f>
        <v>近藤隆</v>
      </c>
      <c r="C1365" s="1" t="s">
        <v>176</v>
      </c>
      <c r="D1365" s="1" t="str">
        <f>IF(C1365="", "", IFERROR(VLOOKUP(C1365, 作品一覧!A:B, 2, FALSE), "該当なし"))</f>
        <v>DIABOLIK LOVERS</v>
      </c>
      <c r="E1365" s="1" t="str">
        <f ca="1">IFERROR(__xludf.DUMMYFUNCTION("""COMPUTED_VALUE"""),"逆巻スバル")</f>
        <v>逆巻スバル</v>
      </c>
      <c r="F1365" s="1" t="s">
        <v>2183</v>
      </c>
    </row>
    <row r="1366" spans="1:6" ht="13.2">
      <c r="A1366" s="1" t="str">
        <f t="array" aca="1" ref="A1366" ca="1">IF(B1366="", "", IFERROR(INDEX(声優一覧!A:A, MATCH(B1366, 声優一覧!B:B, 0)), "該当なし"))</f>
        <v>va_304</v>
      </c>
      <c r="B1366" s="1" t="str">
        <f ca="1">IFERROR(__xludf.DUMMYFUNCTION("""COMPUTED_VALUE"""),"櫻井孝宏")</f>
        <v>櫻井孝宏</v>
      </c>
      <c r="C1366" s="1" t="s">
        <v>176</v>
      </c>
      <c r="D1366" s="1" t="str">
        <f>IF(C1366="", "", IFERROR(VLOOKUP(C1366, 作品一覧!A:B, 2, FALSE), "該当なし"))</f>
        <v>DIABOLIK LOVERS</v>
      </c>
      <c r="E1366" s="1" t="str">
        <f ca="1">IFERROR(__xludf.DUMMYFUNCTION("""COMPUTED_VALUE"""),"無神ルキ")</f>
        <v>無神ルキ</v>
      </c>
      <c r="F1366" s="1" t="s">
        <v>2184</v>
      </c>
    </row>
    <row r="1367" spans="1:6" ht="13.2">
      <c r="A1367" s="1" t="str">
        <f t="array" aca="1" ref="A1367" ca="1">IF(B1367="", "", IFERROR(INDEX(声優一覧!A:A, MATCH(B1367, 声優一覧!B:B, 0)), "該当なし"))</f>
        <v>va_066</v>
      </c>
      <c r="B1367" s="1" t="str">
        <f ca="1">IFERROR(__xludf.DUMMYFUNCTION("""COMPUTED_VALUE"""),"木村良平")</f>
        <v>木村良平</v>
      </c>
      <c r="C1367" s="1" t="s">
        <v>176</v>
      </c>
      <c r="D1367" s="1" t="str">
        <f>IF(C1367="", "", IFERROR(VLOOKUP(C1367, 作品一覧!A:B, 2, FALSE), "該当なし"))</f>
        <v>DIABOLIK LOVERS</v>
      </c>
      <c r="E1367" s="1" t="str">
        <f ca="1">IFERROR(__xludf.DUMMYFUNCTION("""COMPUTED_VALUE"""),"無神コウ")</f>
        <v>無神コウ</v>
      </c>
      <c r="F1367" s="1" t="s">
        <v>2185</v>
      </c>
    </row>
    <row r="1368" spans="1:6" ht="13.2">
      <c r="A1368" s="1" t="str">
        <f t="array" aca="1" ref="A1368" ca="1">IF(B1368="", "", IFERROR(INDEX(声優一覧!A:A, MATCH(B1368, 声優一覧!B:B, 0)), "該当なし"))</f>
        <v>va_237</v>
      </c>
      <c r="B1368" s="1" t="str">
        <f ca="1">IFERROR(__xludf.DUMMYFUNCTION("""COMPUTED_VALUE"""),"鈴木達央")</f>
        <v>鈴木達央</v>
      </c>
      <c r="C1368" s="1" t="s">
        <v>176</v>
      </c>
      <c r="D1368" s="1" t="str">
        <f>IF(C1368="", "", IFERROR(VLOOKUP(C1368, 作品一覧!A:B, 2, FALSE), "該当なし"))</f>
        <v>DIABOLIK LOVERS</v>
      </c>
      <c r="E1368" s="1" t="str">
        <f ca="1">IFERROR(__xludf.DUMMYFUNCTION("""COMPUTED_VALUE"""),"無神ユーマ")</f>
        <v>無神ユーマ</v>
      </c>
      <c r="F1368" s="1" t="s">
        <v>2186</v>
      </c>
    </row>
    <row r="1369" spans="1:6" ht="13.2">
      <c r="A1369" s="1" t="str">
        <f t="array" aca="1" ref="A1369" ca="1">IF(B1369="", "", IFERROR(INDEX(声優一覧!A:A, MATCH(B1369, 声優一覧!B:B, 0)), "該当なし"))</f>
        <v>va_302</v>
      </c>
      <c r="B1369" s="1" t="str">
        <f ca="1">IFERROR(__xludf.DUMMYFUNCTION("""COMPUTED_VALUE"""),"岸尾だいすけ")</f>
        <v>岸尾だいすけ</v>
      </c>
      <c r="C1369" s="1" t="s">
        <v>176</v>
      </c>
      <c r="D1369" s="1" t="str">
        <f>IF(C1369="", "", IFERROR(VLOOKUP(C1369, 作品一覧!A:B, 2, FALSE), "該当なし"))</f>
        <v>DIABOLIK LOVERS</v>
      </c>
      <c r="E1369" s="1" t="str">
        <f ca="1">IFERROR(__xludf.DUMMYFUNCTION("""COMPUTED_VALUE"""),"無神アズサ")</f>
        <v>無神アズサ</v>
      </c>
      <c r="F1369" s="1" t="s">
        <v>2187</v>
      </c>
    </row>
    <row r="1370" spans="1:6" ht="13.2">
      <c r="A1370" s="1" t="str">
        <f t="array" aca="1" ref="A1370" ca="1">IF(B1370="", "", IFERROR(INDEX(声優一覧!A:A, MATCH(B1370, 声優一覧!B:B, 0)), "該当なし"))</f>
        <v>va_186</v>
      </c>
      <c r="B1370" s="1" t="str">
        <f ca="1">IFERROR(__xludf.DUMMYFUNCTION("""COMPUTED_VALUE"""),"森川智之")</f>
        <v>森川智之</v>
      </c>
      <c r="C1370" s="1" t="s">
        <v>176</v>
      </c>
      <c r="D1370" s="1" t="str">
        <f>IF(C1370="", "", IFERROR(VLOOKUP(C1370, 作品一覧!A:B, 2, FALSE), "該当なし"))</f>
        <v>DIABOLIK LOVERS</v>
      </c>
      <c r="E1370" s="1" t="str">
        <f ca="1">IFERROR(__xludf.DUMMYFUNCTION("""COMPUTED_VALUE"""),"月浪カルラ")</f>
        <v>月浪カルラ</v>
      </c>
      <c r="F1370" s="1" t="s">
        <v>2188</v>
      </c>
    </row>
    <row r="1371" spans="1:6" ht="13.2">
      <c r="A1371" s="1" t="str">
        <f t="array" aca="1" ref="A1371" ca="1">IF(B1371="", "", IFERROR(INDEX(声優一覧!A:A, MATCH(B1371, 声優一覧!B:B, 0)), "該当なし"))</f>
        <v>va_185</v>
      </c>
      <c r="B1371" s="1" t="str">
        <f ca="1">IFERROR(__xludf.DUMMYFUNCTION("""COMPUTED_VALUE"""),"森久保祥太郎")</f>
        <v>森久保祥太郎</v>
      </c>
      <c r="C1371" s="1" t="s">
        <v>176</v>
      </c>
      <c r="D1371" s="1" t="str">
        <f>IF(C1371="", "", IFERROR(VLOOKUP(C1371, 作品一覧!A:B, 2, FALSE), "該当なし"))</f>
        <v>DIABOLIK LOVERS</v>
      </c>
      <c r="E1371" s="1" t="str">
        <f ca="1">IFERROR(__xludf.DUMMYFUNCTION("""COMPUTED_VALUE"""),"月浪シン")</f>
        <v>月浪シン</v>
      </c>
      <c r="F1371" s="1" t="s">
        <v>2189</v>
      </c>
    </row>
    <row r="1372" spans="1:6" ht="13.2">
      <c r="A1372" s="1" t="str">
        <f t="array" aca="1" ref="A1372" ca="1">IF(B1372="", "", IFERROR(INDEX(声優一覧!A:A, MATCH(B1372, 声優一覧!B:B, 0)), "該当なし"))</f>
        <v>va_169</v>
      </c>
      <c r="B1372" s="1" t="str">
        <f ca="1">IFERROR(__xludf.DUMMYFUNCTION("""COMPUTED_VALUE"""),"前野智昭")</f>
        <v>前野智昭</v>
      </c>
      <c r="C1372" s="1" t="s">
        <v>176</v>
      </c>
      <c r="D1372" s="1" t="str">
        <f>IF(C1372="", "", IFERROR(VLOOKUP(C1372, 作品一覧!A:B, 2, FALSE), "該当なし"))</f>
        <v>DIABOLIK LOVERS</v>
      </c>
      <c r="E1372" s="1" t="str">
        <f ca="1">IFERROR(__xludf.DUMMYFUNCTION("""COMPUTED_VALUE"""),"キノ")</f>
        <v>キノ</v>
      </c>
      <c r="F1372" s="1" t="s">
        <v>2190</v>
      </c>
    </row>
    <row r="1373" spans="1:6" ht="13.2">
      <c r="A1373" s="1" t="str">
        <f t="array" aca="1" ref="A1373" ca="1">IF(B1373="", "", IFERROR(INDEX(声優一覧!A:A, MATCH(B1373, 声優一覧!B:B, 0)), "該当なし"))</f>
        <v>va_028</v>
      </c>
      <c r="B1373" s="1" t="str">
        <f ca="1">IFERROR(__xludf.DUMMYFUNCTION("""COMPUTED_VALUE"""),"上村祐翔")</f>
        <v>上村祐翔</v>
      </c>
      <c r="C1373" s="1" t="s">
        <v>182</v>
      </c>
      <c r="D1373" s="1" t="str">
        <f>IF(C1373="", "", IFERROR(VLOOKUP(C1373, 作品一覧!A:B, 2, FALSE), "該当なし"))</f>
        <v>ディア♥ヴォーカリスト</v>
      </c>
      <c r="E1373" s="1" t="str">
        <f ca="1">IFERROR(__xludf.DUMMYFUNCTION("""COMPUTED_VALUE"""),"ノエ")</f>
        <v>ノエ</v>
      </c>
      <c r="F1373" s="1" t="s">
        <v>2191</v>
      </c>
    </row>
    <row r="1374" spans="1:6" ht="13.2">
      <c r="A1374" s="1" t="str">
        <f t="array" aca="1" ref="A1374" ca="1">IF(B1374="", "", IFERROR(INDEX(声優一覧!A:A, MATCH(B1374, 声優一覧!B:B, 0)), "該当なし"))</f>
        <v>va_172</v>
      </c>
      <c r="B1374" s="1" t="str">
        <f ca="1">IFERROR(__xludf.DUMMYFUNCTION("""COMPUTED_VALUE"""),"増田俊樹")</f>
        <v>増田俊樹</v>
      </c>
      <c r="C1374" s="1" t="s">
        <v>182</v>
      </c>
      <c r="D1374" s="1" t="str">
        <f>IF(C1374="", "", IFERROR(VLOOKUP(C1374, 作品一覧!A:B, 2, FALSE), "該当なし"))</f>
        <v>ディア♥ヴォーカリスト</v>
      </c>
      <c r="E1374" s="1" t="str">
        <f ca="1">IFERROR(__xludf.DUMMYFUNCTION("""COMPUTED_VALUE"""),"レオード")</f>
        <v>レオード</v>
      </c>
      <c r="F1374" s="1" t="s">
        <v>2192</v>
      </c>
    </row>
    <row r="1375" spans="1:6" ht="13.2">
      <c r="A1375" s="1" t="str">
        <f t="array" aca="1" ref="A1375" ca="1">IF(B1375="", "", IFERROR(INDEX(声優一覧!A:A, MATCH(B1375, 声優一覧!B:B, 0)), "該当なし"))</f>
        <v>va_188</v>
      </c>
      <c r="B1375" s="1" t="str">
        <f ca="1">IFERROR(__xludf.DUMMYFUNCTION("""COMPUTED_VALUE"""),"八代拓")</f>
        <v>八代拓</v>
      </c>
      <c r="C1375" s="1" t="s">
        <v>182</v>
      </c>
      <c r="D1375" s="1" t="str">
        <f>IF(C1375="", "", IFERROR(VLOOKUP(C1375, 作品一覧!A:B, 2, FALSE), "該当なし"))</f>
        <v>ディア♥ヴォーカリスト</v>
      </c>
      <c r="E1375" s="1" t="str">
        <f ca="1">IFERROR(__xludf.DUMMYFUNCTION("""COMPUTED_VALUE"""),"シンバ")</f>
        <v>シンバ</v>
      </c>
      <c r="F1375" s="1" t="s">
        <v>2193</v>
      </c>
    </row>
    <row r="1376" spans="1:6" ht="13.2">
      <c r="A1376" s="1" t="str">
        <f t="array" aca="1" ref="A1376" ca="1">IF(B1376="", "", IFERROR(INDEX(声優一覧!A:A, MATCH(B1376, 声優一覧!B:B, 0)), "該当なし"))</f>
        <v>va_112</v>
      </c>
      <c r="B1376" s="1" t="str">
        <f ca="1">IFERROR(__xludf.DUMMYFUNCTION("""COMPUTED_VALUE"""),"武内駿輔")</f>
        <v>武内駿輔</v>
      </c>
      <c r="C1376" s="1" t="s">
        <v>182</v>
      </c>
      <c r="D1376" s="1" t="str">
        <f>IF(C1376="", "", IFERROR(VLOOKUP(C1376, 作品一覧!A:B, 2, FALSE), "該当なし"))</f>
        <v>ディア♥ヴォーカリスト</v>
      </c>
      <c r="E1376" s="1" t="str">
        <f ca="1">IFERROR(__xludf.DUMMYFUNCTION("""COMPUTED_VALUE"""),"トーマ")</f>
        <v>トーマ</v>
      </c>
      <c r="F1376" s="1" t="s">
        <v>2194</v>
      </c>
    </row>
    <row r="1377" spans="1:6" ht="13.2">
      <c r="A1377" s="1" t="str">
        <f t="array" aca="1" ref="A1377" ca="1">IF(B1377="", "", IFERROR(INDEX(声優一覧!A:A, MATCH(B1377, 声優一覧!B:B, 0)), "該当なし"))</f>
        <v>va_114</v>
      </c>
      <c r="B1377" s="1" t="str">
        <f ca="1">IFERROR(__xludf.DUMMYFUNCTION("""COMPUTED_VALUE"""),"立花慎之介")</f>
        <v>立花慎之介</v>
      </c>
      <c r="C1377" s="1" t="s">
        <v>182</v>
      </c>
      <c r="D1377" s="1" t="str">
        <f>IF(C1377="", "", IFERROR(VLOOKUP(C1377, 作品一覧!A:B, 2, FALSE), "該当なし"))</f>
        <v>ディア♥ヴォーカリスト</v>
      </c>
      <c r="E1377" s="1" t="str">
        <f ca="1">IFERROR(__xludf.DUMMYFUNCTION("""COMPUTED_VALUE"""),"シックス")</f>
        <v>シックス</v>
      </c>
      <c r="F1377" s="1" t="s">
        <v>2195</v>
      </c>
    </row>
    <row r="1378" spans="1:6" ht="13.2">
      <c r="A1378" s="1" t="str">
        <f t="array" aca="1" ref="A1378" ca="1">IF(B1378="", "", IFERROR(INDEX(声優一覧!A:A, MATCH(B1378, 声優一覧!B:B, 0)), "該当なし"))</f>
        <v>va_066</v>
      </c>
      <c r="B1378" s="1" t="str">
        <f ca="1">IFERROR(__xludf.DUMMYFUNCTION("""COMPUTED_VALUE"""),"木村良平")</f>
        <v>木村良平</v>
      </c>
      <c r="C1378" s="1" t="s">
        <v>182</v>
      </c>
      <c r="D1378" s="1" t="str">
        <f>IF(C1378="", "", IFERROR(VLOOKUP(C1378, 作品一覧!A:B, 2, FALSE), "該当なし"))</f>
        <v>ディア♥ヴォーカリスト</v>
      </c>
      <c r="E1378" s="1" t="str">
        <f ca="1">IFERROR(__xludf.DUMMYFUNCTION("""COMPUTED_VALUE"""),"エーダッシュ")</f>
        <v>エーダッシュ</v>
      </c>
      <c r="F1378" s="1" t="s">
        <v>2196</v>
      </c>
    </row>
    <row r="1379" spans="1:6" ht="13.2">
      <c r="A1379" s="1" t="str">
        <f t="array" aca="1" ref="A1379" ca="1">IF(B1379="", "", IFERROR(INDEX(声優一覧!A:A, MATCH(B1379, 声優一覧!B:B, 0)), "該当なし"))</f>
        <v>va_117</v>
      </c>
      <c r="B1379" s="1" t="str">
        <f ca="1">IFERROR(__xludf.DUMMYFUNCTION("""COMPUTED_VALUE"""),"田丸篤志")</f>
        <v>田丸篤志</v>
      </c>
      <c r="C1379" s="1" t="s">
        <v>182</v>
      </c>
      <c r="D1379" s="1" t="str">
        <f>IF(C1379="", "", IFERROR(VLOOKUP(C1379, 作品一覧!A:B, 2, FALSE), "該当なし"))</f>
        <v>ディア♥ヴォーカリスト</v>
      </c>
      <c r="E1379" s="1" t="str">
        <f ca="1">IFERROR(__xludf.DUMMYFUNCTION("""COMPUTED_VALUE"""),"ナイトメア")</f>
        <v>ナイトメア</v>
      </c>
      <c r="F1379" s="1" t="s">
        <v>2197</v>
      </c>
    </row>
    <row r="1380" spans="1:6" ht="13.2">
      <c r="A1380" s="1" t="str">
        <f t="array" aca="1" ref="A1380" ca="1">IF(B1380="", "", IFERROR(INDEX(声優一覧!A:A, MATCH(B1380, 声優一覧!B:B, 0)), "該当なし"))</f>
        <v>va_124</v>
      </c>
      <c r="B1380" s="1" t="str">
        <f ca="1">IFERROR(__xludf.DUMMYFUNCTION("""COMPUTED_VALUE"""),"寺島惇太")</f>
        <v>寺島惇太</v>
      </c>
      <c r="C1380" s="1" t="s">
        <v>182</v>
      </c>
      <c r="D1380" s="1" t="str">
        <f>IF(C1380="", "", IFERROR(VLOOKUP(C1380, 作品一覧!A:B, 2, FALSE), "該当なし"))</f>
        <v>ディア♥ヴォーカリスト</v>
      </c>
      <c r="E1380" s="1" t="str">
        <f ca="1">IFERROR(__xludf.DUMMYFUNCTION("""COMPUTED_VALUE"""),"ジン")</f>
        <v>ジン</v>
      </c>
      <c r="F1380" s="1" t="s">
        <v>2198</v>
      </c>
    </row>
    <row r="1381" spans="1:6" ht="13.2">
      <c r="A1381" s="1" t="str">
        <f t="array" aca="1" ref="A1381" ca="1">IF(B1381="", "", IFERROR(INDEX(声優一覧!A:A, MATCH(B1381, 声優一覧!B:B, 0)), "該当なし"))</f>
        <v>va_075</v>
      </c>
      <c r="B1381" s="1" t="str">
        <f ca="1">IFERROR(__xludf.DUMMYFUNCTION("""COMPUTED_VALUE"""),"小林裕介")</f>
        <v>小林裕介</v>
      </c>
      <c r="C1381" s="1" t="s">
        <v>182</v>
      </c>
      <c r="D1381" s="1" t="str">
        <f>IF(C1381="", "", IFERROR(VLOOKUP(C1381, 作品一覧!A:B, 2, FALSE), "該当なし"))</f>
        <v>ディア♥ヴォーカリスト</v>
      </c>
      <c r="E1381" s="1" t="str">
        <f ca="1">IFERROR(__xludf.DUMMYFUNCTION("""COMPUTED_VALUE"""),"カイト")</f>
        <v>カイト</v>
      </c>
      <c r="F1381" s="1" t="s">
        <v>2199</v>
      </c>
    </row>
    <row r="1382" spans="1:6" ht="13.2">
      <c r="A1382" s="1" t="str">
        <f t="array" aca="1" ref="A1382" ca="1">IF(B1382="", "", IFERROR(INDEX(声優一覧!A:A, MATCH(B1382, 声優一覧!B:B, 0)), "該当なし"))</f>
        <v>va_150</v>
      </c>
      <c r="B1382" s="1" t="str">
        <f ca="1">IFERROR(__xludf.DUMMYFUNCTION("""COMPUTED_VALUE"""),"花江夏樹")</f>
        <v>花江夏樹</v>
      </c>
      <c r="C1382" s="1" t="s">
        <v>182</v>
      </c>
      <c r="D1382" s="1" t="str">
        <f>IF(C1382="", "", IFERROR(VLOOKUP(C1382, 作品一覧!A:B, 2, FALSE), "該当なし"))</f>
        <v>ディア♥ヴォーカリスト</v>
      </c>
      <c r="E1382" s="1" t="str">
        <f ca="1">IFERROR(__xludf.DUMMYFUNCTION("""COMPUTED_VALUE"""),"ユゥ")</f>
        <v>ユゥ</v>
      </c>
      <c r="F1382" s="1" t="s">
        <v>2200</v>
      </c>
    </row>
    <row r="1383" spans="1:6" ht="13.2">
      <c r="A1383" s="1" t="str">
        <f t="array" aca="1" ref="A1383" ca="1">IF(B1383="", "", IFERROR(INDEX(声優一覧!A:A, MATCH(B1383, 声優一覧!B:B, 0)), "該当なし"))</f>
        <v>va_036</v>
      </c>
      <c r="B1383" s="1" t="str">
        <f ca="1">IFERROR(__xludf.DUMMYFUNCTION("""COMPUTED_VALUE"""),"榎木淳弥")</f>
        <v>榎木淳弥</v>
      </c>
      <c r="C1383" s="1" t="s">
        <v>182</v>
      </c>
      <c r="D1383" s="1" t="str">
        <f>IF(C1383="", "", IFERROR(VLOOKUP(C1383, 作品一覧!A:B, 2, FALSE), "該当なし"))</f>
        <v>ディア♥ヴォーカリスト</v>
      </c>
      <c r="E1383" s="1" t="str">
        <f ca="1">IFERROR(__xludf.DUMMYFUNCTION("""COMPUTED_VALUE"""),"コーシ")</f>
        <v>コーシ</v>
      </c>
      <c r="F1383" s="1" t="s">
        <v>2201</v>
      </c>
    </row>
    <row r="1384" spans="1:6" ht="13.2">
      <c r="A1384" s="1" t="str">
        <f t="array" aca="1" ref="A1384" ca="1">IF(B1384="", "", IFERROR(INDEX(声優一覧!A:A, MATCH(B1384, 声優一覧!B:B, 0)), "該当なし"))</f>
        <v>va_013</v>
      </c>
      <c r="B1384" s="1" t="str">
        <f ca="1">IFERROR(__xludf.DUMMYFUNCTION("""COMPUTED_VALUE"""),"石川界人")</f>
        <v>石川界人</v>
      </c>
      <c r="C1384" s="1" t="s">
        <v>182</v>
      </c>
      <c r="D1384" s="1" t="str">
        <f>IF(C1384="", "", IFERROR(VLOOKUP(C1384, 作品一覧!A:B, 2, FALSE), "該当なし"))</f>
        <v>ディア♥ヴォーカリスト</v>
      </c>
      <c r="E1384" s="1" t="str">
        <f ca="1">IFERROR(__xludf.DUMMYFUNCTION("""COMPUTED_VALUE"""),"シモン")</f>
        <v>シモン</v>
      </c>
      <c r="F1384" s="1" t="s">
        <v>2202</v>
      </c>
    </row>
    <row r="1385" spans="1:6" ht="13.2">
      <c r="A1385" s="1" t="str">
        <f t="array" aca="1" ref="A1385" ca="1">IF(B1385="", "", IFERROR(INDEX(声優一覧!A:A, MATCH(B1385, 声優一覧!B:B, 0)), "該当なし"))</f>
        <v>va_083</v>
      </c>
      <c r="B1385" s="1" t="str">
        <f ca="1">IFERROR(__xludf.DUMMYFUNCTION("""COMPUTED_VALUE"""),"斉藤壮馬")</f>
        <v>斉藤壮馬</v>
      </c>
      <c r="C1385" s="1" t="s">
        <v>182</v>
      </c>
      <c r="D1385" s="1" t="str">
        <f>IF(C1385="", "", IFERROR(VLOOKUP(C1385, 作品一覧!A:B, 2, FALSE), "該当なし"))</f>
        <v>ディア♥ヴォーカリスト</v>
      </c>
      <c r="E1385" s="1" t="str">
        <f ca="1">IFERROR(__xludf.DUMMYFUNCTION("""COMPUTED_VALUE"""),"ジュダ")</f>
        <v>ジュダ</v>
      </c>
      <c r="F1385" s="1" t="s">
        <v>2203</v>
      </c>
    </row>
    <row r="1386" spans="1:6" ht="13.2">
      <c r="A1386" s="1" t="str">
        <f t="array" aca="1" ref="A1386" ca="1">IF(B1386="", "", IFERROR(INDEX(声優一覧!A:A, MATCH(B1386, 声優一覧!B:B, 0)), "該当なし"))</f>
        <v>va_196</v>
      </c>
      <c r="B1386" s="1" t="str">
        <f ca="1">IFERROR(__xludf.DUMMYFUNCTION("""COMPUTED_VALUE"""),"山谷祥生")</f>
        <v>山谷祥生</v>
      </c>
      <c r="C1386" s="1" t="s">
        <v>182</v>
      </c>
      <c r="D1386" s="1" t="str">
        <f>IF(C1386="", "", IFERROR(VLOOKUP(C1386, 作品一覧!A:B, 2, FALSE), "該当なし"))</f>
        <v>ディア♥ヴォーカリスト</v>
      </c>
      <c r="E1386" s="1" t="str">
        <f ca="1">IFERROR(__xludf.DUMMYFUNCTION("""COMPUTED_VALUE"""),"シズル")</f>
        <v>シズル</v>
      </c>
      <c r="F1386" s="1" t="s">
        <v>2204</v>
      </c>
    </row>
    <row r="1387" spans="1:6" ht="13.2">
      <c r="A1387" s="1" t="str">
        <f t="array" aca="1" ref="A1387" ca="1">IF(B1387="", "", IFERROR(INDEX(声優一覧!A:A, MATCH(B1387, 声優一覧!B:B, 0)), "該当なし"))</f>
        <v>va_161</v>
      </c>
      <c r="B1387" s="1" t="str">
        <f ca="1">IFERROR(__xludf.DUMMYFUNCTION("""COMPUTED_VALUE"""),"古川慎")</f>
        <v>古川慎</v>
      </c>
      <c r="C1387" s="1" t="s">
        <v>182</v>
      </c>
      <c r="D1387" s="1" t="str">
        <f>IF(C1387="", "", IFERROR(VLOOKUP(C1387, 作品一覧!A:B, 2, FALSE), "該当なし"))</f>
        <v>ディア♥ヴォーカリスト</v>
      </c>
      <c r="E1387" s="1" t="str">
        <f ca="1">IFERROR(__xludf.DUMMYFUNCTION("""COMPUTED_VALUE"""),"オーギ")</f>
        <v>オーギ</v>
      </c>
      <c r="F1387" s="1" t="s">
        <v>2205</v>
      </c>
    </row>
    <row r="1388" spans="1:6" ht="13.2">
      <c r="A1388" s="1" t="str">
        <f t="array" aca="1" ref="A1388" ca="1">IF(B1388="", "", IFERROR(INDEX(声優一覧!A:A, MATCH(B1388, 声優一覧!B:B, 0)), "該当なし"))</f>
        <v>va_131</v>
      </c>
      <c r="B1388" s="1" t="str">
        <f ca="1">IFERROR(__xludf.DUMMYFUNCTION("""COMPUTED_VALUE"""),"豊永利行")</f>
        <v>豊永利行</v>
      </c>
      <c r="C1388" s="1" t="s">
        <v>182</v>
      </c>
      <c r="D1388" s="1" t="str">
        <f>IF(C1388="", "", IFERROR(VLOOKUP(C1388, 作品一覧!A:B, 2, FALSE), "該当なし"))</f>
        <v>ディア♥ヴォーカリスト</v>
      </c>
      <c r="E1388" s="1" t="str">
        <f ca="1">IFERROR(__xludf.DUMMYFUNCTION("""COMPUTED_VALUE"""),"モモチ")</f>
        <v>モモチ</v>
      </c>
      <c r="F1388" s="1" t="s">
        <v>2206</v>
      </c>
    </row>
    <row r="1389" spans="1:6" ht="13.2">
      <c r="A1389" s="1" t="str">
        <f t="array" aca="1" ref="A1389" ca="1">IF(B1389="", "", IFERROR(INDEX(声優一覧!A:A, MATCH(B1389, 声優一覧!B:B, 0)), "該当なし"))</f>
        <v>va_058</v>
      </c>
      <c r="B1389" s="1" t="str">
        <f ca="1">IFERROR(__xludf.DUMMYFUNCTION("""COMPUTED_VALUE"""),"河西健吾")</f>
        <v>河西健吾</v>
      </c>
      <c r="C1389" s="1" t="s">
        <v>182</v>
      </c>
      <c r="D1389" s="1" t="str">
        <f>IF(C1389="", "", IFERROR(VLOOKUP(C1389, 作品一覧!A:B, 2, FALSE), "該当なし"))</f>
        <v>ディア♥ヴォーカリスト</v>
      </c>
      <c r="E1389" s="1" t="str">
        <f ca="1">IFERROR(__xludf.DUMMYFUNCTION("""COMPUTED_VALUE"""),"アマ")</f>
        <v>アマ</v>
      </c>
      <c r="F1389" s="1" t="s">
        <v>2207</v>
      </c>
    </row>
    <row r="1390" spans="1:6" ht="13.2">
      <c r="A1390" s="1" t="str">
        <f t="array" aca="1" ref="A1390" ca="1">IF(B1390="", "", IFERROR(INDEX(声優一覧!A:A, MATCH(B1390, 声優一覧!B:B, 0)), "該当なし"))</f>
        <v>va_129</v>
      </c>
      <c r="B1390" s="1" t="str">
        <f ca="1">IFERROR(__xludf.DUMMYFUNCTION("""COMPUTED_VALUE"""),"土岐隼一")</f>
        <v>土岐隼一</v>
      </c>
      <c r="C1390" s="1" t="s">
        <v>182</v>
      </c>
      <c r="D1390" s="1" t="str">
        <f>IF(C1390="", "", IFERROR(VLOOKUP(C1390, 作品一覧!A:B, 2, FALSE), "該当なし"))</f>
        <v>ディア♥ヴォーカリスト</v>
      </c>
      <c r="E1390" s="1" t="str">
        <f ca="1">IFERROR(__xludf.DUMMYFUNCTION("""COMPUTED_VALUE"""),"ヤマト")</f>
        <v>ヤマト</v>
      </c>
      <c r="F1390" s="1" t="s">
        <v>2208</v>
      </c>
    </row>
    <row r="1391" spans="1:6" ht="13.2">
      <c r="A1391" s="1" t="str">
        <f t="array" aca="1" ref="A1391" ca="1">IF(B1391="", "", IFERROR(INDEX(声優一覧!A:A, MATCH(B1391, 声優一覧!B:B, 0)), "該当なし"))</f>
        <v>va_250</v>
      </c>
      <c r="B1391" s="1" t="str">
        <f ca="1">IFERROR(__xludf.DUMMYFUNCTION("""COMPUTED_VALUE"""),"永塚拓馬")</f>
        <v>永塚拓馬</v>
      </c>
      <c r="C1391" s="1" t="s">
        <v>182</v>
      </c>
      <c r="D1391" s="1" t="str">
        <f>IF(C1391="", "", IFERROR(VLOOKUP(C1391, 作品一覧!A:B, 2, FALSE), "該当なし"))</f>
        <v>ディア♥ヴォーカリスト</v>
      </c>
      <c r="E1391" s="1" t="str">
        <f ca="1">IFERROR(__xludf.DUMMYFUNCTION("""COMPUTED_VALUE"""),"ソータ")</f>
        <v>ソータ</v>
      </c>
      <c r="F1391" s="1" t="s">
        <v>2209</v>
      </c>
    </row>
    <row r="1392" spans="1:6" ht="13.2">
      <c r="A1392" s="1" t="str">
        <f t="array" aca="1" ref="A1392" ca="1">IF(B1392="", "", IFERROR(INDEX(声優一覧!A:A, MATCH(B1392, 声優一覧!B:B, 0)), "該当なし"))</f>
        <v>va_072</v>
      </c>
      <c r="B1392" s="1" t="str">
        <f ca="1">IFERROR(__xludf.DUMMYFUNCTION("""COMPUTED_VALUE"""),"小林千晃")</f>
        <v>小林千晃</v>
      </c>
      <c r="C1392" s="1" t="s">
        <v>182</v>
      </c>
      <c r="D1392" s="1" t="str">
        <f>IF(C1392="", "", IFERROR(VLOOKUP(C1392, 作品一覧!A:B, 2, FALSE), "該当なし"))</f>
        <v>ディア♥ヴォーカリスト</v>
      </c>
      <c r="E1392" s="1" t="str">
        <f ca="1">IFERROR(__xludf.DUMMYFUNCTION("""COMPUTED_VALUE"""),"マツ")</f>
        <v>マツ</v>
      </c>
      <c r="F1392" s="1" t="s">
        <v>2210</v>
      </c>
    </row>
    <row r="1393" spans="1:6" ht="13.2">
      <c r="A1393" s="1" t="str">
        <f t="array" aca="1" ref="A1393" ca="1">IF(B1393="", "", IFERROR(INDEX(声優一覧!A:A, MATCH(B1393, 声優一覧!B:B, 0)), "該当なし"))</f>
        <v>va_094</v>
      </c>
      <c r="B1393" s="1" t="str">
        <f ca="1">IFERROR(__xludf.DUMMYFUNCTION("""COMPUTED_VALUE"""),"島﨑信長")</f>
        <v>島﨑信長</v>
      </c>
      <c r="C1393" s="1" t="s">
        <v>182</v>
      </c>
      <c r="D1393" s="1" t="str">
        <f>IF(C1393="", "", IFERROR(VLOOKUP(C1393, 作品一覧!A:B, 2, FALSE), "該当なし"))</f>
        <v>ディア♥ヴォーカリスト</v>
      </c>
      <c r="E1393" s="1" t="str">
        <f ca="1">IFERROR(__xludf.DUMMYFUNCTION("""COMPUTED_VALUE"""),"ヨシュア")</f>
        <v>ヨシュア</v>
      </c>
      <c r="F1393" s="1" t="s">
        <v>2211</v>
      </c>
    </row>
    <row r="1394" spans="1:6" ht="13.2">
      <c r="A1394" s="1" t="str">
        <f t="array" aca="1" ref="A1394" ca="1">IF(B1394="", "", IFERROR(INDEX(声優一覧!A:A, MATCH(B1394, 声優一覧!B:B, 0)), "該当なし"))</f>
        <v>va_048</v>
      </c>
      <c r="B1394" s="1" t="str">
        <f ca="1">IFERROR(__xludf.DUMMYFUNCTION("""COMPUTED_VALUE"""),"柿原徹也")</f>
        <v>柿原徹也</v>
      </c>
      <c r="C1394" s="1" t="s">
        <v>182</v>
      </c>
      <c r="D1394" s="1" t="str">
        <f>IF(C1394="", "", IFERROR(VLOOKUP(C1394, 作品一覧!A:B, 2, FALSE), "該当なし"))</f>
        <v>ディア♥ヴォーカリスト</v>
      </c>
      <c r="E1394" s="1" t="str">
        <f ca="1">IFERROR(__xludf.DUMMYFUNCTION("""COMPUTED_VALUE"""),"ユキ")</f>
        <v>ユキ</v>
      </c>
      <c r="F1394" s="1" t="s">
        <v>2212</v>
      </c>
    </row>
    <row r="1395" spans="1:6" ht="13.2">
      <c r="A1395" s="1" t="str">
        <f t="array" aca="1" ref="A1395" ca="1">IF(B1395="", "", IFERROR(INDEX(声優一覧!A:A, MATCH(B1395, 声優一覧!B:B, 0)), "該当なし"))</f>
        <v>va_200</v>
      </c>
      <c r="B1395" s="1" t="str">
        <f ca="1">IFERROR(__xludf.DUMMYFUNCTION("""COMPUTED_VALUE"""),"KENN")</f>
        <v>KENN</v>
      </c>
      <c r="C1395" s="1" t="s">
        <v>182</v>
      </c>
      <c r="D1395" s="1" t="str">
        <f>IF(C1395="", "", IFERROR(VLOOKUP(C1395, 作品一覧!A:B, 2, FALSE), "該当なし"))</f>
        <v>ディア♥ヴォーカリスト</v>
      </c>
      <c r="E1395" s="1" t="str">
        <f ca="1">IFERROR(__xludf.DUMMYFUNCTION("""COMPUTED_VALUE"""),"シエル")</f>
        <v>シエル</v>
      </c>
      <c r="F1395" s="1" t="s">
        <v>2213</v>
      </c>
    </row>
    <row r="1396" spans="1:6" ht="13.2">
      <c r="A1396" s="1" t="str">
        <f t="array" aca="1" ref="A1396" ca="1">IF(B1396="", "", IFERROR(INDEX(声優一覧!A:A, MATCH(B1396, 声優一覧!B:B, 0)), "該当なし"))</f>
        <v>va_226</v>
      </c>
      <c r="B1396" s="1" t="str">
        <f ca="1">IFERROR(__xludf.DUMMYFUNCTION("""COMPUTED_VALUE"""),"ランズベリー・アーサー")</f>
        <v>ランズベリー・アーサー</v>
      </c>
      <c r="C1396" s="1" t="s">
        <v>182</v>
      </c>
      <c r="D1396" s="1" t="str">
        <f>IF(C1396="", "", IFERROR(VLOOKUP(C1396, 作品一覧!A:B, 2, FALSE), "該当なし"))</f>
        <v>ディア♥ヴォーカリスト</v>
      </c>
      <c r="E1396" s="1" t="str">
        <f ca="1">IFERROR(__xludf.DUMMYFUNCTION("""COMPUTED_VALUE"""),"ヨハネ")</f>
        <v>ヨハネ</v>
      </c>
      <c r="F1396" s="1" t="s">
        <v>2214</v>
      </c>
    </row>
    <row r="1397" spans="1:6" ht="13.2">
      <c r="A1397" s="1" t="str">
        <f t="array" aca="1" ref="A1397" ca="1">IF(B1397="", "", IFERROR(INDEX(声優一覧!A:A, MATCH(B1397, 声優一覧!B:B, 0)), "該当なし"))</f>
        <v>va_215</v>
      </c>
      <c r="B1397" s="1" t="str">
        <f ca="1">IFERROR(__xludf.DUMMYFUNCTION("""COMPUTED_VALUE"""),"大河元気")</f>
        <v>大河元気</v>
      </c>
      <c r="C1397" s="1" t="s">
        <v>182</v>
      </c>
      <c r="D1397" s="1" t="str">
        <f>IF(C1397="", "", IFERROR(VLOOKUP(C1397, 作品一覧!A:B, 2, FALSE), "該当なし"))</f>
        <v>ディア♥ヴォーカリスト</v>
      </c>
      <c r="E1397" s="1" t="str">
        <f ca="1">IFERROR(__xludf.DUMMYFUNCTION("""COMPUTED_VALUE"""),"アイス")</f>
        <v>アイス</v>
      </c>
      <c r="F1397" s="1" t="s">
        <v>2215</v>
      </c>
    </row>
    <row r="1398" spans="1:6" ht="13.2">
      <c r="A1398" s="1" t="str">
        <f t="array" aca="1" ref="A1398" ca="1">IF(B1398="", "", IFERROR(INDEX(声優一覧!A:A, MATCH(B1398, 声優一覧!B:B, 0)), "該当なし"))</f>
        <v>va_169</v>
      </c>
      <c r="B1398" s="1" t="str">
        <f ca="1">IFERROR(__xludf.DUMMYFUNCTION("""COMPUTED_VALUE"""),"前野智昭")</f>
        <v>前野智昭</v>
      </c>
      <c r="C1398" s="1" t="s">
        <v>182</v>
      </c>
      <c r="D1398" s="1" t="str">
        <f>IF(C1398="", "", IFERROR(VLOOKUP(C1398, 作品一覧!A:B, 2, FALSE), "該当なし"))</f>
        <v>ディア♥ヴォーカリスト</v>
      </c>
      <c r="E1398" s="1" t="str">
        <f ca="1">IFERROR(__xludf.DUMMYFUNCTION("""COMPUTED_VALUE"""),"レヴェリー")</f>
        <v>レヴェリー</v>
      </c>
      <c r="F1398" s="1" t="s">
        <v>2216</v>
      </c>
    </row>
    <row r="1399" spans="1:6" ht="13.2">
      <c r="A1399" s="1" t="str">
        <f t="array" aca="1" ref="A1399" ca="1">IF(B1399="", "", IFERROR(INDEX(声優一覧!A:A, MATCH(B1399, 声優一覧!B:B, 0)), "該当なし"))</f>
        <v>va_009</v>
      </c>
      <c r="B1399" s="1" t="str">
        <f ca="1">IFERROR(__xludf.DUMMYFUNCTION("""COMPUTED_VALUE"""),"蒼井翔太")</f>
        <v>蒼井翔太</v>
      </c>
      <c r="C1399" s="1" t="s">
        <v>182</v>
      </c>
      <c r="D1399" s="1" t="str">
        <f>IF(C1399="", "", IFERROR(VLOOKUP(C1399, 作品一覧!A:B, 2, FALSE), "該当なし"))</f>
        <v>ディア♥ヴォーカリスト</v>
      </c>
      <c r="E1399" s="1" t="str">
        <f ca="1">IFERROR(__xludf.DUMMYFUNCTION("""COMPUTED_VALUE"""),"ルカ")</f>
        <v>ルカ</v>
      </c>
      <c r="F1399" s="1" t="s">
        <v>2217</v>
      </c>
    </row>
    <row r="1400" spans="1:6" ht="13.2">
      <c r="A1400" s="1" t="str">
        <f t="array" aca="1" ref="A1400" ca="1">IF(B1400="", "", IFERROR(INDEX(声優一覧!A:A, MATCH(B1400, 声優一覧!B:B, 0)), "該当なし"))</f>
        <v>va_045</v>
      </c>
      <c r="B1400" s="1" t="str">
        <f ca="1">IFERROR(__xludf.DUMMYFUNCTION("""COMPUTED_VALUE"""),"小野賢章")</f>
        <v>小野賢章</v>
      </c>
      <c r="C1400" s="1" t="s">
        <v>135</v>
      </c>
      <c r="D1400" s="1" t="str">
        <f>IF(C1400="", "", IFERROR(VLOOKUP(C1400, 作品一覧!A:B, 2, FALSE), "該当なし"))</f>
        <v>STATION IDOL LATCH!</v>
      </c>
      <c r="E1400" s="1" t="str">
        <f ca="1">IFERROR(__xludf.DUMMYFUNCTION("""COMPUTED_VALUE"""),"東海林鈴音")</f>
        <v>東海林鈴音</v>
      </c>
      <c r="F1400" s="1" t="s">
        <v>2218</v>
      </c>
    </row>
    <row r="1401" spans="1:6" ht="13.2">
      <c r="A1401" s="1" t="str">
        <f t="array" aca="1" ref="A1401" ca="1">IF(B1401="", "", IFERROR(INDEX(声優一覧!A:A, MATCH(B1401, 声優一覧!B:B, 0)), "該当なし"))</f>
        <v>va_229</v>
      </c>
      <c r="B1401" s="1" t="str">
        <f ca="1">IFERROR(__xludf.DUMMYFUNCTION("""COMPUTED_VALUE"""),"菊池幸利")</f>
        <v>菊池幸利</v>
      </c>
      <c r="C1401" s="1" t="s">
        <v>135</v>
      </c>
      <c r="D1401" s="1" t="str">
        <f>IF(C1401="", "", IFERROR(VLOOKUP(C1401, 作品一覧!A:B, 2, FALSE), "該当なし"))</f>
        <v>STATION IDOL LATCH!</v>
      </c>
      <c r="E1401" s="1" t="str">
        <f ca="1">IFERROR(__xludf.DUMMYFUNCTION("""COMPUTED_VALUE"""),"咖山喱人")</f>
        <v>咖山喱人</v>
      </c>
      <c r="F1401" s="1" t="s">
        <v>2219</v>
      </c>
    </row>
    <row r="1402" spans="1:6" ht="13.2">
      <c r="A1402" s="1" t="str">
        <f t="array" aca="1" ref="A1402" ca="1">IF(B1402="", "", IFERROR(INDEX(声優一覧!A:A, MATCH(B1402, 声優一覧!B:B, 0)), "該当なし"))</f>
        <v>va_100</v>
      </c>
      <c r="B1402" s="1" t="str">
        <f ca="1">IFERROR(__xludf.DUMMYFUNCTION("""COMPUTED_VALUE"""),"鈴木裕斗")</f>
        <v>鈴木裕斗</v>
      </c>
      <c r="C1402" s="1" t="s">
        <v>135</v>
      </c>
      <c r="D1402" s="1" t="str">
        <f>IF(C1402="", "", IFERROR(VLOOKUP(C1402, 作品一覧!A:B, 2, FALSE), "該当なし"))</f>
        <v>STATION IDOL LATCH!</v>
      </c>
      <c r="E1402" s="1" t="str">
        <f ca="1">IFERROR(__xludf.DUMMYFUNCTION("""COMPUTED_VALUE"""),"雷電遊生")</f>
        <v>雷電遊生</v>
      </c>
      <c r="F1402" s="1" t="s">
        <v>2220</v>
      </c>
    </row>
    <row r="1403" spans="1:6" ht="13.2">
      <c r="A1403" s="1" t="str">
        <f t="array" aca="1" ref="A1403" ca="1">IF(B1403="", "", IFERROR(INDEX(声優一覧!A:A, MATCH(B1403, 声優一覧!B:B, 0)), "該当なし"))</f>
        <v>va_003</v>
      </c>
      <c r="B1403" s="1" t="str">
        <f ca="1">IFERROR(__xludf.DUMMYFUNCTION("""COMPUTED_VALUE"""),"阿座上洋平")</f>
        <v>阿座上洋平</v>
      </c>
      <c r="C1403" s="1" t="s">
        <v>135</v>
      </c>
      <c r="D1403" s="1" t="str">
        <f>IF(C1403="", "", IFERROR(VLOOKUP(C1403, 作品一覧!A:B, 2, FALSE), "該当なし"))</f>
        <v>STATION IDOL LATCH!</v>
      </c>
      <c r="E1403" s="1" t="str">
        <f ca="1">IFERROR(__xludf.DUMMYFUNCTION("""COMPUTED_VALUE"""),"高良摩利央")</f>
        <v>高良摩利央</v>
      </c>
      <c r="F1403" s="1" t="s">
        <v>2221</v>
      </c>
    </row>
    <row r="1404" spans="1:6" ht="13.2">
      <c r="A1404" s="1" t="str">
        <f t="array" aca="1" ref="A1404" ca="1">IF(B1404="", "", IFERROR(INDEX(声優一覧!A:A, MATCH(B1404, 声優一覧!B:B, 0)), "該当なし"))</f>
        <v>va_050</v>
      </c>
      <c r="B1404" s="1" t="str">
        <f ca="1">IFERROR(__xludf.DUMMYFUNCTION("""COMPUTED_VALUE"""),"笠間淳")</f>
        <v>笠間淳</v>
      </c>
      <c r="C1404" s="1" t="s">
        <v>135</v>
      </c>
      <c r="D1404" s="1" t="str">
        <f>IF(C1404="", "", IFERROR(VLOOKUP(C1404, 作品一覧!A:B, 2, FALSE), "該当なし"))</f>
        <v>STATION IDOL LATCH!</v>
      </c>
      <c r="E1404" s="1" t="str">
        <f ca="1">IFERROR(__xludf.DUMMYFUNCTION("""COMPUTED_VALUE"""),"飴屋楊")</f>
        <v>飴屋楊</v>
      </c>
      <c r="F1404" s="1" t="s">
        <v>2222</v>
      </c>
    </row>
    <row r="1405" spans="1:6" ht="13.2">
      <c r="A1405" s="1" t="str">
        <f t="array" aca="1" ref="A1405" ca="1">IF(B1405="", "", IFERROR(INDEX(声優一覧!A:A, MATCH(B1405, 声優一覧!B:B, 0)), "該当なし"))</f>
        <v>va_124</v>
      </c>
      <c r="B1405" s="1" t="str">
        <f ca="1">IFERROR(__xludf.DUMMYFUNCTION("""COMPUTED_VALUE"""),"寺島惇太")</f>
        <v>寺島惇太</v>
      </c>
      <c r="C1405" s="1" t="s">
        <v>135</v>
      </c>
      <c r="D1405" s="1" t="str">
        <f>IF(C1405="", "", IFERROR(VLOOKUP(C1405, 作品一覧!A:B, 2, FALSE), "該当なし"))</f>
        <v>STATION IDOL LATCH!</v>
      </c>
      <c r="E1405" s="1" t="str">
        <f ca="1">IFERROR(__xludf.DUMMYFUNCTION("""COMPUTED_VALUE"""),"根岸優歌")</f>
        <v>根岸優歌</v>
      </c>
      <c r="F1405" s="1" t="s">
        <v>2223</v>
      </c>
    </row>
    <row r="1406" spans="1:6" ht="13.2">
      <c r="A1406" s="1" t="str">
        <f t="array" aca="1" ref="A1406" ca="1">IF(B1406="", "", IFERROR(INDEX(声優一覧!A:A, MATCH(B1406, 声優一覧!B:B, 0)), "該当なし"))</f>
        <v>va_190</v>
      </c>
      <c r="B1406" s="1" t="str">
        <f ca="1">IFERROR(__xludf.DUMMYFUNCTION("""COMPUTED_VALUE"""),"山口智広")</f>
        <v>山口智広</v>
      </c>
      <c r="C1406" s="1" t="s">
        <v>135</v>
      </c>
      <c r="D1406" s="1" t="str">
        <f>IF(C1406="", "", IFERROR(VLOOKUP(C1406, 作品一覧!A:B, 2, FALSE), "該当なし"))</f>
        <v>STATION IDOL LATCH!</v>
      </c>
      <c r="E1406" s="1" t="str">
        <f ca="1">IFERROR(__xludf.DUMMYFUNCTION("""COMPUTED_VALUE"""),"戸成綾")</f>
        <v>戸成綾</v>
      </c>
      <c r="F1406" s="1" t="s">
        <v>2224</v>
      </c>
    </row>
    <row r="1407" spans="1:6" ht="13.2">
      <c r="A1407" s="1" t="str">
        <f t="array" aca="1" ref="A1407" ca="1">IF(B1407="", "", IFERROR(INDEX(声優一覧!A:A, MATCH(B1407, 声優一覧!B:B, 0)), "該当なし"))</f>
        <v>va_359</v>
      </c>
      <c r="B1407" s="1" t="str">
        <f ca="1">IFERROR(__xludf.DUMMYFUNCTION("""COMPUTED_VALUE"""),"伊藤昌弘")</f>
        <v>伊藤昌弘</v>
      </c>
      <c r="C1407" s="1" t="s">
        <v>135</v>
      </c>
      <c r="D1407" s="1" t="str">
        <f>IF(C1407="", "", IFERROR(VLOOKUP(C1407, 作品一覧!A:B, 2, FALSE), "該当なし"))</f>
        <v>STATION IDOL LATCH!</v>
      </c>
      <c r="E1407" s="1" t="str">
        <f ca="1">IFERROR(__xludf.DUMMYFUNCTION("""COMPUTED_VALUE"""),"諏訪海晴")</f>
        <v>諏訪海晴</v>
      </c>
      <c r="F1407" s="1" t="s">
        <v>2225</v>
      </c>
    </row>
    <row r="1408" spans="1:6" ht="13.2">
      <c r="A1408" s="1" t="str">
        <f t="array" aca="1" ref="A1408" ca="1">IF(B1408="", "", IFERROR(INDEX(声優一覧!A:A, MATCH(B1408, 声優一覧!B:B, 0)), "該当なし"))</f>
        <v>va_221</v>
      </c>
      <c r="B1408" s="1" t="str">
        <f ca="1">IFERROR(__xludf.DUMMYFUNCTION("""COMPUTED_VALUE"""),"矢野奨吾")</f>
        <v>矢野奨吾</v>
      </c>
      <c r="C1408" s="1" t="s">
        <v>135</v>
      </c>
      <c r="D1408" s="1" t="str">
        <f>IF(C1408="", "", IFERROR(VLOOKUP(C1408, 作品一覧!A:B, 2, FALSE), "該当なし"))</f>
        <v>STATION IDOL LATCH!</v>
      </c>
      <c r="E1408" s="1" t="str">
        <f ca="1">IFERROR(__xludf.DUMMYFUNCTION("""COMPUTED_VALUE"""),"北颯")</f>
        <v>北颯</v>
      </c>
      <c r="F1408" s="1" t="s">
        <v>2226</v>
      </c>
    </row>
    <row r="1409" spans="1:6" ht="13.2">
      <c r="A1409" s="1" t="str">
        <f t="array" aca="1" ref="A1409" ca="1">IF(B1409="", "", IFERROR(INDEX(声優一覧!A:A, MATCH(B1409, 声優一覧!B:B, 0)), "該当なし"))</f>
        <v>va_107</v>
      </c>
      <c r="B1409" s="1" t="str">
        <f ca="1">IFERROR(__xludf.DUMMYFUNCTION("""COMPUTED_VALUE"""),"高塚智人")</f>
        <v>高塚智人</v>
      </c>
      <c r="C1409" s="1" t="s">
        <v>135</v>
      </c>
      <c r="D1409" s="1" t="str">
        <f>IF(C1409="", "", IFERROR(VLOOKUP(C1409, 作品一覧!A:B, 2, FALSE), "該当なし"))</f>
        <v>STATION IDOL LATCH!</v>
      </c>
      <c r="E1409" s="1" t="str">
        <f ca="1">IFERROR(__xludf.DUMMYFUNCTION("""COMPUTED_VALUE"""),"英皐月")</f>
        <v>英皐月</v>
      </c>
      <c r="F1409" s="1" t="s">
        <v>2227</v>
      </c>
    </row>
    <row r="1410" spans="1:6" ht="13.2">
      <c r="A1410" s="1" t="str">
        <f t="array" aca="1" ref="A1410" ca="1">IF(B1410="", "", IFERROR(INDEX(声優一覧!A:A, MATCH(B1410, 声優一覧!B:B, 0)), "該当なし"))</f>
        <v>va_022</v>
      </c>
      <c r="B1410" s="1" t="str">
        <f ca="1">IFERROR(__xludf.DUMMYFUNCTION("""COMPUTED_VALUE"""),"井上雄貴")</f>
        <v>井上雄貴</v>
      </c>
      <c r="C1410" s="1" t="s">
        <v>135</v>
      </c>
      <c r="D1410" s="1" t="str">
        <f>IF(C1410="", "", IFERROR(VLOOKUP(C1410, 作品一覧!A:B, 2, FALSE), "該当なし"))</f>
        <v>STATION IDOL LATCH!</v>
      </c>
      <c r="E1410" s="1" t="str">
        <f ca="1">IFERROR(__xludf.DUMMYFUNCTION("""COMPUTED_VALUE"""),"高岩大智")</f>
        <v>高岩大智</v>
      </c>
      <c r="F1410" s="1" t="s">
        <v>2228</v>
      </c>
    </row>
    <row r="1411" spans="1:6" ht="13.2">
      <c r="A1411" s="1" t="str">
        <f t="array" aca="1" ref="A1411" ca="1">IF(B1411="", "", IFERROR(INDEX(声優一覧!A:A, MATCH(B1411, 声優一覧!B:B, 0)), "該当なし"))</f>
        <v>va_223</v>
      </c>
      <c r="B1411" s="1" t="str">
        <f ca="1">IFERROR(__xludf.DUMMYFUNCTION("""COMPUTED_VALUE"""),"住谷哲栄")</f>
        <v>住谷哲栄</v>
      </c>
      <c r="C1411" s="1" t="s">
        <v>135</v>
      </c>
      <c r="D1411" s="1" t="str">
        <f>IF(C1411="", "", IFERROR(VLOOKUP(C1411, 作品一覧!A:B, 2, FALSE), "該当なし"))</f>
        <v>STATION IDOL LATCH!</v>
      </c>
      <c r="E1411" s="1" t="str">
        <f ca="1">IFERROR(__xludf.DUMMYFUNCTION("""COMPUTED_VALUE"""),"空蝉塁")</f>
        <v>空蝉塁</v>
      </c>
      <c r="F1411" s="1" t="s">
        <v>2229</v>
      </c>
    </row>
    <row r="1412" spans="1:6" ht="13.2">
      <c r="A1412" s="1" t="str">
        <f t="array" aca="1" ref="A1412" ca="1">IF(B1412="", "", IFERROR(INDEX(声優一覧!A:A, MATCH(B1412, 声優一覧!B:B, 0)), "該当なし"))</f>
        <v>va_094</v>
      </c>
      <c r="B1412" s="1" t="str">
        <f ca="1">IFERROR(__xludf.DUMMYFUNCTION("""COMPUTED_VALUE"""),"島﨑信長")</f>
        <v>島﨑信長</v>
      </c>
      <c r="C1412" s="1" t="s">
        <v>135</v>
      </c>
      <c r="D1412" s="1" t="str">
        <f>IF(C1412="", "", IFERROR(VLOOKUP(C1412, 作品一覧!A:B, 2, FALSE), "該当なし"))</f>
        <v>STATION IDOL LATCH!</v>
      </c>
      <c r="E1412" s="1" t="str">
        <f ca="1">IFERROR(__xludf.DUMMYFUNCTION("""COMPUTED_VALUE"""),"青葉梟光加人")</f>
        <v>青葉梟光加人</v>
      </c>
      <c r="F1412" s="1" t="s">
        <v>2230</v>
      </c>
    </row>
    <row r="1413" spans="1:6" ht="13.2">
      <c r="A1413" s="1" t="str">
        <f t="array" aca="1" ref="A1413" ca="1">IF(B1413="", "", IFERROR(INDEX(声優一覧!A:A, MATCH(B1413, 声優一覧!B:B, 0)), "該当なし"))</f>
        <v>va_360</v>
      </c>
      <c r="B1413" s="1" t="str">
        <f ca="1">IFERROR(__xludf.DUMMYFUNCTION("""COMPUTED_VALUE"""),"太田将熙")</f>
        <v>太田将熙</v>
      </c>
      <c r="C1413" s="1" t="s">
        <v>135</v>
      </c>
      <c r="D1413" s="1" t="str">
        <f>IF(C1413="", "", IFERROR(VLOOKUP(C1413, 作品一覧!A:B, 2, FALSE), "該当なし"))</f>
        <v>STATION IDOL LATCH!</v>
      </c>
      <c r="E1413" s="1" t="str">
        <f ca="1">IFERROR(__xludf.DUMMYFUNCTION("""COMPUTED_VALUE"""),"綜馬礼")</f>
        <v>綜馬礼</v>
      </c>
      <c r="F1413" s="1" t="s">
        <v>2231</v>
      </c>
    </row>
    <row r="1414" spans="1:6" ht="13.2">
      <c r="A1414" s="1" t="str">
        <f t="array" aca="1" ref="A1414" ca="1">IF(B1414="", "", IFERROR(INDEX(声優一覧!A:A, MATCH(B1414, 声優一覧!B:B, 0)), "該当なし"))</f>
        <v>va_361</v>
      </c>
      <c r="B1414" s="1" t="str">
        <f ca="1">IFERROR(__xludf.DUMMYFUNCTION("""COMPUTED_VALUE"""),"青山凌大")</f>
        <v>青山凌大</v>
      </c>
      <c r="C1414" s="1" t="s">
        <v>135</v>
      </c>
      <c r="D1414" s="1" t="str">
        <f>IF(C1414="", "", IFERROR(VLOOKUP(C1414, 作品一覧!A:B, 2, FALSE), "該当なし"))</f>
        <v>STATION IDOL LATCH!</v>
      </c>
      <c r="E1414" s="1" t="str">
        <f ca="1">IFERROR(__xludf.DUMMYFUNCTION("""COMPUTED_VALUE"""),"武庸裕哉")</f>
        <v>武庸裕哉</v>
      </c>
      <c r="F1414" s="1" t="s">
        <v>2232</v>
      </c>
    </row>
    <row r="1415" spans="1:6" ht="13.2">
      <c r="A1415" s="1" t="str">
        <f t="array" aca="1" ref="A1415" ca="1">IF(B1415="", "", IFERROR(INDEX(声優一覧!A:A, MATCH(B1415, 声優一覧!B:B, 0)), "該当なし"))</f>
        <v>va_162</v>
      </c>
      <c r="B1415" s="1" t="str">
        <f ca="1">IFERROR(__xludf.DUMMYFUNCTION("""COMPUTED_VALUE"""),"古田一紀")</f>
        <v>古田一紀</v>
      </c>
      <c r="C1415" s="1" t="s">
        <v>135</v>
      </c>
      <c r="D1415" s="1" t="str">
        <f>IF(C1415="", "", IFERROR(VLOOKUP(C1415, 作品一覧!A:B, 2, FALSE), "該当なし"))</f>
        <v>STATION IDOL LATCH!</v>
      </c>
      <c r="E1415" s="1" t="str">
        <f ca="1">IFERROR(__xludf.DUMMYFUNCTION("""COMPUTED_VALUE"""),"百瀬志生")</f>
        <v>百瀬志生</v>
      </c>
      <c r="F1415" s="1" t="s">
        <v>2233</v>
      </c>
    </row>
    <row r="1416" spans="1:6" ht="13.2">
      <c r="A1416" s="1" t="str">
        <f t="array" aca="1" ref="A1416" ca="1">IF(B1416="", "", IFERROR(INDEX(声優一覧!A:A, MATCH(B1416, 声優一覧!B:B, 0)), "該当なし"))</f>
        <v>va_117</v>
      </c>
      <c r="B1416" s="1" t="str">
        <f ca="1">IFERROR(__xludf.DUMMYFUNCTION("""COMPUTED_VALUE"""),"田丸篤志")</f>
        <v>田丸篤志</v>
      </c>
      <c r="C1416" s="1" t="s">
        <v>135</v>
      </c>
      <c r="D1416" s="1" t="str">
        <f>IF(C1416="", "", IFERROR(VLOOKUP(C1416, 作品一覧!A:B, 2, FALSE), "該当なし"))</f>
        <v>STATION IDOL LATCH!</v>
      </c>
      <c r="E1416" s="1" t="str">
        <f ca="1">IFERROR(__xludf.DUMMYFUNCTION("""COMPUTED_VALUE"""),"神堂唯姫")</f>
        <v>神堂唯姫</v>
      </c>
      <c r="F1416" s="1" t="s">
        <v>2234</v>
      </c>
    </row>
    <row r="1417" spans="1:6" ht="13.2">
      <c r="A1417" s="1" t="str">
        <f t="array" aca="1" ref="A1417" ca="1">IF(B1417="", "", IFERROR(INDEX(声優一覧!A:A, MATCH(B1417, 声優一覧!B:B, 0)), "該当なし"))</f>
        <v>va_362</v>
      </c>
      <c r="B1417" s="1" t="str">
        <f ca="1">IFERROR(__xludf.DUMMYFUNCTION("""COMPUTED_VALUE"""),"福崎那由他")</f>
        <v>福崎那由他</v>
      </c>
      <c r="C1417" s="1" t="s">
        <v>135</v>
      </c>
      <c r="D1417" s="1" t="str">
        <f>IF(C1417="", "", IFERROR(VLOOKUP(C1417, 作品一覧!A:B, 2, FALSE), "該当なし"))</f>
        <v>STATION IDOL LATCH!</v>
      </c>
      <c r="E1417" s="1" t="str">
        <f ca="1">IFERROR(__xludf.DUMMYFUNCTION("""COMPUTED_VALUE"""),"樅野葵")</f>
        <v>樅野葵</v>
      </c>
      <c r="F1417" s="1" t="s">
        <v>2235</v>
      </c>
    </row>
    <row r="1418" spans="1:6" ht="13.2">
      <c r="A1418" s="1" t="str">
        <f t="array" aca="1" ref="A1418" ca="1">IF(B1418="", "", IFERROR(INDEX(声優一覧!A:A, MATCH(B1418, 声優一覧!B:B, 0)), "該当なし"))</f>
        <v>va_363</v>
      </c>
      <c r="B1418" s="1" t="str">
        <f ca="1">IFERROR(__xludf.DUMMYFUNCTION("""COMPUTED_VALUE"""),"岩崎友泰")</f>
        <v>岩崎友泰</v>
      </c>
      <c r="C1418" s="1" t="s">
        <v>135</v>
      </c>
      <c r="D1418" s="1" t="str">
        <f>IF(C1418="", "", IFERROR(VLOOKUP(C1418, 作品一覧!A:B, 2, FALSE), "該当なし"))</f>
        <v>STATION IDOL LATCH!</v>
      </c>
      <c r="E1418" s="1" t="str">
        <f ca="1">IFERROR(__xludf.DUMMYFUNCTION("""COMPUTED_VALUE"""),"竹下宮斗")</f>
        <v>竹下宮斗</v>
      </c>
      <c r="F1418" s="1" t="s">
        <v>2236</v>
      </c>
    </row>
    <row r="1419" spans="1:6" ht="13.2">
      <c r="A1419" s="1" t="str">
        <f t="array" aca="1" ref="A1419" ca="1">IF(B1419="", "", IFERROR(INDEX(声優一覧!A:A, MATCH(B1419, 声優一覧!B:B, 0)), "該当なし"))</f>
        <v>va_364</v>
      </c>
      <c r="B1419" s="1" t="str">
        <f ca="1">IFERROR(__xludf.DUMMYFUNCTION("""COMPUTED_VALUE"""),"林優大")</f>
        <v>林優大</v>
      </c>
      <c r="C1419" s="1" t="s">
        <v>135</v>
      </c>
      <c r="D1419" s="1" t="str">
        <f>IF(C1419="", "", IFERROR(VLOOKUP(C1419, 作品一覧!A:B, 2, FALSE), "該当なし"))</f>
        <v>STATION IDOL LATCH!</v>
      </c>
      <c r="E1419" s="1" t="str">
        <f ca="1">IFERROR(__xludf.DUMMYFUNCTION("""COMPUTED_VALUE"""),"蜂谷恒星")</f>
        <v>蜂谷恒星</v>
      </c>
      <c r="F1419" s="1" t="s">
        <v>2237</v>
      </c>
    </row>
    <row r="1420" spans="1:6" ht="13.2">
      <c r="A1420" s="1" t="str">
        <f t="array" aca="1" ref="A1420" ca="1">IF(B1420="", "", IFERROR(INDEX(声優一覧!A:A, MATCH(B1420, 声優一覧!B:B, 0)), "該当なし"))</f>
        <v>va_110</v>
      </c>
      <c r="B1420" s="1" t="str">
        <f ca="1">IFERROR(__xludf.DUMMYFUNCTION("""COMPUTED_VALUE"""),"高橋英則")</f>
        <v>高橋英則</v>
      </c>
      <c r="C1420" s="1" t="s">
        <v>135</v>
      </c>
      <c r="D1420" s="1" t="str">
        <f>IF(C1420="", "", IFERROR(VLOOKUP(C1420, 作品一覧!A:B, 2, FALSE), "該当なし"))</f>
        <v>STATION IDOL LATCH!</v>
      </c>
      <c r="E1420" s="1" t="str">
        <f ca="1">IFERROR(__xludf.DUMMYFUNCTION("""COMPUTED_VALUE"""),"饗庭紡麦")</f>
        <v>饗庭紡麦</v>
      </c>
      <c r="F1420" s="1" t="s">
        <v>2238</v>
      </c>
    </row>
    <row r="1421" spans="1:6" ht="13.2">
      <c r="A1421" s="1" t="str">
        <f t="array" aca="1" ref="A1421" ca="1">IF(B1421="", "", IFERROR(INDEX(声優一覧!A:A, MATCH(B1421, 声優一覧!B:B, 0)), "該当なし"))</f>
        <v>va_312</v>
      </c>
      <c r="B1421" s="1" t="str">
        <f ca="1">IFERROR(__xludf.DUMMYFUNCTION("""COMPUTED_VALUE"""),"峯田大夢")</f>
        <v>峯田大夢</v>
      </c>
      <c r="C1421" s="1" t="s">
        <v>135</v>
      </c>
      <c r="D1421" s="1" t="str">
        <f>IF(C1421="", "", IFERROR(VLOOKUP(C1421, 作品一覧!A:B, 2, FALSE), "該当なし"))</f>
        <v>STATION IDOL LATCH!</v>
      </c>
      <c r="E1421" s="1" t="str">
        <f ca="1">IFERROR(__xludf.DUMMYFUNCTION("""COMPUTED_VALUE"""),"不動雅")</f>
        <v>不動雅</v>
      </c>
      <c r="F1421" s="1" t="s">
        <v>2239</v>
      </c>
    </row>
    <row r="1422" spans="1:6" ht="13.2">
      <c r="A1422" s="1" t="str">
        <f t="array" aca="1" ref="A1422" ca="1">IF(B1422="", "", IFERROR(INDEX(声優一覧!A:A, MATCH(B1422, 声優一覧!B:B, 0)), "該当なし"))</f>
        <v>va_308</v>
      </c>
      <c r="B1422" s="1" t="str">
        <f ca="1">IFERROR(__xludf.DUMMYFUNCTION("""COMPUTED_VALUE"""),"三浦祥朗")</f>
        <v>三浦祥朗</v>
      </c>
      <c r="C1422" s="1" t="s">
        <v>135</v>
      </c>
      <c r="D1422" s="1" t="str">
        <f>IF(C1422="", "", IFERROR(VLOOKUP(C1422, 作品一覧!A:B, 2, FALSE), "該当なし"))</f>
        <v>STATION IDOL LATCH!</v>
      </c>
      <c r="E1422" s="1" t="str">
        <f ca="1">IFERROR(__xludf.DUMMYFUNCTION("""COMPUTED_VALUE"""),"伍代晃")</f>
        <v>伍代晃</v>
      </c>
      <c r="F1422" s="1" t="s">
        <v>2240</v>
      </c>
    </row>
    <row r="1423" spans="1:6" ht="13.2">
      <c r="A1423" s="1" t="str">
        <f t="array" aca="1" ref="A1423" ca="1">IF(B1423="", "", IFERROR(INDEX(声優一覧!A:A, MATCH(B1423, 声優一覧!B:B, 0)), "該当なし"))</f>
        <v>va_275</v>
      </c>
      <c r="B1423" s="1" t="str">
        <f ca="1">IFERROR(__xludf.DUMMYFUNCTION("""COMPUTED_VALUE"""),"菅沼久義")</f>
        <v>菅沼久義</v>
      </c>
      <c r="C1423" s="1" t="s">
        <v>135</v>
      </c>
      <c r="D1423" s="1" t="str">
        <f>IF(C1423="", "", IFERROR(VLOOKUP(C1423, 作品一覧!A:B, 2, FALSE), "該当なし"))</f>
        <v>STATION IDOL LATCH!</v>
      </c>
      <c r="E1423" s="1" t="str">
        <f ca="1">IFERROR(__xludf.DUMMYFUNCTION("""COMPUTED_VALUE"""),"大崎新市")</f>
        <v>大崎新市</v>
      </c>
      <c r="F1423" s="1" t="s">
        <v>2241</v>
      </c>
    </row>
    <row r="1424" spans="1:6" ht="13.2">
      <c r="A1424" s="1" t="str">
        <f t="array" aca="1" ref="A1424" ca="1">IF(B1424="", "", IFERROR(INDEX(声優一覧!A:A, MATCH(B1424, 声優一覧!B:B, 0)), "該当なし"))</f>
        <v>va_365</v>
      </c>
      <c r="B1424" s="1" t="str">
        <f ca="1">IFERROR(__xludf.DUMMYFUNCTION("""COMPUTED_VALUE"""),"古田一晟")</f>
        <v>古田一晟</v>
      </c>
      <c r="C1424" s="1" t="s">
        <v>135</v>
      </c>
      <c r="D1424" s="1" t="str">
        <f>IF(C1424="", "", IFERROR(VLOOKUP(C1424, 作品一覧!A:B, 2, FALSE), "該当なし"))</f>
        <v>STATION IDOL LATCH!</v>
      </c>
      <c r="E1424" s="1" t="str">
        <f ca="1">IFERROR(__xludf.DUMMYFUNCTION("""COMPUTED_VALUE"""),"一条肇")</f>
        <v>一条肇</v>
      </c>
      <c r="F1424" s="1" t="s">
        <v>2242</v>
      </c>
    </row>
    <row r="1425" spans="1:6" ht="13.2">
      <c r="A1425" s="1" t="str">
        <f t="array" aca="1" ref="A1425" ca="1">IF(B1425="", "", IFERROR(INDEX(声優一覧!A:A, MATCH(B1425, 声優一覧!B:B, 0)), "該当なし"))</f>
        <v>va_319</v>
      </c>
      <c r="B1425" s="1" t="str">
        <f ca="1">IFERROR(__xludf.DUMMYFUNCTION("""COMPUTED_VALUE"""),"森嶋秀太")</f>
        <v>森嶋秀太</v>
      </c>
      <c r="C1425" s="1" t="s">
        <v>135</v>
      </c>
      <c r="D1425" s="1" t="str">
        <f>IF(C1425="", "", IFERROR(VLOOKUP(C1425, 作品一覧!A:B, 2, FALSE), "該当なし"))</f>
        <v>STATION IDOL LATCH!</v>
      </c>
      <c r="E1425" s="1" t="str">
        <f ca="1">IFERROR(__xludf.DUMMYFUNCTION("""COMPUTED_VALUE"""),"和泉オーキッド亜恋")</f>
        <v>和泉オーキッド亜恋</v>
      </c>
      <c r="F1425" s="1" t="s">
        <v>2243</v>
      </c>
    </row>
    <row r="1426" spans="1:6" ht="13.2">
      <c r="A1426" s="1" t="str">
        <f t="array" aca="1" ref="A1426" ca="1">IF(B1426="", "", IFERROR(INDEX(声優一覧!A:A, MATCH(B1426, 声優一覧!B:B, 0)), "該当なし"))</f>
        <v>va_366</v>
      </c>
      <c r="B1426" s="1" t="str">
        <f ca="1">IFERROR(__xludf.DUMMYFUNCTION("""COMPUTED_VALUE"""),"小山剛志")</f>
        <v>小山剛志</v>
      </c>
      <c r="C1426" s="1" t="s">
        <v>135</v>
      </c>
      <c r="D1426" s="1" t="str">
        <f>IF(C1426="", "", IFERROR(VLOOKUP(C1426, 作品一覧!A:B, 2, FALSE), "該当なし"))</f>
        <v>STATION IDOL LATCH!</v>
      </c>
      <c r="E1426" s="1" t="str">
        <f ca="1">IFERROR(__xludf.DUMMYFUNCTION("""COMPUTED_VALUE"""),"羽振寿里")</f>
        <v>羽振寿里</v>
      </c>
      <c r="F1426" s="1" t="s">
        <v>2244</v>
      </c>
    </row>
    <row r="1427" spans="1:6" ht="13.2">
      <c r="A1427" s="1" t="str">
        <f t="array" aca="1" ref="A1427" ca="1">IF(B1427="", "", IFERROR(INDEX(声優一覧!A:A, MATCH(B1427, 声優一覧!B:B, 0)), "該当なし"))</f>
        <v>va_056</v>
      </c>
      <c r="B1427" s="1" t="str">
        <f ca="1">IFERROR(__xludf.DUMMYFUNCTION("""COMPUTED_VALUE"""),"狩野翔")</f>
        <v>狩野翔</v>
      </c>
      <c r="C1427" s="1" t="s">
        <v>135</v>
      </c>
      <c r="D1427" s="1" t="str">
        <f>IF(C1427="", "", IFERROR(VLOOKUP(C1427, 作品一覧!A:B, 2, FALSE), "該当なし"))</f>
        <v>STATION IDOL LATCH!</v>
      </c>
      <c r="E1427" s="1" t="str">
        <f ca="1">IFERROR(__xludf.DUMMYFUNCTION("""COMPUTED_VALUE"""),"湊航琉")</f>
        <v>湊航琉</v>
      </c>
      <c r="F1427" s="1" t="s">
        <v>2245</v>
      </c>
    </row>
    <row r="1428" spans="1:6" ht="13.2">
      <c r="A1428" s="1" t="str">
        <f t="array" aca="1" ref="A1428" ca="1">IF(B1428="", "", IFERROR(INDEX(声優一覧!A:A, MATCH(B1428, 声優一覧!B:B, 0)), "該当なし"))</f>
        <v>va_021</v>
      </c>
      <c r="B1428" s="1" t="str">
        <f ca="1">IFERROR(__xludf.DUMMYFUNCTION("""COMPUTED_VALUE"""),"井上和彦")</f>
        <v>井上和彦</v>
      </c>
      <c r="C1428" s="1" t="s">
        <v>135</v>
      </c>
      <c r="D1428" s="1" t="str">
        <f>IF(C1428="", "", IFERROR(VLOOKUP(C1428, 作品一覧!A:B, 2, FALSE), "該当なし"))</f>
        <v>STATION IDOL LATCH!</v>
      </c>
      <c r="E1428" s="1" t="str">
        <f ca="1">IFERROR(__xludf.DUMMYFUNCTION("""COMPUTED_VALUE"""),"烏鷹鉄路")</f>
        <v>烏鷹鉄路</v>
      </c>
      <c r="F1428" s="1" t="s">
        <v>2246</v>
      </c>
    </row>
    <row r="1429" spans="1:6" ht="13.2">
      <c r="A1429" s="1" t="str">
        <f t="array" aca="1" ref="A1429" ca="1">IF(B1429="", "", IFERROR(INDEX(声優一覧!A:A, MATCH(B1429, 声優一覧!B:B, 0)), "該当なし"))</f>
        <v>va_053</v>
      </c>
      <c r="B1429" s="1" t="str">
        <f ca="1">IFERROR(__xludf.DUMMYFUNCTION("""COMPUTED_VALUE"""),"梶原岳人")</f>
        <v>梶原岳人</v>
      </c>
      <c r="C1429" s="1" t="s">
        <v>135</v>
      </c>
      <c r="D1429" s="1" t="str">
        <f>IF(C1429="", "", IFERROR(VLOOKUP(C1429, 作品一覧!A:B, 2, FALSE), "該当なし"))</f>
        <v>STATION IDOL LATCH!</v>
      </c>
      <c r="E1429" s="1" t="str">
        <f ca="1">IFERROR(__xludf.DUMMYFUNCTION("""COMPUTED_VALUE"""),"小鳥遊悠吏")</f>
        <v>小鳥遊悠吏</v>
      </c>
      <c r="F1429" s="1" t="s">
        <v>2247</v>
      </c>
    </row>
    <row r="1430" spans="1:6" ht="13.2">
      <c r="A1430" s="1" t="str">
        <f t="array" aca="1" ref="A1430" ca="1">IF(B1430="", "", IFERROR(INDEX(声優一覧!A:A, MATCH(B1430, 声優一覧!B:B, 0)), "該当なし"))</f>
        <v>va_119</v>
      </c>
      <c r="B1430" s="1" t="str">
        <f ca="1">IFERROR(__xludf.DUMMYFUNCTION("""COMPUTED_VALUE"""),"千葉翔也")</f>
        <v>千葉翔也</v>
      </c>
      <c r="C1430" s="1" t="s">
        <v>257</v>
      </c>
      <c r="D1430" s="1" t="str">
        <f>IF(C1430="", "", IFERROR(VLOOKUP(C1430, 作品一覧!A:B, 2, FALSE), "該当なし"))</f>
        <v>星芥ユニゾン</v>
      </c>
      <c r="E1430" s="1" t="str">
        <f ca="1">IFERROR(__xludf.DUMMYFUNCTION("""COMPUTED_VALUE"""),"遊佐春馬")</f>
        <v>遊佐春馬</v>
      </c>
      <c r="F1430" s="1" t="s">
        <v>2248</v>
      </c>
    </row>
    <row r="1431" spans="1:6" ht="13.2">
      <c r="A1431" s="1" t="str">
        <f t="array" aca="1" ref="A1431" ca="1">IF(B1431="", "", IFERROR(INDEX(声優一覧!A:A, MATCH(B1431, 声優一覧!B:B, 0)), "該当なし"))</f>
        <v>va_019</v>
      </c>
      <c r="B1431" s="1" t="str">
        <f ca="1">IFERROR(__xludf.DUMMYFUNCTION("""COMPUTED_VALUE"""),"伊東健人")</f>
        <v>伊東健人</v>
      </c>
      <c r="C1431" s="1" t="s">
        <v>257</v>
      </c>
      <c r="D1431" s="1" t="str">
        <f>IF(C1431="", "", IFERROR(VLOOKUP(C1431, 作品一覧!A:B, 2, FALSE), "該当なし"))</f>
        <v>星芥ユニゾン</v>
      </c>
      <c r="E1431" s="1" t="str">
        <f ca="1">IFERROR(__xludf.DUMMYFUNCTION("""COMPUTED_VALUE"""),"八神改")</f>
        <v>八神改</v>
      </c>
      <c r="F1431" s="1" t="s">
        <v>2249</v>
      </c>
    </row>
    <row r="1432" spans="1:6" ht="13.2">
      <c r="A1432" s="1" t="str">
        <f t="array" aca="1" ref="A1432" ca="1">IF(B1432="", "", IFERROR(INDEX(声優一覧!A:A, MATCH(B1432, 声優一覧!B:B, 0)), "該当なし"))</f>
        <v>va_034</v>
      </c>
      <c r="B1432" s="1" t="str">
        <f ca="1">IFERROR(__xludf.DUMMYFUNCTION("""COMPUTED_VALUE"""),"浦和希")</f>
        <v>浦和希</v>
      </c>
      <c r="C1432" s="1" t="s">
        <v>257</v>
      </c>
      <c r="D1432" s="1" t="str">
        <f>IF(C1432="", "", IFERROR(VLOOKUP(C1432, 作品一覧!A:B, 2, FALSE), "該当なし"))</f>
        <v>星芥ユニゾン</v>
      </c>
      <c r="E1432" s="1" t="str">
        <f ca="1">IFERROR(__xludf.DUMMYFUNCTION("""COMPUTED_VALUE"""),"妃魔央")</f>
        <v>妃魔央</v>
      </c>
      <c r="F1432" s="1" t="s">
        <v>2250</v>
      </c>
    </row>
    <row r="1433" spans="1:6" ht="13.2">
      <c r="A1433" s="1" t="str">
        <f t="array" aca="1" ref="A1433" ca="1">IF(B1433="", "", IFERROR(INDEX(声優一覧!A:A, MATCH(B1433, 声優一覧!B:B, 0)), "該当なし"))</f>
        <v>va_047</v>
      </c>
      <c r="B1433" s="1" t="str">
        <f ca="1">IFERROR(__xludf.DUMMYFUNCTION("""COMPUTED_VALUE"""),"海渡翼")</f>
        <v>海渡翼</v>
      </c>
      <c r="C1433" s="1" t="s">
        <v>257</v>
      </c>
      <c r="D1433" s="1" t="str">
        <f>IF(C1433="", "", IFERROR(VLOOKUP(C1433, 作品一覧!A:B, 2, FALSE), "該当なし"))</f>
        <v>星芥ユニゾン</v>
      </c>
      <c r="E1433" s="1" t="str">
        <f ca="1">IFERROR(__xludf.DUMMYFUNCTION("""COMPUTED_VALUE"""),"四条憶人")</f>
        <v>四条憶人</v>
      </c>
      <c r="F1433" s="1" t="s">
        <v>2251</v>
      </c>
    </row>
    <row r="1434" spans="1:6" ht="13.2">
      <c r="A1434" s="1" t="str">
        <f t="array" aca="1" ref="A1434" ca="1">IF(B1434="", "", IFERROR(INDEX(声優一覧!A:A, MATCH(B1434, 声優一覧!B:B, 0)), "該当なし"))</f>
        <v>va_073</v>
      </c>
      <c r="B1434" s="1" t="str">
        <f ca="1">IFERROR(__xludf.DUMMYFUNCTION("""COMPUTED_VALUE"""),"小林親弘")</f>
        <v>小林親弘</v>
      </c>
      <c r="C1434" s="1" t="s">
        <v>257</v>
      </c>
      <c r="D1434" s="1" t="str">
        <f>IF(C1434="", "", IFERROR(VLOOKUP(C1434, 作品一覧!A:B, 2, FALSE), "該当なし"))</f>
        <v>星芥ユニゾン</v>
      </c>
      <c r="E1434" s="1" t="str">
        <f ca="1">IFERROR(__xludf.DUMMYFUNCTION("""COMPUTED_VALUE"""),"丙辰巳")</f>
        <v>丙辰巳</v>
      </c>
      <c r="F1434" s="1" t="s">
        <v>2252</v>
      </c>
    </row>
    <row r="1435" spans="1:6" ht="13.2">
      <c r="A1435" s="1" t="str">
        <f t="array" aca="1" ref="A1435" ca="1">IF(B1435="", "", IFERROR(INDEX(声優一覧!A:A, MATCH(B1435, 声優一覧!B:B, 0)), "該当なし"))</f>
        <v>va_124</v>
      </c>
      <c r="B1435" s="1" t="str">
        <f ca="1">IFERROR(__xludf.DUMMYFUNCTION("""COMPUTED_VALUE"""),"寺島惇太")</f>
        <v>寺島惇太</v>
      </c>
      <c r="C1435" s="1" t="s">
        <v>257</v>
      </c>
      <c r="D1435" s="1" t="str">
        <f>IF(C1435="", "", IFERROR(VLOOKUP(C1435, 作品一覧!A:B, 2, FALSE), "該当なし"))</f>
        <v>星芥ユニゾン</v>
      </c>
      <c r="E1435" s="1" t="str">
        <f ca="1">IFERROR(__xludf.DUMMYFUNCTION("""COMPUTED_VALUE"""),"倉田都")</f>
        <v>倉田都</v>
      </c>
      <c r="F1435" s="1" t="s">
        <v>2253</v>
      </c>
    </row>
    <row r="1436" spans="1:6" ht="13.2">
      <c r="A1436" s="1" t="str">
        <f t="array" aca="1" ref="A1436" ca="1">IF(B1436="", "", IFERROR(INDEX(声優一覧!A:A, MATCH(B1436, 声優一覧!B:B, 0)), "該当なし"))</f>
        <v>va_058</v>
      </c>
      <c r="B1436" s="1" t="str">
        <f ca="1">IFERROR(__xludf.DUMMYFUNCTION("""COMPUTED_VALUE"""),"河西健吾")</f>
        <v>河西健吾</v>
      </c>
      <c r="C1436" s="1" t="s">
        <v>257</v>
      </c>
      <c r="D1436" s="1" t="str">
        <f>IF(C1436="", "", IFERROR(VLOOKUP(C1436, 作品一覧!A:B, 2, FALSE), "該当なし"))</f>
        <v>星芥ユニゾン</v>
      </c>
      <c r="E1436" s="1" t="str">
        <f ca="1">IFERROR(__xludf.DUMMYFUNCTION("""COMPUTED_VALUE"""),"天宮祀")</f>
        <v>天宮祀</v>
      </c>
      <c r="F1436" s="1" t="s">
        <v>2254</v>
      </c>
    </row>
    <row r="1437" spans="1:6" ht="13.2">
      <c r="A1437" s="1" t="str">
        <f t="array" aca="1" ref="A1437" ca="1">IF(B1437="", "", IFERROR(INDEX(声優一覧!A:A, MATCH(B1437, 声優一覧!B:B, 0)), "該当なし"))</f>
        <v>va_209</v>
      </c>
      <c r="B1437" s="1" t="str">
        <f ca="1">IFERROR(__xludf.DUMMYFUNCTION("""COMPUTED_VALUE"""),"浦田わたる")</f>
        <v>浦田わたる</v>
      </c>
      <c r="C1437" s="1" t="s">
        <v>257</v>
      </c>
      <c r="D1437" s="1" t="str">
        <f>IF(C1437="", "", IFERROR(VLOOKUP(C1437, 作品一覧!A:B, 2, FALSE), "該当なし"))</f>
        <v>星芥ユニゾン</v>
      </c>
      <c r="E1437" s="1" t="str">
        <f ca="1">IFERROR(__xludf.DUMMYFUNCTION("""COMPUTED_VALUE"""),"藤林七夜")</f>
        <v>藤林七夜</v>
      </c>
      <c r="F1437" s="1" t="s">
        <v>2255</v>
      </c>
    </row>
    <row r="1438" spans="1:6" ht="13.2">
      <c r="A1438" s="1" t="str">
        <f t="array" aca="1" ref="A1438" ca="1">IF(B1438="", "", IFERROR(INDEX(声優一覧!A:A, MATCH(B1438, 声優一覧!B:B, 0)), "該当なし"))</f>
        <v>va_071</v>
      </c>
      <c r="B1438" s="1" t="str">
        <f ca="1">IFERROR(__xludf.DUMMYFUNCTION("""COMPUTED_VALUE"""),"小林大紀")</f>
        <v>小林大紀</v>
      </c>
      <c r="C1438" s="1" t="s">
        <v>257</v>
      </c>
      <c r="D1438" s="1" t="str">
        <f>IF(C1438="", "", IFERROR(VLOOKUP(C1438, 作品一覧!A:B, 2, FALSE), "該当なし"))</f>
        <v>星芥ユニゾン</v>
      </c>
      <c r="E1438" s="1" t="str">
        <f ca="1">IFERROR(__xludf.DUMMYFUNCTION("""COMPUTED_VALUE"""),"吉良虎太郎")</f>
        <v>吉良虎太郎</v>
      </c>
      <c r="F1438" s="1" t="s">
        <v>2256</v>
      </c>
    </row>
    <row r="1439" spans="1:6" ht="13.2">
      <c r="A1439" s="1" t="str">
        <f t="array" aca="1" ref="A1439" ca="1">IF(B1439="", "", IFERROR(INDEX(声優一覧!A:A, MATCH(B1439, 声優一覧!B:B, 0)), "該当なし"))</f>
        <v>va_285</v>
      </c>
      <c r="B1439" s="1" t="str">
        <f ca="1">IFERROR(__xludf.DUMMYFUNCTION("""COMPUTED_VALUE"""),"木暮晃石")</f>
        <v>木暮晃石</v>
      </c>
      <c r="C1439" s="1" t="s">
        <v>257</v>
      </c>
      <c r="D1439" s="1" t="str">
        <f>IF(C1439="", "", IFERROR(VLOOKUP(C1439, 作品一覧!A:B, 2, FALSE), "該当なし"))</f>
        <v>星芥ユニゾン</v>
      </c>
      <c r="E1439" s="1" t="str">
        <f ca="1">IFERROR(__xludf.DUMMYFUNCTION("""COMPUTED_VALUE"""),"宇佐美絵馬")</f>
        <v>宇佐美絵馬</v>
      </c>
      <c r="F1439" s="1" t="s">
        <v>2257</v>
      </c>
    </row>
    <row r="1440" spans="1:6" ht="13.2">
      <c r="A1440" s="1" t="str">
        <f t="array" aca="1" ref="A1440" ca="1">IF(B1440="", "", IFERROR(INDEX(声優一覧!A:A, MATCH(B1440, 声優一覧!B:B, 0)), "該当なし"))</f>
        <v>va_238</v>
      </c>
      <c r="B1440" s="1" t="str">
        <f ca="1">IFERROR(__xludf.DUMMYFUNCTION("""COMPUTED_VALUE"""),"小野大輔")</f>
        <v>小野大輔</v>
      </c>
      <c r="C1440" s="1" t="s">
        <v>227</v>
      </c>
      <c r="D1440" s="1" t="str">
        <f>IF(C1440="", "", IFERROR(VLOOKUP(C1440, 作品一覧!A:B, 2, FALSE), "該当なし"))</f>
        <v>B-PROJECT</v>
      </c>
      <c r="E1440" s="1" t="str">
        <f ca="1">IFERROR(__xludf.DUMMYFUNCTION("""COMPUTED_VALUE"""),"北門倫毘沙")</f>
        <v>北門倫毘沙</v>
      </c>
      <c r="F1440" s="1" t="s">
        <v>2258</v>
      </c>
    </row>
    <row r="1441" spans="1:6" ht="13.2">
      <c r="A1441" s="1" t="str">
        <f t="array" aca="1" ref="A1441" ca="1">IF(B1441="", "", IFERROR(INDEX(声優一覧!A:A, MATCH(B1441, 声優一覧!B:B, 0)), "該当なし"))</f>
        <v>va_302</v>
      </c>
      <c r="B1441" s="1" t="str">
        <f ca="1">IFERROR(__xludf.DUMMYFUNCTION("""COMPUTED_VALUE"""),"岸尾だいすけ")</f>
        <v>岸尾だいすけ</v>
      </c>
      <c r="C1441" s="1" t="s">
        <v>227</v>
      </c>
      <c r="D1441" s="1" t="str">
        <f>IF(C1441="", "", IFERROR(VLOOKUP(C1441, 作品一覧!A:B, 2, FALSE), "該当なし"))</f>
        <v>B-PROJECT</v>
      </c>
      <c r="E1441" s="1" t="str">
        <f ca="1">IFERROR(__xludf.DUMMYFUNCTION("""COMPUTED_VALUE"""),"是国竜持")</f>
        <v>是国竜持</v>
      </c>
      <c r="F1441" s="1" t="s">
        <v>2259</v>
      </c>
    </row>
    <row r="1442" spans="1:6" ht="13.2">
      <c r="A1442" s="1" t="str">
        <f t="array" aca="1" ref="A1442" ca="1">IF(B1442="", "", IFERROR(INDEX(声優一覧!A:A, MATCH(B1442, 声優一覧!B:B, 0)), "該当なし"))</f>
        <v>va_131</v>
      </c>
      <c r="B1442" s="1" t="str">
        <f ca="1">IFERROR(__xludf.DUMMYFUNCTION("""COMPUTED_VALUE"""),"豊永利行")</f>
        <v>豊永利行</v>
      </c>
      <c r="C1442" s="1" t="s">
        <v>227</v>
      </c>
      <c r="D1442" s="1" t="str">
        <f>IF(C1442="", "", IFERROR(VLOOKUP(C1442, 作品一覧!A:B, 2, FALSE), "該当なし"))</f>
        <v>B-PROJECT</v>
      </c>
      <c r="E1442" s="1" t="str">
        <f ca="1">IFERROR(__xludf.DUMMYFUNCTION("""COMPUTED_VALUE"""),"金城剛士")</f>
        <v>金城剛士</v>
      </c>
      <c r="F1442" s="1" t="s">
        <v>2260</v>
      </c>
    </row>
    <row r="1443" spans="1:6" ht="13.2">
      <c r="A1443" s="1" t="str">
        <f t="array" aca="1" ref="A1443" ca="1">IF(B1443="", "", IFERROR(INDEX(声優一覧!A:A, MATCH(B1443, 声優一覧!B:B, 0)), "該当なし"))</f>
        <v>va_150</v>
      </c>
      <c r="B1443" s="1" t="str">
        <f ca="1">IFERROR(__xludf.DUMMYFUNCTION("""COMPUTED_VALUE"""),"花江夏樹")</f>
        <v>花江夏樹</v>
      </c>
      <c r="C1443" s="1" t="s">
        <v>227</v>
      </c>
      <c r="D1443" s="1" t="str">
        <f>IF(C1443="", "", IFERROR(VLOOKUP(C1443, 作品一覧!A:B, 2, FALSE), "該当なし"))</f>
        <v>B-PROJECT</v>
      </c>
      <c r="E1443" s="1" t="str">
        <f ca="1">IFERROR(__xludf.DUMMYFUNCTION("""COMPUTED_VALUE"""),"阿修悠太")</f>
        <v>阿修悠太</v>
      </c>
      <c r="F1443" s="1" t="s">
        <v>2261</v>
      </c>
    </row>
    <row r="1444" spans="1:6" ht="13.2">
      <c r="A1444" s="1" t="str">
        <f t="array" aca="1" ref="A1444" ca="1">IF(B1444="", "", IFERROR(INDEX(声優一覧!A:A, MATCH(B1444, 声優一覧!B:B, 0)), "該当なし"))</f>
        <v>va_049</v>
      </c>
      <c r="B1444" s="1" t="str">
        <f ca="1">IFERROR(__xludf.DUMMYFUNCTION("""COMPUTED_VALUE"""),"加藤和樹")</f>
        <v>加藤和樹</v>
      </c>
      <c r="C1444" s="1" t="s">
        <v>227</v>
      </c>
      <c r="D1444" s="1" t="str">
        <f>IF(C1444="", "", IFERROR(VLOOKUP(C1444, 作品一覧!A:B, 2, FALSE), "該当なし"))</f>
        <v>B-PROJECT</v>
      </c>
      <c r="E1444" s="1" t="str">
        <f ca="1">IFERROR(__xludf.DUMMYFUNCTION("""COMPUTED_VALUE"""),"愛染健十")</f>
        <v>愛染健十</v>
      </c>
      <c r="F1444" s="1" t="s">
        <v>2262</v>
      </c>
    </row>
    <row r="1445" spans="1:6" ht="13.2">
      <c r="A1445" s="1" t="str">
        <f t="array" aca="1" ref="A1445" ca="1">IF(B1445="", "", IFERROR(INDEX(声優一覧!A:A, MATCH(B1445, 声優一覧!B:B, 0)), "該当なし"))</f>
        <v>va_028</v>
      </c>
      <c r="B1445" s="1" t="str">
        <f ca="1">IFERROR(__xludf.DUMMYFUNCTION("""COMPUTED_VALUE"""),"上村祐翔")</f>
        <v>上村祐翔</v>
      </c>
      <c r="C1445" s="1" t="s">
        <v>227</v>
      </c>
      <c r="D1445" s="1" t="str">
        <f>IF(C1445="", "", IFERROR(VLOOKUP(C1445, 作品一覧!A:B, 2, FALSE), "該当なし"))</f>
        <v>B-PROJECT</v>
      </c>
      <c r="E1445" s="1" t="str">
        <f ca="1">IFERROR(__xludf.DUMMYFUNCTION("""COMPUTED_VALUE"""),"増長和南")</f>
        <v>増長和南</v>
      </c>
      <c r="F1445" s="1" t="s">
        <v>2263</v>
      </c>
    </row>
    <row r="1446" spans="1:6" ht="13.2">
      <c r="A1446" s="1" t="str">
        <f t="array" aca="1" ref="A1446" ca="1">IF(B1446="", "", IFERROR(INDEX(声優一覧!A:A, MATCH(B1446, 声優一覧!B:B, 0)), "該当なし"))</f>
        <v>va_048</v>
      </c>
      <c r="B1446" s="1" t="str">
        <f ca="1">IFERROR(__xludf.DUMMYFUNCTION("""COMPUTED_VALUE"""),"柿原徹也")</f>
        <v>柿原徹也</v>
      </c>
      <c r="C1446" s="1" t="s">
        <v>227</v>
      </c>
      <c r="D1446" s="1" t="str">
        <f>IF(C1446="", "", IFERROR(VLOOKUP(C1446, 作品一覧!A:B, 2, FALSE), "該当なし"))</f>
        <v>B-PROJECT</v>
      </c>
      <c r="E1446" s="1" t="str">
        <f ca="1">IFERROR(__xludf.DUMMYFUNCTION("""COMPUTED_VALUE"""),"音済百太郎")</f>
        <v>音済百太郎</v>
      </c>
      <c r="F1446" s="1" t="s">
        <v>2264</v>
      </c>
    </row>
    <row r="1447" spans="1:6" ht="13.2">
      <c r="A1447" s="1" t="str">
        <f t="array" aca="1" ref="A1447" ca="1">IF(B1447="", "", IFERROR(INDEX(声優一覧!A:A, MATCH(B1447, 声優一覧!B:B, 0)), "該当なし"))</f>
        <v>va_185</v>
      </c>
      <c r="B1447" s="1" t="str">
        <f ca="1">IFERROR(__xludf.DUMMYFUNCTION("""COMPUTED_VALUE"""),"森久保祥太郎")</f>
        <v>森久保祥太郎</v>
      </c>
      <c r="C1447" s="1" t="s">
        <v>227</v>
      </c>
      <c r="D1447" s="1" t="str">
        <f>IF(C1447="", "", IFERROR(VLOOKUP(C1447, 作品一覧!A:B, 2, FALSE), "該当なし"))</f>
        <v>B-PROJECT</v>
      </c>
      <c r="E1447" s="1" t="str">
        <f ca="1">IFERROR(__xludf.DUMMYFUNCTION("""COMPUTED_VALUE"""),"王茶利暉")</f>
        <v>王茶利暉</v>
      </c>
      <c r="F1447" s="1" t="s">
        <v>2265</v>
      </c>
    </row>
    <row r="1448" spans="1:6" ht="13.2">
      <c r="A1448" s="1" t="str">
        <f t="array" aca="1" ref="A1448" ca="1">IF(B1448="", "", IFERROR(INDEX(声優一覧!A:A, MATCH(B1448, 声優一覧!B:B, 0)), "該当なし"))</f>
        <v>va_215</v>
      </c>
      <c r="B1448" s="1" t="str">
        <f ca="1">IFERROR(__xludf.DUMMYFUNCTION("""COMPUTED_VALUE"""),"大河元気")</f>
        <v>大河元気</v>
      </c>
      <c r="C1448" s="1" t="s">
        <v>227</v>
      </c>
      <c r="D1448" s="1" t="str">
        <f>IF(C1448="", "", IFERROR(VLOOKUP(C1448, 作品一覧!A:B, 2, FALSE), "該当なし"))</f>
        <v>B-PROJECT</v>
      </c>
      <c r="E1448" s="1" t="str">
        <f ca="1">IFERROR(__xludf.DUMMYFUNCTION("""COMPUTED_VALUE"""),"野目龍広")</f>
        <v>野目龍広</v>
      </c>
      <c r="F1448" s="1" t="s">
        <v>2266</v>
      </c>
    </row>
    <row r="1449" spans="1:6" ht="13.2">
      <c r="A1449" s="1" t="str">
        <f t="array" aca="1" ref="A1449" ca="1">IF(B1449="", "", IFERROR(INDEX(声優一覧!A:A, MATCH(B1449, 声優一覧!B:B, 0)), "該当なし"))</f>
        <v>va_172</v>
      </c>
      <c r="B1449" s="1" t="str">
        <f ca="1">IFERROR(__xludf.DUMMYFUNCTION("""COMPUTED_VALUE"""),"増田俊樹")</f>
        <v>増田俊樹</v>
      </c>
      <c r="C1449" s="1" t="s">
        <v>227</v>
      </c>
      <c r="D1449" s="1" t="str">
        <f>IF(C1449="", "", IFERROR(VLOOKUP(C1449, 作品一覧!A:B, 2, FALSE), "該当なし"))</f>
        <v>B-PROJECT</v>
      </c>
      <c r="E1449" s="1" t="str">
        <f ca="1">IFERROR(__xludf.DUMMYFUNCTION("""COMPUTED_VALUE"""),"釈村帝人")</f>
        <v>釈村帝人</v>
      </c>
      <c r="F1449" s="1" t="s">
        <v>2267</v>
      </c>
    </row>
    <row r="1450" spans="1:6" ht="13.2">
      <c r="A1450" s="1" t="str">
        <f t="array" aca="1" ref="A1450" ca="1">IF(B1450="", "", IFERROR(INDEX(声優一覧!A:A, MATCH(B1450, 声優一覧!B:B, 0)), "該当なし"))</f>
        <v>va_141</v>
      </c>
      <c r="B1450" s="1" t="str">
        <f ca="1">IFERROR(__xludf.DUMMYFUNCTION("""COMPUTED_VALUE"""),"西山宏太朗")</f>
        <v>西山宏太朗</v>
      </c>
      <c r="C1450" s="1" t="s">
        <v>227</v>
      </c>
      <c r="D1450" s="1" t="str">
        <f>IF(C1450="", "", IFERROR(VLOOKUP(C1450, 作品一覧!A:B, 2, FALSE), "該当なし"))</f>
        <v>B-PROJECT</v>
      </c>
      <c r="E1450" s="1" t="str">
        <f ca="1">IFERROR(__xludf.DUMMYFUNCTION("""COMPUTED_VALUE"""),"寺光唯月")</f>
        <v>寺光唯月</v>
      </c>
      <c r="F1450" s="1" t="s">
        <v>2268</v>
      </c>
    </row>
    <row r="1451" spans="1:6" ht="13.2">
      <c r="A1451" s="1" t="str">
        <f t="array" aca="1" ref="A1451" ca="1">IF(B1451="", "", IFERROR(INDEX(声優一覧!A:A, MATCH(B1451, 声優一覧!B:B, 0)), "該当なし"))</f>
        <v>va_188</v>
      </c>
      <c r="B1451" s="1" t="str">
        <f ca="1">IFERROR(__xludf.DUMMYFUNCTION("""COMPUTED_VALUE"""),"八代拓")</f>
        <v>八代拓</v>
      </c>
      <c r="C1451" s="1" t="s">
        <v>227</v>
      </c>
      <c r="D1451" s="1" t="str">
        <f>IF(C1451="", "", IFERROR(VLOOKUP(C1451, 作品一覧!A:B, 2, FALSE), "該当なし"))</f>
        <v>B-PROJECT</v>
      </c>
      <c r="E1451" s="1" t="str">
        <f ca="1">IFERROR(__xludf.DUMMYFUNCTION("""COMPUTED_VALUE"""),"寺光遙日")</f>
        <v>寺光遙日</v>
      </c>
      <c r="F1451" s="1" t="s">
        <v>2269</v>
      </c>
    </row>
    <row r="1452" spans="1:6" ht="13.2">
      <c r="A1452" s="1" t="str">
        <f t="array" aca="1" ref="A1452" ca="1">IF(B1452="", "", IFERROR(INDEX(声優一覧!A:A, MATCH(B1452, 声優一覧!B:B, 0)), "該当なし"))</f>
        <v>va_119</v>
      </c>
      <c r="B1452" s="1" t="str">
        <f ca="1">IFERROR(__xludf.DUMMYFUNCTION("""COMPUTED_VALUE"""),"千葉翔也")</f>
        <v>千葉翔也</v>
      </c>
      <c r="C1452" s="1" t="s">
        <v>227</v>
      </c>
      <c r="D1452" s="1" t="str">
        <f>IF(C1452="", "", IFERROR(VLOOKUP(C1452, 作品一覧!A:B, 2, FALSE), "該当なし"))</f>
        <v>B-PROJECT</v>
      </c>
      <c r="E1452" s="1" t="str">
        <f ca="1">IFERROR(__xludf.DUMMYFUNCTION("""COMPUTED_VALUE"""),"不動明謙")</f>
        <v>不動明謙</v>
      </c>
      <c r="F1452" s="1" t="s">
        <v>2270</v>
      </c>
    </row>
    <row r="1453" spans="1:6" ht="13.2">
      <c r="A1453" s="1" t="str">
        <f t="array" aca="1" ref="A1453" ca="1">IF(B1453="", "", IFERROR(INDEX(声優一覧!A:A, MATCH(B1453, 声優一覧!B:B, 0)), "該当なし"))</f>
        <v>va_035</v>
      </c>
      <c r="B1453" s="1" t="str">
        <f ca="1">IFERROR(__xludf.DUMMYFUNCTION("""COMPUTED_VALUE"""),"江口拓也")</f>
        <v>江口拓也</v>
      </c>
      <c r="C1453" s="1" t="s">
        <v>227</v>
      </c>
      <c r="D1453" s="1" t="str">
        <f>IF(C1453="", "", IFERROR(VLOOKUP(C1453, 作品一覧!A:B, 2, FALSE), "該当なし"))</f>
        <v>B-PROJECT</v>
      </c>
      <c r="E1453" s="1" t="str">
        <f ca="1">IFERROR(__xludf.DUMMYFUNCTION("""COMPUTED_VALUE"""),"殿弥勒")</f>
        <v>殿弥勒</v>
      </c>
      <c r="F1453" s="1" t="s">
        <v>2271</v>
      </c>
    </row>
    <row r="1454" spans="1:6" ht="13.2">
      <c r="A1454" s="1" t="str">
        <f t="array" aca="1" ref="A1454" ca="1">IF(B1454="", "", IFERROR(INDEX(声優一覧!A:A, MATCH(B1454, 声優一覧!B:B, 0)), "該当なし"))</f>
        <v>va_147</v>
      </c>
      <c r="B1454" s="1" t="str">
        <f ca="1">IFERROR(__xludf.DUMMYFUNCTION("""COMPUTED_VALUE"""),"畠中祐")</f>
        <v>畠中祐</v>
      </c>
      <c r="C1454" s="1" t="s">
        <v>227</v>
      </c>
      <c r="D1454" s="1" t="str">
        <f>IF(C1454="", "", IFERROR(VLOOKUP(C1454, 作品一覧!A:B, 2, FALSE), "該当なし"))</f>
        <v>B-PROJECT</v>
      </c>
      <c r="E1454" s="1" t="str">
        <f ca="1">IFERROR(__xludf.DUMMYFUNCTION("""COMPUTED_VALUE"""),"倉田永輔")</f>
        <v>倉田永輔</v>
      </c>
      <c r="F1454" s="1" t="s">
        <v>2272</v>
      </c>
    </row>
    <row r="1455" spans="1:6" ht="13.2">
      <c r="A1455" s="1" t="str">
        <f t="array" aca="1" ref="A1455" ca="1">IF(B1455="", "", IFERROR(INDEX(声優一覧!A:A, MATCH(B1455, 声優一覧!B:B, 0)), "該当なし"))</f>
        <v>va_019</v>
      </c>
      <c r="B1455" s="1" t="str">
        <f ca="1">IFERROR(__xludf.DUMMYFUNCTION("""COMPUTED_VALUE"""),"伊東健人")</f>
        <v>伊東健人</v>
      </c>
      <c r="C1455" s="1" t="s">
        <v>227</v>
      </c>
      <c r="D1455" s="1" t="str">
        <f>IF(C1455="", "", IFERROR(VLOOKUP(C1455, 作品一覧!A:B, 2, FALSE), "該当なし"))</f>
        <v>B-PROJECT</v>
      </c>
      <c r="E1455" s="1" t="str">
        <f ca="1">IFERROR(__xludf.DUMMYFUNCTION("""COMPUTED_VALUE"""),"柏木文太")</f>
        <v>柏木文太</v>
      </c>
      <c r="F1455" s="1" t="s">
        <v>2273</v>
      </c>
    </row>
    <row r="1456" spans="1:6" ht="13.2">
      <c r="A1456" s="1" t="str">
        <f t="array" aca="1" ref="A1456" ca="1">IF(B1456="", "", IFERROR(INDEX(声優一覧!A:A, MATCH(B1456, 声優一覧!B:B, 0)), "該当なし"))</f>
        <v>va_143</v>
      </c>
      <c r="B1456" s="1" t="str">
        <f ca="1">IFERROR(__xludf.DUMMYFUNCTION("""COMPUTED_VALUE"""),"野島健児")</f>
        <v>野島健児</v>
      </c>
      <c r="C1456" s="1" t="s">
        <v>22</v>
      </c>
      <c r="D1456" s="1" t="str">
        <f>IF(C1456="", "", IFERROR(VLOOKUP(C1456, 作品一覧!A:B, 2, FALSE), "該当なし"))</f>
        <v>ACTORS</v>
      </c>
      <c r="E1456" s="1" t="str">
        <f ca="1">IFERROR(__xludf.DUMMYFUNCTION("""COMPUTED_VALUE"""),"鑑香水月")</f>
        <v>鑑香水月</v>
      </c>
      <c r="F1456" s="1" t="s">
        <v>2274</v>
      </c>
    </row>
    <row r="1457" spans="1:6" ht="13.2">
      <c r="A1457" s="1" t="str">
        <f t="array" aca="1" ref="A1457" ca="1">IF(B1457="", "", IFERROR(INDEX(声優一覧!A:A, MATCH(B1457, 声優一覧!B:B, 0)), "該当なし"))</f>
        <v>va_035</v>
      </c>
      <c r="B1457" s="1" t="str">
        <f ca="1">IFERROR(__xludf.DUMMYFUNCTION("""COMPUTED_VALUE"""),"江口拓也")</f>
        <v>江口拓也</v>
      </c>
      <c r="C1457" s="1" t="s">
        <v>22</v>
      </c>
      <c r="D1457" s="1" t="str">
        <f>IF(C1457="", "", IFERROR(VLOOKUP(C1457, 作品一覧!A:B, 2, FALSE), "該当なし"))</f>
        <v>ACTORS</v>
      </c>
      <c r="E1457" s="1" t="str">
        <f ca="1">IFERROR(__xludf.DUMMYFUNCTION("""COMPUTED_VALUE"""),"秋月甲斐")</f>
        <v>秋月甲斐</v>
      </c>
      <c r="F1457" s="1" t="s">
        <v>2275</v>
      </c>
    </row>
    <row r="1458" spans="1:6" ht="13.2">
      <c r="A1458" s="1" t="str">
        <f t="array" aca="1" ref="A1458" ca="1">IF(B1458="", "", IFERROR(INDEX(声優一覧!A:A, MATCH(B1458, 声優一覧!B:B, 0)), "該当なし"))</f>
        <v>va_131</v>
      </c>
      <c r="B1458" s="1" t="str">
        <f ca="1">IFERROR(__xludf.DUMMYFUNCTION("""COMPUTED_VALUE"""),"豊永利行")</f>
        <v>豊永利行</v>
      </c>
      <c r="C1458" s="1" t="s">
        <v>22</v>
      </c>
      <c r="D1458" s="1" t="str">
        <f>IF(C1458="", "", IFERROR(VLOOKUP(C1458, 作品一覧!A:B, 2, FALSE), "該当なし"))</f>
        <v>ACTORS</v>
      </c>
      <c r="E1458" s="1" t="str">
        <f ca="1">IFERROR(__xludf.DUMMYFUNCTION("""COMPUTED_VALUE"""),"麻布汐")</f>
        <v>麻布汐</v>
      </c>
      <c r="F1458" s="1" t="s">
        <v>2276</v>
      </c>
    </row>
    <row r="1459" spans="1:6" ht="13.2">
      <c r="A1459" s="1" t="str">
        <f t="array" aca="1" ref="A1459" ca="1">IF(B1459="", "", IFERROR(INDEX(声優一覧!A:A, MATCH(B1459, 声優一覧!B:B, 0)), "該当なし"))</f>
        <v>va_009</v>
      </c>
      <c r="B1459" s="1" t="str">
        <f ca="1">IFERROR(__xludf.DUMMYFUNCTION("""COMPUTED_VALUE"""),"蒼井翔太")</f>
        <v>蒼井翔太</v>
      </c>
      <c r="C1459" s="1" t="s">
        <v>22</v>
      </c>
      <c r="D1459" s="1" t="str">
        <f>IF(C1459="", "", IFERROR(VLOOKUP(C1459, 作品一覧!A:B, 2, FALSE), "該当なし"))</f>
        <v>ACTORS</v>
      </c>
      <c r="E1459" s="1" t="str">
        <f ca="1">IFERROR(__xludf.DUMMYFUNCTION("""COMPUTED_VALUE"""),"芦原倖乎")</f>
        <v>芦原倖乎</v>
      </c>
      <c r="F1459" s="1" t="s">
        <v>2277</v>
      </c>
    </row>
    <row r="1460" spans="1:6" ht="13.2">
      <c r="A1460" s="1" t="str">
        <f t="array" aca="1" ref="A1460" ca="1">IF(B1460="", "", IFERROR(INDEX(声優一覧!A:A, MATCH(B1460, 声優一覧!B:B, 0)), "該当なし"))</f>
        <v>va_091</v>
      </c>
      <c r="B1460" s="1" t="str">
        <f ca="1">IFERROR(__xludf.DUMMYFUNCTION("""COMPUTED_VALUE"""),"佐藤祐吾")</f>
        <v>佐藤祐吾</v>
      </c>
      <c r="C1460" s="1" t="s">
        <v>22</v>
      </c>
      <c r="D1460" s="1" t="str">
        <f>IF(C1460="", "", IFERROR(VLOOKUP(C1460, 作品一覧!A:B, 2, FALSE), "該当なし"))</f>
        <v>ACTORS</v>
      </c>
      <c r="E1460" s="1" t="str">
        <f ca="1">IFERROR(__xludf.DUMMYFUNCTION("""COMPUTED_VALUE"""),"新木完")</f>
        <v>新木完</v>
      </c>
      <c r="F1460" s="1" t="s">
        <v>2278</v>
      </c>
    </row>
    <row r="1461" spans="1:6" ht="13.2">
      <c r="A1461" s="1" t="str">
        <f t="array" aca="1" ref="A1461" ca="1">IF(B1461="", "", IFERROR(INDEX(声優一覧!A:A, MATCH(B1461, 声優一覧!B:B, 0)), "該当なし"))</f>
        <v>va_004</v>
      </c>
      <c r="B1461" s="1" t="str">
        <f ca="1">IFERROR(__xludf.DUMMYFUNCTION("""COMPUTED_VALUE"""),"浅沼晋太郎")</f>
        <v>浅沼晋太郎</v>
      </c>
      <c r="C1461" s="1" t="s">
        <v>22</v>
      </c>
      <c r="D1461" s="1" t="str">
        <f>IF(C1461="", "", IFERROR(VLOOKUP(C1461, 作品一覧!A:B, 2, FALSE), "該当なし"))</f>
        <v>ACTORS</v>
      </c>
      <c r="E1461" s="1" t="str">
        <f ca="1">IFERROR(__xludf.DUMMYFUNCTION("""COMPUTED_VALUE"""),"飯盛駆")</f>
        <v>飯盛駆</v>
      </c>
      <c r="F1461" s="1" t="s">
        <v>2279</v>
      </c>
    </row>
    <row r="1462" spans="1:6" ht="13.2">
      <c r="A1462" s="1" t="str">
        <f t="array" aca="1" ref="A1462" ca="1">IF(B1462="", "", IFERROR(INDEX(声優一覧!A:A, MATCH(B1462, 声優一覧!B:B, 0)), "該当なし"))</f>
        <v>va_180</v>
      </c>
      <c r="B1462" s="1" t="str">
        <f ca="1">IFERROR(__xludf.DUMMYFUNCTION("""COMPUTED_VALUE"""),"緑川光")</f>
        <v>緑川光</v>
      </c>
      <c r="C1462" s="1" t="s">
        <v>22</v>
      </c>
      <c r="D1462" s="1" t="str">
        <f>IF(C1462="", "", IFERROR(VLOOKUP(C1462, 作品一覧!A:B, 2, FALSE), "該当なし"))</f>
        <v>ACTORS</v>
      </c>
      <c r="E1462" s="1" t="str">
        <f ca="1">IFERROR(__xludf.DUMMYFUNCTION("""COMPUTED_VALUE"""),"一乗谷羚")</f>
        <v>一乗谷羚</v>
      </c>
      <c r="F1462" s="1" t="s">
        <v>2280</v>
      </c>
    </row>
    <row r="1463" spans="1:6" ht="13.2">
      <c r="A1463" s="1" t="str">
        <f t="array" aca="1" ref="A1463" ca="1">IF(B1463="", "", IFERROR(INDEX(声優一覧!A:A, MATCH(B1463, 声優一覧!B:B, 0)), "該当なし"))</f>
        <v>va_200</v>
      </c>
      <c r="B1463" s="1" t="str">
        <f ca="1">IFERROR(__xludf.DUMMYFUNCTION("""COMPUTED_VALUE"""),"KENN")</f>
        <v>KENN</v>
      </c>
      <c r="C1463" s="1" t="s">
        <v>22</v>
      </c>
      <c r="D1463" s="1" t="str">
        <f>IF(C1463="", "", IFERROR(VLOOKUP(C1463, 作品一覧!A:B, 2, FALSE), "該当なし"))</f>
        <v>ACTORS</v>
      </c>
      <c r="E1463" s="1" t="str">
        <f ca="1">IFERROR(__xludf.DUMMYFUNCTION("""COMPUTED_VALUE"""),"魚津鯆澄")</f>
        <v>魚津鯆澄</v>
      </c>
      <c r="F1463" s="1" t="s">
        <v>2281</v>
      </c>
    </row>
    <row r="1464" spans="1:6" ht="13.2">
      <c r="A1464" s="1" t="str">
        <f t="array" aca="1" ref="A1464" ca="1">IF(B1464="", "", IFERROR(INDEX(声優一覧!A:A, MATCH(B1464, 声優一覧!B:B, 0)), "該当なし"))</f>
        <v>va_217</v>
      </c>
      <c r="B1464" s="1" t="str">
        <f ca="1">IFERROR(__xludf.DUMMYFUNCTION("""COMPUTED_VALUE"""),"竹内良太")</f>
        <v>竹内良太</v>
      </c>
      <c r="C1464" s="1" t="s">
        <v>22</v>
      </c>
      <c r="D1464" s="1" t="str">
        <f>IF(C1464="", "", IFERROR(VLOOKUP(C1464, 作品一覧!A:B, 2, FALSE), "該当なし"))</f>
        <v>ACTORS</v>
      </c>
      <c r="E1464" s="1" t="str">
        <f ca="1">IFERROR(__xludf.DUMMYFUNCTION("""COMPUTED_VALUE"""),"臼杵鷲帆")</f>
        <v>臼杵鷲帆</v>
      </c>
      <c r="F1464" s="1" t="s">
        <v>2282</v>
      </c>
    </row>
    <row r="1465" spans="1:6" ht="13.2">
      <c r="A1465" s="1" t="str">
        <f t="array" aca="1" ref="A1465" ca="1">IF(B1465="", "", IFERROR(INDEX(声優一覧!A:A, MATCH(B1465, 声優一覧!B:B, 0)), "該当なし"))</f>
        <v>va_319</v>
      </c>
      <c r="B1465" s="1" t="str">
        <f ca="1">IFERROR(__xludf.DUMMYFUNCTION("""COMPUTED_VALUE"""),"森嶋秀太")</f>
        <v>森嶋秀太</v>
      </c>
      <c r="C1465" s="1" t="s">
        <v>22</v>
      </c>
      <c r="D1465" s="1" t="str">
        <f>IF(C1465="", "", IFERROR(VLOOKUP(C1465, 作品一覧!A:B, 2, FALSE), "該当なし"))</f>
        <v>ACTORS</v>
      </c>
      <c r="E1465" s="1" t="str">
        <f ca="1">IFERROR(__xludf.DUMMYFUNCTION("""COMPUTED_VALUE"""),"宇和島麒平")</f>
        <v>宇和島麒平</v>
      </c>
      <c r="F1465" s="1" t="s">
        <v>2283</v>
      </c>
    </row>
    <row r="1466" spans="1:6" ht="13.2">
      <c r="A1466" s="1" t="str">
        <f t="array" aca="1" ref="A1466" ca="1">IF(B1466="", "", IFERROR(INDEX(声優一覧!A:A, MATCH(B1466, 声優一覧!B:B, 0)), "該当なし"))</f>
        <v>va_046</v>
      </c>
      <c r="B1466" s="1" t="str">
        <f ca="1">IFERROR(__xludf.DUMMYFUNCTION("""COMPUTED_VALUE"""),"小野友樹")</f>
        <v>小野友樹</v>
      </c>
      <c r="C1466" s="1" t="s">
        <v>22</v>
      </c>
      <c r="D1466" s="1" t="str">
        <f>IF(C1466="", "", IFERROR(VLOOKUP(C1466, 作品一覧!A:B, 2, FALSE), "該当なし"))</f>
        <v>ACTORS</v>
      </c>
      <c r="E1466" s="1" t="str">
        <f ca="1">IFERROR(__xludf.DUMMYFUNCTION("""COMPUTED_VALUE"""),"円城寺三毛")</f>
        <v>円城寺三毛</v>
      </c>
      <c r="F1466" s="1" t="s">
        <v>2284</v>
      </c>
    </row>
    <row r="1467" spans="1:6" ht="13.2">
      <c r="A1467" s="1" t="str">
        <f t="array" aca="1" ref="A1467" ca="1">IF(B1467="", "", IFERROR(INDEX(声優一覧!A:A, MATCH(B1467, 声優一覧!B:B, 0)), "該当なし"))</f>
        <v>va_279</v>
      </c>
      <c r="B1467" s="1" t="str">
        <f ca="1">IFERROR(__xludf.DUMMYFUNCTION("""COMPUTED_VALUE"""),"保住有哉")</f>
        <v>保住有哉</v>
      </c>
      <c r="C1467" s="1" t="s">
        <v>22</v>
      </c>
      <c r="D1467" s="1" t="str">
        <f>IF(C1467="", "", IFERROR(VLOOKUP(C1467, 作品一覧!A:B, 2, FALSE), "該当なし"))</f>
        <v>ACTORS</v>
      </c>
      <c r="E1467" s="1" t="str">
        <f ca="1">IFERROR(__xludf.DUMMYFUNCTION("""COMPUTED_VALUE"""),"往田詩")</f>
        <v>往田詩</v>
      </c>
      <c r="F1467" s="1" t="s">
        <v>2285</v>
      </c>
    </row>
    <row r="1468" spans="1:6" ht="13.2">
      <c r="A1468" s="1" t="str">
        <f t="array" aca="1" ref="A1468" ca="1">IF(B1468="", "", IFERROR(INDEX(声優一覧!A:A, MATCH(B1468, 声優一覧!B:B, 0)), "該当なし"))</f>
        <v>va_205</v>
      </c>
      <c r="B1468" s="1" t="str">
        <f ca="1">IFERROR(__xludf.DUMMYFUNCTION("""COMPUTED_VALUE"""),"速水奨")</f>
        <v>速水奨</v>
      </c>
      <c r="C1468" s="1" t="s">
        <v>22</v>
      </c>
      <c r="D1468" s="1" t="str">
        <f>IF(C1468="", "", IFERROR(VLOOKUP(C1468, 作品一覧!A:B, 2, FALSE), "該当なし"))</f>
        <v>ACTORS</v>
      </c>
      <c r="E1468" s="1" t="str">
        <f ca="1">IFERROR(__xludf.DUMMYFUNCTION("""COMPUTED_VALUE"""),"小田原牧")</f>
        <v>小田原牧</v>
      </c>
      <c r="F1468" s="1" t="s">
        <v>2286</v>
      </c>
    </row>
    <row r="1469" spans="1:6" ht="13.2">
      <c r="A1469" s="1" t="str">
        <f t="array" aca="1" ref="A1469" ca="1">IF(B1469="", "", IFERROR(INDEX(声優一覧!A:A, MATCH(B1469, 声優一覧!B:B, 0)), "該当なし"))</f>
        <v>va_053</v>
      </c>
      <c r="B1469" s="1" t="str">
        <f ca="1">IFERROR(__xludf.DUMMYFUNCTION("""COMPUTED_VALUE"""),"梶原岳人")</f>
        <v>梶原岳人</v>
      </c>
      <c r="C1469" s="1" t="s">
        <v>22</v>
      </c>
      <c r="D1469" s="1" t="str">
        <f>IF(C1469="", "", IFERROR(VLOOKUP(C1469, 作品一覧!A:B, 2, FALSE), "該当なし"))</f>
        <v>ACTORS</v>
      </c>
      <c r="E1469" s="1" t="str">
        <f ca="1">IFERROR(__xludf.DUMMYFUNCTION("""COMPUTED_VALUE"""),"音之宮朔")</f>
        <v>音之宮朔</v>
      </c>
      <c r="F1469" s="1" t="s">
        <v>2287</v>
      </c>
    </row>
    <row r="1470" spans="1:6" ht="13.2">
      <c r="A1470" s="1" t="str">
        <f t="array" aca="1" ref="A1470" ca="1">IF(B1470="", "", IFERROR(INDEX(声優一覧!A:A, MATCH(B1470, 声優一覧!B:B, 0)), "該当なし"))</f>
        <v>va_209</v>
      </c>
      <c r="B1470" s="1" t="str">
        <f ca="1">IFERROR(__xludf.DUMMYFUNCTION("""COMPUTED_VALUE"""),"浦田わたる")</f>
        <v>浦田わたる</v>
      </c>
      <c r="C1470" s="1" t="s">
        <v>22</v>
      </c>
      <c r="D1470" s="1" t="str">
        <f>IF(C1470="", "", IFERROR(VLOOKUP(C1470, 作品一覧!A:B, 2, FALSE), "該当なし"))</f>
        <v>ACTORS</v>
      </c>
      <c r="E1470" s="1" t="str">
        <f ca="1">IFERROR(__xludf.DUMMYFUNCTION("""COMPUTED_VALUE"""),"神樂蒼介")</f>
        <v>神樂蒼介</v>
      </c>
      <c r="F1470" s="1" t="s">
        <v>2288</v>
      </c>
    </row>
    <row r="1471" spans="1:6" ht="13.2">
      <c r="A1471" s="1" t="str">
        <f t="array" aca="1" ref="A1471" ca="1">IF(B1471="", "", IFERROR(INDEX(声優一覧!A:A, MATCH(B1471, 声優一覧!B:B, 0)), "該当なし"))</f>
        <v>va_043</v>
      </c>
      <c r="B1471" s="1" t="str">
        <f ca="1">IFERROR(__xludf.DUMMYFUNCTION("""COMPUTED_VALUE"""),"置鮎龍太郎")</f>
        <v>置鮎龍太郎</v>
      </c>
      <c r="C1471" s="1" t="s">
        <v>22</v>
      </c>
      <c r="D1471" s="1" t="str">
        <f>IF(C1471="", "", IFERROR(VLOOKUP(C1471, 作品一覧!A:B, 2, FALSE), "該当なし"))</f>
        <v>ACTORS</v>
      </c>
      <c r="E1471" s="1" t="str">
        <f ca="1">IFERROR(__xludf.DUMMYFUNCTION("""COMPUTED_VALUE"""),"葛野大路颯馬")</f>
        <v>葛野大路颯馬</v>
      </c>
      <c r="F1471" s="1" t="s">
        <v>2289</v>
      </c>
    </row>
    <row r="1472" spans="1:6" ht="13.2">
      <c r="A1472" s="1" t="str">
        <f t="array" aca="1" ref="A1472" ca="1">IF(B1472="", "", IFERROR(INDEX(声優一覧!A:A, MATCH(B1472, 声優一覧!B:B, 0)), "該当なし"))</f>
        <v>va_132</v>
      </c>
      <c r="B1472" s="1" t="str">
        <f ca="1">IFERROR(__xludf.DUMMYFUNCTION("""COMPUTED_VALUE"""),"鳥海浩輔")</f>
        <v>鳥海浩輔</v>
      </c>
      <c r="C1472" s="1" t="s">
        <v>22</v>
      </c>
      <c r="D1472" s="1" t="str">
        <f>IF(C1472="", "", IFERROR(VLOOKUP(C1472, 作品一覧!A:B, 2, FALSE), "該当なし"))</f>
        <v>ACTORS</v>
      </c>
      <c r="E1472" s="1" t="str">
        <f ca="1">IFERROR(__xludf.DUMMYFUNCTION("""COMPUTED_VALUE"""),"清洲鷹翌")</f>
        <v>清洲鷹翌</v>
      </c>
      <c r="F1472" s="1" t="s">
        <v>2290</v>
      </c>
    </row>
    <row r="1473" spans="1:6" ht="13.2">
      <c r="A1473" s="1" t="str">
        <f t="array" aca="1" ref="A1473" ca="1">IF(B1473="", "", IFERROR(INDEX(声優一覧!A:A, MATCH(B1473, 声優一覧!B:B, 0)), "該当なし"))</f>
        <v>va_033</v>
      </c>
      <c r="B1473" s="1" t="str">
        <f ca="1">IFERROR(__xludf.DUMMYFUNCTION("""COMPUTED_VALUE"""),"梅原裕一郎")</f>
        <v>梅原裕一郎</v>
      </c>
      <c r="C1473" s="1" t="s">
        <v>22</v>
      </c>
      <c r="D1473" s="1" t="str">
        <f>IF(C1473="", "", IFERROR(VLOOKUP(C1473, 作品一覧!A:B, 2, FALSE), "該当なし"))</f>
        <v>ACTORS</v>
      </c>
      <c r="E1473" s="1" t="str">
        <f ca="1">IFERROR(__xludf.DUMMYFUNCTION("""COMPUTED_VALUE"""),"霧山一")</f>
        <v>霧山一</v>
      </c>
      <c r="F1473" s="1" t="s">
        <v>2291</v>
      </c>
    </row>
    <row r="1474" spans="1:6" ht="13.2">
      <c r="A1474" s="1" t="str">
        <f t="array" aca="1" ref="A1474" ca="1">IF(B1474="", "", IFERROR(INDEX(声優一覧!A:A, MATCH(B1474, 声優一覧!B:B, 0)), "該当なし"))</f>
        <v>va_014</v>
      </c>
      <c r="B1474" s="1" t="str">
        <f ca="1">IFERROR(__xludf.DUMMYFUNCTION("""COMPUTED_VALUE"""),"石谷春貴")</f>
        <v>石谷春貴</v>
      </c>
      <c r="C1474" s="1" t="s">
        <v>22</v>
      </c>
      <c r="D1474" s="1" t="str">
        <f>IF(C1474="", "", IFERROR(VLOOKUP(C1474, 作品一覧!A:B, 2, FALSE), "該当なし"))</f>
        <v>ACTORS</v>
      </c>
      <c r="E1474" s="1" t="str">
        <f ca="1">IFERROR(__xludf.DUMMYFUNCTION("""COMPUTED_VALUE"""),"柴島犾")</f>
        <v>柴島犾</v>
      </c>
      <c r="F1474" s="1" t="s">
        <v>2292</v>
      </c>
    </row>
    <row r="1475" spans="1:6" ht="13.2">
      <c r="A1475" s="1" t="str">
        <f t="array" aca="1" ref="A1475" ca="1">IF(B1475="", "", IFERROR(INDEX(声優一覧!A:A, MATCH(B1475, 声優一覧!B:B, 0)), "該当なし"))</f>
        <v>va_210</v>
      </c>
      <c r="B1475" s="1" t="str">
        <f ca="1">IFERROR(__xludf.DUMMYFUNCTION("""COMPUTED_VALUE"""),"濱野大輝")</f>
        <v>濱野大輝</v>
      </c>
      <c r="C1475" s="1" t="s">
        <v>22</v>
      </c>
      <c r="D1475" s="1" t="str">
        <f>IF(C1475="", "", IFERROR(VLOOKUP(C1475, 作品一覧!A:B, 2, FALSE), "該当なし"))</f>
        <v>ACTORS</v>
      </c>
      <c r="E1475" s="1" t="str">
        <f ca="1">IFERROR(__xludf.DUMMYFUNCTION("""COMPUTED_VALUE"""),"五本松大")</f>
        <v>五本松大</v>
      </c>
      <c r="F1475" s="1" t="s">
        <v>2293</v>
      </c>
    </row>
    <row r="1476" spans="1:6" ht="13.2">
      <c r="A1476" s="1" t="str">
        <f t="array" aca="1" ref="A1476" ca="1">IF(B1476="", "", IFERROR(INDEX(声優一覧!A:A, MATCH(B1476, 声優一覧!B:B, 0)), "該当なし"))</f>
        <v>va_349</v>
      </c>
      <c r="B1476" s="1" t="str">
        <f ca="1">IFERROR(__xludf.DUMMYFUNCTION("""COMPUTED_VALUE"""),"坪井智浩")</f>
        <v>坪井智浩</v>
      </c>
      <c r="C1476" s="1" t="s">
        <v>22</v>
      </c>
      <c r="D1476" s="1" t="str">
        <f>IF(C1476="", "", IFERROR(VLOOKUP(C1476, 作品一覧!A:B, 2, FALSE), "該当なし"))</f>
        <v>ACTORS</v>
      </c>
      <c r="E1476" s="1" t="str">
        <f ca="1">IFERROR(__xludf.DUMMYFUNCTION("""COMPUTED_VALUE"""),"五月女燎")</f>
        <v>五月女燎</v>
      </c>
      <c r="F1476" s="1" t="s">
        <v>2294</v>
      </c>
    </row>
    <row r="1477" spans="1:6" ht="13.2">
      <c r="A1477" s="1" t="str">
        <f t="array" aca="1" ref="A1477" ca="1">IF(B1477="", "", IFERROR(INDEX(声優一覧!A:A, MATCH(B1477, 声優一覧!B:B, 0)), "該当なし"))</f>
        <v>va_292</v>
      </c>
      <c r="B1477" s="1" t="str">
        <f ca="1">IFERROR(__xludf.DUMMYFUNCTION("""COMPUTED_VALUE"""),"高橋直純")</f>
        <v>高橋直純</v>
      </c>
      <c r="C1477" s="1" t="s">
        <v>22</v>
      </c>
      <c r="D1477" s="1" t="str">
        <f>IF(C1477="", "", IFERROR(VLOOKUP(C1477, 作品一覧!A:B, 2, FALSE), "該当なし"))</f>
        <v>ACTORS</v>
      </c>
      <c r="E1477" s="1" t="str">
        <f ca="1">IFERROR(__xludf.DUMMYFUNCTION("""COMPUTED_VALUE"""),"志戸穂")</f>
        <v>志戸穂</v>
      </c>
      <c r="F1477" s="1" t="s">
        <v>2295</v>
      </c>
    </row>
    <row r="1478" spans="1:6" ht="13.2">
      <c r="A1478" s="1" t="str">
        <f t="array" aca="1" ref="A1478" ca="1">IF(B1478="", "", IFERROR(INDEX(声優一覧!A:A, MATCH(B1478, 声優一覧!B:B, 0)), "該当なし"))</f>
        <v>va_037</v>
      </c>
      <c r="B1478" s="1" t="str">
        <f ca="1">IFERROR(__xludf.DUMMYFUNCTION("""COMPUTED_VALUE"""),"逢坂良太")</f>
        <v>逢坂良太</v>
      </c>
      <c r="C1478" s="1" t="s">
        <v>22</v>
      </c>
      <c r="D1478" s="1" t="str">
        <f>IF(C1478="", "", IFERROR(VLOOKUP(C1478, 作品一覧!A:B, 2, FALSE), "該当なし"))</f>
        <v>ACTORS</v>
      </c>
      <c r="E1478" s="1" t="str">
        <f ca="1">IFERROR(__xludf.DUMMYFUNCTION("""COMPUTED_VALUE"""),"高天神一兎")</f>
        <v>高天神一兎</v>
      </c>
      <c r="F1478" s="1" t="s">
        <v>2296</v>
      </c>
    </row>
    <row r="1479" spans="1:6" ht="13.2">
      <c r="A1479" s="1" t="str">
        <f t="array" aca="1" ref="A1479" ca="1">IF(B1479="", "", IFERROR(INDEX(声優一覧!A:A, MATCH(B1479, 声優一覧!B:B, 0)), "該当なし"))</f>
        <v>va_367</v>
      </c>
      <c r="B1479" s="1" t="str">
        <f ca="1">IFERROR(__xludf.DUMMYFUNCTION("""COMPUTED_VALUE"""),"堀川りょう")</f>
        <v>堀川りょう</v>
      </c>
      <c r="C1479" s="1" t="s">
        <v>22</v>
      </c>
      <c r="D1479" s="1" t="str">
        <f>IF(C1479="", "", IFERROR(VLOOKUP(C1479, 作品一覧!A:B, 2, FALSE), "該当なし"))</f>
        <v>ACTORS</v>
      </c>
      <c r="E1479" s="1" t="str">
        <f ca="1">IFERROR(__xludf.DUMMYFUNCTION("""COMPUTED_VALUE"""),"長野影虎")</f>
        <v>長野影虎</v>
      </c>
      <c r="F1479" s="1" t="s">
        <v>2297</v>
      </c>
    </row>
    <row r="1480" spans="1:6" ht="13.2">
      <c r="A1480" s="1" t="str">
        <f t="array" aca="1" ref="A1480" ca="1">IF(B1480="", "", IFERROR(INDEX(声優一覧!A:A, MATCH(B1480, 声優一覧!B:B, 0)), "該当なし"))</f>
        <v>va_048</v>
      </c>
      <c r="B1480" s="1" t="str">
        <f ca="1">IFERROR(__xludf.DUMMYFUNCTION("""COMPUTED_VALUE"""),"柿原徹也")</f>
        <v>柿原徹也</v>
      </c>
      <c r="C1480" s="1" t="s">
        <v>22</v>
      </c>
      <c r="D1480" s="1" t="str">
        <f>IF(C1480="", "", IFERROR(VLOOKUP(C1480, 作品一覧!A:B, 2, FALSE), "該当なし"))</f>
        <v>ACTORS</v>
      </c>
      <c r="E1480" s="1" t="str">
        <f ca="1">IFERROR(__xludf.DUMMYFUNCTION("""COMPUTED_VALUE"""),"七尾士狼")</f>
        <v>七尾士狼</v>
      </c>
      <c r="F1480" s="1" t="s">
        <v>2298</v>
      </c>
    </row>
    <row r="1481" spans="1:6" ht="13.2">
      <c r="A1481" s="1" t="str">
        <f t="array" aca="1" ref="A1481" ca="1">IF(B1481="", "", IFERROR(INDEX(声優一覧!A:A, MATCH(B1481, 声優一覧!B:B, 0)), "該当なし"))</f>
        <v>va_090</v>
      </c>
      <c r="B1481" s="1" t="str">
        <f ca="1">IFERROR(__xludf.DUMMYFUNCTION("""COMPUTED_VALUE"""),"佐藤拓也")</f>
        <v>佐藤拓也</v>
      </c>
      <c r="C1481" s="1" t="s">
        <v>22</v>
      </c>
      <c r="D1481" s="1" t="str">
        <f>IF(C1481="", "", IFERROR(VLOOKUP(C1481, 作品一覧!A:B, 2, FALSE), "該当なし"))</f>
        <v>ACTORS</v>
      </c>
      <c r="E1481" s="1" t="str">
        <f ca="1">IFERROR(__xludf.DUMMYFUNCTION("""COMPUTED_VALUE"""),"鳴子郁")</f>
        <v>鳴子郁</v>
      </c>
      <c r="F1481" s="1" t="s">
        <v>2299</v>
      </c>
    </row>
    <row r="1482" spans="1:6" ht="13.2">
      <c r="A1482" s="1" t="str">
        <f t="array" aca="1" ref="A1482" ca="1">IF(B1482="", "", IFERROR(INDEX(声優一覧!A:A, MATCH(B1482, 声優一覧!B:B, 0)), "該当なし"))</f>
        <v>va_226</v>
      </c>
      <c r="B1482" s="1" t="str">
        <f ca="1">IFERROR(__xludf.DUMMYFUNCTION("""COMPUTED_VALUE"""),"ランズベリー・アーサー")</f>
        <v>ランズベリー・アーサー</v>
      </c>
      <c r="C1482" s="1" t="s">
        <v>22</v>
      </c>
      <c r="D1482" s="1" t="str">
        <f>IF(C1482="", "", IFERROR(VLOOKUP(C1482, 作品一覧!A:B, 2, FALSE), "該当なし"))</f>
        <v>ACTORS</v>
      </c>
      <c r="E1482" s="1" t="str">
        <f ca="1">IFERROR(__xludf.DUMMYFUNCTION("""COMPUTED_VALUE"""),"二条佐斗流")</f>
        <v>二条佐斗流</v>
      </c>
      <c r="F1482" s="1" t="s">
        <v>2300</v>
      </c>
    </row>
    <row r="1483" spans="1:6" ht="13.2">
      <c r="A1483" s="1" t="str">
        <f t="array" aca="1" ref="A1483" ca="1">IF(B1483="", "", IFERROR(INDEX(声優一覧!A:A, MATCH(B1483, 声優一覧!B:B, 0)), "該当なし"))</f>
        <v>va_161</v>
      </c>
      <c r="B1483" s="1" t="str">
        <f ca="1">IFERROR(__xludf.DUMMYFUNCTION("""COMPUTED_VALUE"""),"古川慎")</f>
        <v>古川慎</v>
      </c>
      <c r="C1483" s="1" t="s">
        <v>22</v>
      </c>
      <c r="D1483" s="1" t="str">
        <f>IF(C1483="", "", IFERROR(VLOOKUP(C1483, 作品一覧!A:B, 2, FALSE), "該当なし"))</f>
        <v>ACTORS</v>
      </c>
      <c r="E1483" s="1" t="str">
        <f ca="1">IFERROR(__xludf.DUMMYFUNCTION("""COMPUTED_VALUE"""),"二条佑斗")</f>
        <v>二条佑斗</v>
      </c>
      <c r="F1483" s="1" t="s">
        <v>2301</v>
      </c>
    </row>
    <row r="1484" spans="1:6" ht="13.2">
      <c r="A1484" s="1" t="str">
        <f t="array" aca="1" ref="A1484" ca="1">IF(B1484="", "", IFERROR(INDEX(声優一覧!A:A, MATCH(B1484, 声優一覧!B:B, 0)), "該当なし"))</f>
        <v>va_045</v>
      </c>
      <c r="B1484" s="1" t="str">
        <f ca="1">IFERROR(__xludf.DUMMYFUNCTION("""COMPUTED_VALUE"""),"小野賢章")</f>
        <v>小野賢章</v>
      </c>
      <c r="C1484" s="1" t="s">
        <v>22</v>
      </c>
      <c r="D1484" s="1" t="str">
        <f>IF(C1484="", "", IFERROR(VLOOKUP(C1484, 作品一覧!A:B, 2, FALSE), "該当なし"))</f>
        <v>ACTORS</v>
      </c>
      <c r="E1484" s="1" t="str">
        <f ca="1">IFERROR(__xludf.DUMMYFUNCTION("""COMPUTED_VALUE"""),"花隈竜之介")</f>
        <v>花隈竜之介</v>
      </c>
      <c r="F1484" s="1" t="s">
        <v>2302</v>
      </c>
    </row>
    <row r="1485" spans="1:6" ht="13.2">
      <c r="A1485" s="1" t="str">
        <f t="array" aca="1" ref="A1485" ca="1">IF(B1485="", "", IFERROR(INDEX(声優一覧!A:A, MATCH(B1485, 声優一覧!B:B, 0)), "該当なし"))</f>
        <v>va_098</v>
      </c>
      <c r="B1485" s="1" t="str">
        <f ca="1">IFERROR(__xludf.DUMMYFUNCTION("""COMPUTED_VALUE"""),"杉山紀彰")</f>
        <v>杉山紀彰</v>
      </c>
      <c r="C1485" s="1" t="s">
        <v>22</v>
      </c>
      <c r="D1485" s="1" t="str">
        <f>IF(C1485="", "", IFERROR(VLOOKUP(C1485, 作品一覧!A:B, 2, FALSE), "該当なし"))</f>
        <v>ACTORS</v>
      </c>
      <c r="E1485" s="1" t="str">
        <f ca="1">IFERROR(__xludf.DUMMYFUNCTION("""COMPUTED_VALUE"""),"東本桂士")</f>
        <v>東本桂士</v>
      </c>
      <c r="F1485" s="1" t="s">
        <v>2303</v>
      </c>
    </row>
    <row r="1486" spans="1:6" ht="13.2">
      <c r="A1486" s="1" t="str">
        <f t="array" aca="1" ref="A1486" ca="1">IF(B1486="", "", IFERROR(INDEX(声優一覧!A:A, MATCH(B1486, 声優一覧!B:B, 0)), "該当なし"))</f>
        <v>va_064</v>
      </c>
      <c r="B1486" s="1" t="str">
        <f ca="1">IFERROR(__xludf.DUMMYFUNCTION("""COMPUTED_VALUE"""),"木村昴")</f>
        <v>木村昴</v>
      </c>
      <c r="C1486" s="1" t="s">
        <v>22</v>
      </c>
      <c r="D1486" s="1" t="str">
        <f>IF(C1486="", "", IFERROR(VLOOKUP(C1486, 作品一覧!A:B, 2, FALSE), "該当なし"))</f>
        <v>ACTORS</v>
      </c>
      <c r="E1486" s="1" t="str">
        <f ca="1">IFERROR(__xludf.DUMMYFUNCTION("""COMPUTED_VALUE"""),"丸目千熊")</f>
        <v>丸目千熊</v>
      </c>
      <c r="F1486" s="1" t="s">
        <v>2304</v>
      </c>
    </row>
    <row r="1487" spans="1:6" ht="13.2">
      <c r="A1487" s="1" t="str">
        <f t="array" aca="1" ref="A1487" ca="1">IF(B1487="", "", IFERROR(INDEX(声優一覧!A:A, MATCH(B1487, 声優一覧!B:B, 0)), "該当なし"))</f>
        <v>va_168</v>
      </c>
      <c r="B1487" s="1" t="str">
        <f ca="1">IFERROR(__xludf.DUMMYFUNCTION("""COMPUTED_VALUE"""),"保志総一朗")</f>
        <v>保志総一朗</v>
      </c>
      <c r="C1487" s="1" t="s">
        <v>22</v>
      </c>
      <c r="D1487" s="1" t="str">
        <f>IF(C1487="", "", IFERROR(VLOOKUP(C1487, 作品一覧!A:B, 2, FALSE), "該当なし"))</f>
        <v>ACTORS</v>
      </c>
      <c r="E1487" s="1" t="str">
        <f ca="1">IFERROR(__xludf.DUMMYFUNCTION("""COMPUTED_VALUE"""),"光司陽太")</f>
        <v>光司陽太</v>
      </c>
      <c r="F1487" s="1" t="s">
        <v>2305</v>
      </c>
    </row>
    <row r="1488" spans="1:6" ht="13.2">
      <c r="A1488" s="1" t="str">
        <f t="array" aca="1" ref="A1488" ca="1">IF(B1488="", "", IFERROR(INDEX(声優一覧!A:A, MATCH(B1488, 声優一覧!B:B, 0)), "該当なし"))</f>
        <v>va_172</v>
      </c>
      <c r="B1488" s="1" t="str">
        <f ca="1">IFERROR(__xludf.DUMMYFUNCTION("""COMPUTED_VALUE"""),"増田俊樹")</f>
        <v>増田俊樹</v>
      </c>
      <c r="C1488" s="1" t="s">
        <v>22</v>
      </c>
      <c r="D1488" s="1" t="str">
        <f>IF(C1488="", "", IFERROR(VLOOKUP(C1488, 作品一覧!A:B, 2, FALSE), "該当なし"))</f>
        <v>ACTORS</v>
      </c>
      <c r="E1488" s="1" t="str">
        <f ca="1">IFERROR(__xludf.DUMMYFUNCTION("""COMPUTED_VALUE"""),"湯山靖隼")</f>
        <v>湯山靖隼</v>
      </c>
      <c r="F1488" s="1" t="s">
        <v>2306</v>
      </c>
    </row>
    <row r="1489" spans="1:6" ht="13.2">
      <c r="A1489" s="1" t="str">
        <f t="array" aca="1" ref="A1489" ca="1">IF(B1489="", "", IFERROR(INDEX(声優一覧!A:A, MATCH(B1489, 声優一覧!B:B, 0)), "該当なし"))</f>
        <v>va_150</v>
      </c>
      <c r="B1489" s="1" t="str">
        <f ca="1">IFERROR(__xludf.DUMMYFUNCTION("""COMPUTED_VALUE"""),"花江夏樹")</f>
        <v>花江夏樹</v>
      </c>
      <c r="C1489" s="1" t="s">
        <v>145</v>
      </c>
      <c r="D1489" s="1" t="str">
        <f>IF(C1489="", "", IFERROR(VLOOKUP(C1489, 作品一覧!A:B, 2, FALSE), "該当なし"))</f>
        <v>スタミュ</v>
      </c>
      <c r="E1489" s="1" t="str">
        <f ca="1">IFERROR(__xludf.DUMMYFUNCTION("""COMPUTED_VALUE"""),"星谷悠太")</f>
        <v>星谷悠太</v>
      </c>
      <c r="F1489" s="1" t="s">
        <v>2307</v>
      </c>
    </row>
    <row r="1490" spans="1:6" ht="13.2">
      <c r="A1490" s="1" t="str">
        <f t="array" aca="1" ref="A1490" ca="1">IF(B1490="", "", IFERROR(INDEX(声優一覧!A:A, MATCH(B1490, 声優一覧!B:B, 0)), "該当なし"))</f>
        <v>va_045</v>
      </c>
      <c r="B1490" s="1" t="str">
        <f ca="1">IFERROR(__xludf.DUMMYFUNCTION("""COMPUTED_VALUE"""),"小野賢章")</f>
        <v>小野賢章</v>
      </c>
      <c r="C1490" s="1" t="s">
        <v>145</v>
      </c>
      <c r="D1490" s="1" t="str">
        <f>IF(C1490="", "", IFERROR(VLOOKUP(C1490, 作品一覧!A:B, 2, FALSE), "該当なし"))</f>
        <v>スタミュ</v>
      </c>
      <c r="E1490" s="1" t="str">
        <f ca="1">IFERROR(__xludf.DUMMYFUNCTION("""COMPUTED_VALUE"""),"那雪透")</f>
        <v>那雪透</v>
      </c>
      <c r="F1490" s="1" t="s">
        <v>2308</v>
      </c>
    </row>
    <row r="1491" spans="1:6" ht="13.2">
      <c r="A1491" s="1" t="str">
        <f t="array" aca="1" ref="A1491" ca="1">IF(B1491="", "", IFERROR(INDEX(声優一覧!A:A, MATCH(B1491, 声優一覧!B:B, 0)), "該当なし"))</f>
        <v>va_226</v>
      </c>
      <c r="B1491" s="1" t="str">
        <f ca="1">IFERROR(__xludf.DUMMYFUNCTION("""COMPUTED_VALUE"""),"ランズベリー・アーサー")</f>
        <v>ランズベリー・アーサー</v>
      </c>
      <c r="C1491" s="1" t="s">
        <v>145</v>
      </c>
      <c r="D1491" s="1" t="str">
        <f>IF(C1491="", "", IFERROR(VLOOKUP(C1491, 作品一覧!A:B, 2, FALSE), "該当なし"))</f>
        <v>スタミュ</v>
      </c>
      <c r="E1491" s="1" t="str">
        <f ca="1">IFERROR(__xludf.DUMMYFUNCTION("""COMPUTED_VALUE"""),"月皇海斗")</f>
        <v>月皇海斗</v>
      </c>
      <c r="F1491" s="1" t="s">
        <v>2309</v>
      </c>
    </row>
    <row r="1492" spans="1:6" ht="13.2">
      <c r="A1492" s="1" t="str">
        <f t="array" aca="1" ref="A1492" ca="1">IF(B1492="", "", IFERROR(INDEX(声優一覧!A:A, MATCH(B1492, 声優一覧!B:B, 0)), "該当なし"))</f>
        <v>va_164</v>
      </c>
      <c r="B1492" s="1" t="str">
        <f ca="1">IFERROR(__xludf.DUMMYFUNCTION("""COMPUTED_VALUE"""),"細谷佳正")</f>
        <v>細谷佳正</v>
      </c>
      <c r="C1492" s="1" t="s">
        <v>145</v>
      </c>
      <c r="D1492" s="1" t="str">
        <f>IF(C1492="", "", IFERROR(VLOOKUP(C1492, 作品一覧!A:B, 2, FALSE), "該当なし"))</f>
        <v>スタミュ</v>
      </c>
      <c r="E1492" s="1" t="str">
        <f ca="1">IFERROR(__xludf.DUMMYFUNCTION("""COMPUTED_VALUE"""),"天花寺翔")</f>
        <v>天花寺翔</v>
      </c>
      <c r="F1492" s="1" t="s">
        <v>2310</v>
      </c>
    </row>
    <row r="1493" spans="1:6" ht="13.2">
      <c r="A1493" s="1" t="str">
        <f t="array" aca="1" ref="A1493" ca="1">IF(B1493="", "", IFERROR(INDEX(声優一覧!A:A, MATCH(B1493, 声優一覧!B:B, 0)), "該当なし"))</f>
        <v>va_169</v>
      </c>
      <c r="B1493" s="1" t="str">
        <f ca="1">IFERROR(__xludf.DUMMYFUNCTION("""COMPUTED_VALUE"""),"前野智昭")</f>
        <v>前野智昭</v>
      </c>
      <c r="C1493" s="1" t="s">
        <v>145</v>
      </c>
      <c r="D1493" s="1" t="str">
        <f>IF(C1493="", "", IFERROR(VLOOKUP(C1493, 作品一覧!A:B, 2, FALSE), "該当なし"))</f>
        <v>スタミュ</v>
      </c>
      <c r="E1493" s="1" t="str">
        <f ca="1">IFERROR(__xludf.DUMMYFUNCTION("""COMPUTED_VALUE"""),"空閑愁")</f>
        <v>空閑愁</v>
      </c>
      <c r="F1493" s="1" t="s">
        <v>2311</v>
      </c>
    </row>
    <row r="1494" spans="1:6" ht="13.2">
      <c r="A1494" s="1" t="str">
        <f t="array" aca="1" ref="A1494" ca="1">IF(B1494="", "", IFERROR(INDEX(声優一覧!A:A, MATCH(B1494, 声優一覧!B:B, 0)), "該当なし"))</f>
        <v>va_102</v>
      </c>
      <c r="B1494" s="1" t="str">
        <f ca="1">IFERROR(__xludf.DUMMYFUNCTION("""COMPUTED_VALUE"""),"諏訪部順一")</f>
        <v>諏訪部順一</v>
      </c>
      <c r="C1494" s="1" t="s">
        <v>145</v>
      </c>
      <c r="D1494" s="1" t="str">
        <f>IF(C1494="", "", IFERROR(VLOOKUP(C1494, 作品一覧!A:B, 2, FALSE), "該当なし"))</f>
        <v>スタミュ</v>
      </c>
      <c r="E1494" s="1" t="str">
        <f ca="1">IFERROR(__xludf.DUMMYFUNCTION("""COMPUTED_VALUE"""),"鳳樹")</f>
        <v>鳳樹</v>
      </c>
      <c r="F1494" s="1" t="s">
        <v>2312</v>
      </c>
    </row>
    <row r="1495" spans="1:6" ht="13.2">
      <c r="A1495" s="1" t="str">
        <f t="array" aca="1" ref="A1495" ca="1">IF(B1495="", "", IFERROR(INDEX(声優一覧!A:A, MATCH(B1495, 声優一覧!B:B, 0)), "該当なし"))</f>
        <v>va_157</v>
      </c>
      <c r="B1495" s="1" t="str">
        <f ca="1">IFERROR(__xludf.DUMMYFUNCTION("""COMPUTED_VALUE"""),"平川大輔")</f>
        <v>平川大輔</v>
      </c>
      <c r="C1495" s="1" t="s">
        <v>145</v>
      </c>
      <c r="D1495" s="1" t="str">
        <f>IF(C1495="", "", IFERROR(VLOOKUP(C1495, 作品一覧!A:B, 2, FALSE), "該当なし"))</f>
        <v>スタミュ</v>
      </c>
      <c r="E1495" s="1" t="str">
        <f ca="1">IFERROR(__xludf.DUMMYFUNCTION("""COMPUTED_VALUE"""),"柊翼")</f>
        <v>柊翼</v>
      </c>
      <c r="F1495" s="1" t="s">
        <v>2313</v>
      </c>
    </row>
    <row r="1496" spans="1:6" ht="13.2">
      <c r="A1496" s="1" t="str">
        <f t="array" aca="1" ref="A1496" ca="1">IF(B1496="", "", IFERROR(INDEX(声優一覧!A:A, MATCH(B1496, 声優一覧!B:B, 0)), "該当なし"))</f>
        <v>va_185</v>
      </c>
      <c r="B1496" s="1" t="str">
        <f ca="1">IFERROR(__xludf.DUMMYFUNCTION("""COMPUTED_VALUE"""),"森久保祥太郎")</f>
        <v>森久保祥太郎</v>
      </c>
      <c r="C1496" s="1" t="s">
        <v>145</v>
      </c>
      <c r="D1496" s="1" t="str">
        <f>IF(C1496="", "", IFERROR(VLOOKUP(C1496, 作品一覧!A:B, 2, FALSE), "該当なし"))</f>
        <v>スタミュ</v>
      </c>
      <c r="E1496" s="1" t="str">
        <f ca="1">IFERROR(__xludf.DUMMYFUNCTION("""COMPUTED_VALUE"""),"暁鏡司")</f>
        <v>暁鏡司</v>
      </c>
      <c r="F1496" s="1" t="s">
        <v>2314</v>
      </c>
    </row>
    <row r="1497" spans="1:6" ht="13.2">
      <c r="A1497" s="1" t="str">
        <f t="array" aca="1" ref="A1497" ca="1">IF(B1497="", "", IFERROR(INDEX(声優一覧!A:A, MATCH(B1497, 声優一覧!B:B, 0)), "該当なし"))</f>
        <v>va_132</v>
      </c>
      <c r="B1497" s="1" t="str">
        <f ca="1">IFERROR(__xludf.DUMMYFUNCTION("""COMPUTED_VALUE"""),"鳥海浩輔")</f>
        <v>鳥海浩輔</v>
      </c>
      <c r="C1497" s="1" t="s">
        <v>145</v>
      </c>
      <c r="D1497" s="1" t="str">
        <f>IF(C1497="", "", IFERROR(VLOOKUP(C1497, 作品一覧!A:B, 2, FALSE), "該当なし"))</f>
        <v>スタミュ</v>
      </c>
      <c r="E1497" s="1" t="str">
        <f ca="1">IFERROR(__xludf.DUMMYFUNCTION("""COMPUTED_VALUE"""),"楪＝クリスチアン＝リオン")</f>
        <v>楪＝クリスチアン＝リオン</v>
      </c>
      <c r="F1497" s="1" t="s">
        <v>2315</v>
      </c>
    </row>
    <row r="1498" spans="1:6" ht="13.2">
      <c r="A1498" s="1" t="str">
        <f t="array" aca="1" ref="A1498" ca="1">IF(B1498="", "", IFERROR(INDEX(声優一覧!A:A, MATCH(B1498, 声優一覧!B:B, 0)), "該当なし"))</f>
        <v>va_148</v>
      </c>
      <c r="B1498" s="1" t="str">
        <f ca="1">IFERROR(__xludf.DUMMYFUNCTION("""COMPUTED_VALUE"""),"羽多野渉")</f>
        <v>羽多野渉</v>
      </c>
      <c r="C1498" s="1" t="s">
        <v>145</v>
      </c>
      <c r="D1498" s="1" t="str">
        <f>IF(C1498="", "", IFERROR(VLOOKUP(C1498, 作品一覧!A:B, 2, FALSE), "該当なし"))</f>
        <v>スタミュ</v>
      </c>
      <c r="E1498" s="1" t="str">
        <f ca="1">IFERROR(__xludf.DUMMYFUNCTION("""COMPUTED_VALUE"""),"漣朔也")</f>
        <v>漣朔也</v>
      </c>
      <c r="F1498" s="1" t="s">
        <v>2316</v>
      </c>
    </row>
    <row r="1499" spans="1:6" ht="13.2">
      <c r="A1499" s="1" t="str">
        <f t="array" aca="1" ref="A1499" ca="1">IF(B1499="", "", IFERROR(INDEX(声優一覧!A:A, MATCH(B1499, 声優一覧!B:B, 0)), "該当なし"))</f>
        <v>va_042</v>
      </c>
      <c r="B1499" s="1" t="str">
        <f ca="1">IFERROR(__xludf.DUMMYFUNCTION("""COMPUTED_VALUE"""),"岡本信彦")</f>
        <v>岡本信彦</v>
      </c>
      <c r="C1499" s="1" t="s">
        <v>145</v>
      </c>
      <c r="D1499" s="1" t="str">
        <f>IF(C1499="", "", IFERROR(VLOOKUP(C1499, 作品一覧!A:B, 2, FALSE), "該当なし"))</f>
        <v>スタミュ</v>
      </c>
      <c r="E1499" s="1" t="str">
        <f ca="1">IFERROR(__xludf.DUMMYFUNCTION("""COMPUTED_VALUE"""),"辰己琉唯")</f>
        <v>辰己琉唯</v>
      </c>
      <c r="F1499" s="1" t="s">
        <v>2317</v>
      </c>
    </row>
    <row r="1500" spans="1:6" ht="13.2">
      <c r="A1500" s="1" t="str">
        <f t="array" aca="1" ref="A1500" ca="1">IF(B1500="", "", IFERROR(INDEX(声優一覧!A:A, MATCH(B1500, 声優一覧!B:B, 0)), "該当なし"))</f>
        <v>va_030</v>
      </c>
      <c r="B1500" s="1" t="str">
        <f ca="1">IFERROR(__xludf.DUMMYFUNCTION("""COMPUTED_VALUE"""),"内田雄馬")</f>
        <v>内田雄馬</v>
      </c>
      <c r="C1500" s="1" t="s">
        <v>145</v>
      </c>
      <c r="D1500" s="1" t="str">
        <f>IF(C1500="", "", IFERROR(VLOOKUP(C1500, 作品一覧!A:B, 2, FALSE), "該当なし"))</f>
        <v>スタミュ</v>
      </c>
      <c r="E1500" s="1" t="str">
        <f ca="1">IFERROR(__xludf.DUMMYFUNCTION("""COMPUTED_VALUE"""),"申渡栄吾")</f>
        <v>申渡栄吾</v>
      </c>
      <c r="F1500" s="1" t="s">
        <v>2318</v>
      </c>
    </row>
    <row r="1501" spans="1:6" ht="13.2">
      <c r="A1501" s="1" t="str">
        <f t="array" aca="1" ref="A1501" ca="1">IF(B1501="", "", IFERROR(INDEX(声優一覧!A:A, MATCH(B1501, 声優一覧!B:B, 0)), "該当なし"))</f>
        <v>va_044</v>
      </c>
      <c r="B1501" s="1" t="str">
        <f ca="1">IFERROR(__xludf.DUMMYFUNCTION("""COMPUTED_VALUE"""),"興津和幸")</f>
        <v>興津和幸</v>
      </c>
      <c r="C1501" s="1" t="s">
        <v>145</v>
      </c>
      <c r="D1501" s="1" t="str">
        <f>IF(C1501="", "", IFERROR(VLOOKUP(C1501, 作品一覧!A:B, 2, FALSE), "該当なし"))</f>
        <v>スタミュ</v>
      </c>
      <c r="E1501" s="1" t="str">
        <f ca="1">IFERROR(__xludf.DUMMYFUNCTION("""COMPUTED_VALUE"""),"戌峰誠士郎")</f>
        <v>戌峰誠士郎</v>
      </c>
      <c r="F1501" s="1" t="s">
        <v>2319</v>
      </c>
    </row>
    <row r="1502" spans="1:6" ht="13.2">
      <c r="A1502" s="1" t="str">
        <f t="array" aca="1" ref="A1502" ca="1">IF(B1502="", "", IFERROR(INDEX(声優一覧!A:A, MATCH(B1502, 声優一覧!B:B, 0)), "該当なし"))</f>
        <v>va_200</v>
      </c>
      <c r="B1502" s="1" t="str">
        <f ca="1">IFERROR(__xludf.DUMMYFUNCTION("""COMPUTED_VALUE"""),"KENN")</f>
        <v>KENN</v>
      </c>
      <c r="C1502" s="1" t="s">
        <v>145</v>
      </c>
      <c r="D1502" s="1" t="str">
        <f>IF(C1502="", "", IFERROR(VLOOKUP(C1502, 作品一覧!A:B, 2, FALSE), "該当なし"))</f>
        <v>スタミュ</v>
      </c>
      <c r="E1502" s="1" t="str">
        <f ca="1">IFERROR(__xludf.DUMMYFUNCTION("""COMPUTED_VALUE"""),"虎石和泉")</f>
        <v>虎石和泉</v>
      </c>
      <c r="F1502" s="1" t="s">
        <v>2320</v>
      </c>
    </row>
    <row r="1503" spans="1:6" ht="13.2">
      <c r="A1503" s="1" t="str">
        <f t="array" aca="1" ref="A1503" ca="1">IF(B1503="", "", IFERROR(INDEX(声優一覧!A:A, MATCH(B1503, 声優一覧!B:B, 0)), "該当なし"))</f>
        <v>va_173</v>
      </c>
      <c r="B1503" s="1" t="str">
        <f ca="1">IFERROR(__xludf.DUMMYFUNCTION("""COMPUTED_VALUE"""),"松岡禎丞")</f>
        <v>松岡禎丞</v>
      </c>
      <c r="C1503" s="1" t="s">
        <v>145</v>
      </c>
      <c r="D1503" s="1" t="str">
        <f>IF(C1503="", "", IFERROR(VLOOKUP(C1503, 作品一覧!A:B, 2, FALSE), "該当なし"))</f>
        <v>スタミュ</v>
      </c>
      <c r="E1503" s="1" t="str">
        <f ca="1">IFERROR(__xludf.DUMMYFUNCTION("""COMPUTED_VALUE"""),"卯川晶")</f>
        <v>卯川晶</v>
      </c>
      <c r="F1503" s="1" t="s">
        <v>2321</v>
      </c>
    </row>
    <row r="1504" spans="1:6" ht="13.2">
      <c r="A1504" s="1" t="str">
        <f t="array" aca="1" ref="A1504" ca="1">IF(B1504="", "", IFERROR(INDEX(声優一覧!A:A, MATCH(B1504, 声優一覧!B:B, 0)), "該当なし"))</f>
        <v>va_094</v>
      </c>
      <c r="B1504" s="1" t="str">
        <f ca="1">IFERROR(__xludf.DUMMYFUNCTION("""COMPUTED_VALUE"""),"島﨑信長")</f>
        <v>島﨑信長</v>
      </c>
      <c r="C1504" s="1" t="s">
        <v>145</v>
      </c>
      <c r="D1504" s="1" t="str">
        <f>IF(C1504="", "", IFERROR(VLOOKUP(C1504, 作品一覧!A:B, 2, FALSE), "該当なし"))</f>
        <v>スタミュ</v>
      </c>
      <c r="E1504" s="1" t="str">
        <f ca="1">IFERROR(__xludf.DUMMYFUNCTION("""COMPUTED_VALUE"""),"揚羽陸")</f>
        <v>揚羽陸</v>
      </c>
      <c r="F1504" s="1" t="s">
        <v>2322</v>
      </c>
    </row>
    <row r="1505" spans="1:6" ht="13.2">
      <c r="A1505" s="1" t="str">
        <f t="array" aca="1" ref="A1505" ca="1">IF(B1505="", "", IFERROR(INDEX(声優一覧!A:A, MATCH(B1505, 声優一覧!B:B, 0)), "該当なし"))</f>
        <v>va_108</v>
      </c>
      <c r="B1505" s="1" t="str">
        <f ca="1">IFERROR(__xludf.DUMMYFUNCTION("""COMPUTED_VALUE"""),"高梨謙吾")</f>
        <v>高梨謙吾</v>
      </c>
      <c r="C1505" s="1" t="s">
        <v>145</v>
      </c>
      <c r="D1505" s="1" t="str">
        <f>IF(C1505="", "", IFERROR(VLOOKUP(C1505, 作品一覧!A:B, 2, FALSE), "該当なし"))</f>
        <v>スタミュ</v>
      </c>
      <c r="E1505" s="1" t="str">
        <f ca="1">IFERROR(__xludf.DUMMYFUNCTION("""COMPUTED_VALUE"""),"蜂矢聡")</f>
        <v>蜂矢聡</v>
      </c>
      <c r="F1505" s="1" t="s">
        <v>2323</v>
      </c>
    </row>
    <row r="1506" spans="1:6" ht="13.2">
      <c r="A1506" s="1" t="str">
        <f t="array" aca="1" ref="A1506" ca="1">IF(B1506="", "", IFERROR(INDEX(声優一覧!A:A, MATCH(B1506, 声優一覧!B:B, 0)), "該当なし"))</f>
        <v>va_033</v>
      </c>
      <c r="B1506" s="1" t="str">
        <f ca="1">IFERROR(__xludf.DUMMYFUNCTION("""COMPUTED_VALUE"""),"梅原裕一郎")</f>
        <v>梅原裕一郎</v>
      </c>
      <c r="C1506" s="1" t="s">
        <v>145</v>
      </c>
      <c r="D1506" s="1" t="str">
        <f>IF(C1506="", "", IFERROR(VLOOKUP(C1506, 作品一覧!A:B, 2, FALSE), "該当なし"))</f>
        <v>スタミュ</v>
      </c>
      <c r="E1506" s="1" t="str">
        <f ca="1">IFERROR(__xludf.DUMMYFUNCTION("""COMPUTED_VALUE"""),"北原廉")</f>
        <v>北原廉</v>
      </c>
      <c r="F1506" s="1" t="s">
        <v>2324</v>
      </c>
    </row>
    <row r="1507" spans="1:6" ht="13.2">
      <c r="A1507" s="1" t="str">
        <f t="array" aca="1" ref="A1507" ca="1">IF(B1507="", "", IFERROR(INDEX(声優一覧!A:A, MATCH(B1507, 声優一覧!B:B, 0)), "該当なし"))</f>
        <v>va_112</v>
      </c>
      <c r="B1507" s="1" t="str">
        <f ca="1">IFERROR(__xludf.DUMMYFUNCTION("""COMPUTED_VALUE"""),"武内駿輔")</f>
        <v>武内駿輔</v>
      </c>
      <c r="C1507" s="1" t="s">
        <v>145</v>
      </c>
      <c r="D1507" s="1" t="str">
        <f>IF(C1507="", "", IFERROR(VLOOKUP(C1507, 作品一覧!A:B, 2, FALSE), "該当なし"))</f>
        <v>スタミュ</v>
      </c>
      <c r="E1507" s="1" t="str">
        <f ca="1">IFERROR(__xludf.DUMMYFUNCTION("""COMPUTED_VALUE"""),"南條聖")</f>
        <v>南條聖</v>
      </c>
      <c r="F1507" s="1" t="s">
        <v>2325</v>
      </c>
    </row>
    <row r="1508" spans="1:6" ht="13.2">
      <c r="A1508" s="1" t="str">
        <f t="array" aca="1" ref="A1508" ca="1">IF(B1508="", "", IFERROR(INDEX(声優一覧!A:A, MATCH(B1508, 声優一覧!B:B, 0)), "該当なし"))</f>
        <v>va_138</v>
      </c>
      <c r="B1508" s="1" t="str">
        <f ca="1">IFERROR(__xludf.DUMMYFUNCTION("""COMPUTED_VALUE"""),"浪川大輔")</f>
        <v>浪川大輔</v>
      </c>
      <c r="C1508" s="1" t="s">
        <v>145</v>
      </c>
      <c r="D1508" s="1" t="str">
        <f>IF(C1508="", "", IFERROR(VLOOKUP(C1508, 作品一覧!A:B, 2, FALSE), "該当なし"))</f>
        <v>スタミュ</v>
      </c>
      <c r="E1508" s="1" t="str">
        <f ca="1">IFERROR(__xludf.DUMMYFUNCTION("""COMPUTED_VALUE"""),"四季斗真")</f>
        <v>四季斗真</v>
      </c>
      <c r="F1508" s="1" t="s">
        <v>2326</v>
      </c>
    </row>
    <row r="1509" spans="1:6" ht="13.2">
      <c r="A1509" s="1" t="str">
        <f t="array" aca="1" ref="A1509" ca="1">IF(B1509="", "", IFERROR(INDEX(声優一覧!A:A, MATCH(B1509, 声優一覧!B:B, 0)), "該当なし"))</f>
        <v>va_083</v>
      </c>
      <c r="B1509" s="1" t="str">
        <f ca="1">IFERROR(__xludf.DUMMYFUNCTION("""COMPUTED_VALUE"""),"斉藤壮馬")</f>
        <v>斉藤壮馬</v>
      </c>
      <c r="C1509" s="1" t="s">
        <v>145</v>
      </c>
      <c r="D1509" s="1" t="str">
        <f>IF(C1509="", "", IFERROR(VLOOKUP(C1509, 作品一覧!A:B, 2, FALSE), "該当なし"))</f>
        <v>スタミュ</v>
      </c>
      <c r="E1509" s="1" t="str">
        <f ca="1">IFERROR(__xludf.DUMMYFUNCTION("""COMPUTED_VALUE"""),"冬沢亮")</f>
        <v>冬沢亮</v>
      </c>
      <c r="F1509" s="1" t="s">
        <v>2327</v>
      </c>
    </row>
    <row r="1510" spans="1:6" ht="13.2">
      <c r="A1510" s="1" t="str">
        <f t="array" aca="1" ref="A1510" ca="1">IF(B1510="", "", IFERROR(INDEX(声優一覧!A:A, MATCH(B1510, 声優一覧!B:B, 0)), "該当なし"))</f>
        <v>va_193</v>
      </c>
      <c r="B1510" s="1" t="str">
        <f ca="1">IFERROR(__xludf.DUMMYFUNCTION("""COMPUTED_VALUE"""),"山下大輝")</f>
        <v>山下大輝</v>
      </c>
      <c r="C1510" s="1" t="s">
        <v>145</v>
      </c>
      <c r="D1510" s="1" t="str">
        <f>IF(C1510="", "", IFERROR(VLOOKUP(C1510, 作品一覧!A:B, 2, FALSE), "該当なし"))</f>
        <v>スタミュ</v>
      </c>
      <c r="E1510" s="1" t="str">
        <f ca="1">IFERROR(__xludf.DUMMYFUNCTION("""COMPUTED_VALUE"""),"春日野詩音")</f>
        <v>春日野詩音</v>
      </c>
      <c r="F1510" s="1" t="s">
        <v>2328</v>
      </c>
    </row>
    <row r="1511" spans="1:6" ht="13.2">
      <c r="A1511" s="1" t="str">
        <f t="array" aca="1" ref="A1511" ca="1">IF(B1511="", "", IFERROR(INDEX(声優一覧!A:A, MATCH(B1511, 声優一覧!B:B, 0)), "該当なし"))</f>
        <v>va_037</v>
      </c>
      <c r="B1511" s="1" t="str">
        <f ca="1">IFERROR(__xludf.DUMMYFUNCTION("""COMPUTED_VALUE"""),"逢坂良太")</f>
        <v>逢坂良太</v>
      </c>
      <c r="C1511" s="1" t="s">
        <v>145</v>
      </c>
      <c r="D1511" s="1" t="str">
        <f>IF(C1511="", "", IFERROR(VLOOKUP(C1511, 作品一覧!A:B, 2, FALSE), "該当なし"))</f>
        <v>スタミュ</v>
      </c>
      <c r="E1511" s="1" t="str">
        <f ca="1">IFERROR(__xludf.DUMMYFUNCTION("""COMPUTED_VALUE"""),"入夏将志")</f>
        <v>入夏将志</v>
      </c>
      <c r="F1511" s="1" t="s">
        <v>2329</v>
      </c>
    </row>
    <row r="1512" spans="1:6" ht="13.2">
      <c r="A1512" s="1" t="str">
        <f t="array" aca="1" ref="A1512" ca="1">IF(B1512="", "", IFERROR(INDEX(声優一覧!A:A, MATCH(B1512, 声優一覧!B:B, 0)), "該当なし"))</f>
        <v>va_078</v>
      </c>
      <c r="B1512" s="1" t="str">
        <f ca="1">IFERROR(__xludf.DUMMYFUNCTION("""COMPUTED_VALUE"""),"小西克幸")</f>
        <v>小西克幸</v>
      </c>
      <c r="C1512" s="1" t="s">
        <v>145</v>
      </c>
      <c r="D1512" s="1" t="str">
        <f>IF(C1512="", "", IFERROR(VLOOKUP(C1512, 作品一覧!A:B, 2, FALSE), "該当なし"))</f>
        <v>スタミュ</v>
      </c>
      <c r="E1512" s="1" t="str">
        <f ca="1">IFERROR(__xludf.DUMMYFUNCTION("""COMPUTED_VALUE"""),"千秋貴史")</f>
        <v>千秋貴史</v>
      </c>
      <c r="F1512" s="1" t="s">
        <v>2330</v>
      </c>
    </row>
    <row r="1513" spans="1:6" ht="13.2">
      <c r="A1513" s="1" t="str">
        <f t="array" aca="1" ref="A1513" ca="1">IF(B1513="", "", IFERROR(INDEX(声優一覧!A:A, MATCH(B1513, 声優一覧!B:B, 0)), "該当なし"))</f>
        <v>va_138</v>
      </c>
      <c r="B1513" s="1" t="str">
        <f ca="1">IFERROR(__xludf.DUMMYFUNCTION("""COMPUTED_VALUE"""),"浪川大輔")</f>
        <v>浪川大輔</v>
      </c>
      <c r="C1513" s="1" t="s">
        <v>253</v>
      </c>
      <c r="D1513" s="1" t="str">
        <f>IF(C1513="", "", IFERROR(VLOOKUP(C1513, 作品一覧!A:B, 2, FALSE), "該当なし"))</f>
        <v>ヘタリア</v>
      </c>
      <c r="E1513" s="1" t="str">
        <f ca="1">IFERROR(__xludf.DUMMYFUNCTION("""COMPUTED_VALUE"""),"イタリア")</f>
        <v>イタリア</v>
      </c>
      <c r="F1513" s="1" t="s">
        <v>2331</v>
      </c>
    </row>
    <row r="1514" spans="1:6" ht="13.2">
      <c r="A1514" s="1" t="str">
        <f t="array" aca="1" ref="A1514" ca="1">IF(B1514="", "", IFERROR(INDEX(声優一覧!A:A, MATCH(B1514, 声優一覧!B:B, 0)), "該当なし"))</f>
        <v>va_138</v>
      </c>
      <c r="B1514" s="1" t="str">
        <f ca="1">IFERROR(__xludf.DUMMYFUNCTION("""COMPUTED_VALUE"""),"浪川大輔")</f>
        <v>浪川大輔</v>
      </c>
      <c r="C1514" s="1" t="s">
        <v>253</v>
      </c>
      <c r="D1514" s="1" t="str">
        <f>IF(C1514="", "", IFERROR(VLOOKUP(C1514, 作品一覧!A:B, 2, FALSE), "該当なし"))</f>
        <v>ヘタリア</v>
      </c>
      <c r="E1514" s="1" t="str">
        <f ca="1">IFERROR(__xludf.DUMMYFUNCTION("""COMPUTED_VALUE"""),"ロマーノ")</f>
        <v>ロマーノ</v>
      </c>
      <c r="F1514" s="1" t="s">
        <v>2332</v>
      </c>
    </row>
    <row r="1515" spans="1:6" ht="13.2">
      <c r="A1515" s="1" t="str">
        <f t="array" aca="1" ref="A1515" ca="1">IF(B1515="", "", IFERROR(INDEX(声優一覧!A:A, MATCH(B1515, 声優一覧!B:B, 0)), "該当なし"))</f>
        <v>va_189</v>
      </c>
      <c r="B1515" s="1" t="str">
        <f ca="1">IFERROR(__xludf.DUMMYFUNCTION("""COMPUTED_VALUE"""),"安元洋貴")</f>
        <v>安元洋貴</v>
      </c>
      <c r="C1515" s="1" t="s">
        <v>253</v>
      </c>
      <c r="D1515" s="1" t="str">
        <f>IF(C1515="", "", IFERROR(VLOOKUP(C1515, 作品一覧!A:B, 2, FALSE), "該当なし"))</f>
        <v>ヘタリア</v>
      </c>
      <c r="E1515" s="1" t="str">
        <f ca="1">IFERROR(__xludf.DUMMYFUNCTION("""COMPUTED_VALUE"""),"ドイツ")</f>
        <v>ドイツ</v>
      </c>
      <c r="F1515" s="1" t="s">
        <v>2333</v>
      </c>
    </row>
    <row r="1516" spans="1:6" ht="13.2">
      <c r="A1516" s="1" t="str">
        <f t="array" aca="1" ref="A1516" ca="1">IF(B1516="", "", IFERROR(INDEX(声優一覧!A:A, MATCH(B1516, 声優一覧!B:B, 0)), "該当なし"))</f>
        <v>va_111</v>
      </c>
      <c r="B1516" s="1" t="str">
        <f ca="1">IFERROR(__xludf.DUMMYFUNCTION("""COMPUTED_VALUE"""),"高橋広樹")</f>
        <v>高橋広樹</v>
      </c>
      <c r="C1516" s="1" t="s">
        <v>253</v>
      </c>
      <c r="D1516" s="1" t="str">
        <f>IF(C1516="", "", IFERROR(VLOOKUP(C1516, 作品一覧!A:B, 2, FALSE), "該当なし"))</f>
        <v>ヘタリア</v>
      </c>
      <c r="E1516" s="1" t="str">
        <f ca="1">IFERROR(__xludf.DUMMYFUNCTION("""COMPUTED_VALUE"""),"日本")</f>
        <v>日本</v>
      </c>
      <c r="F1516" s="1" t="s">
        <v>2334</v>
      </c>
    </row>
    <row r="1517" spans="1:6" ht="13.2">
      <c r="A1517" s="1" t="str">
        <f t="array" aca="1" ref="A1517" ca="1">IF(B1517="", "", IFERROR(INDEX(声優一覧!A:A, MATCH(B1517, 声優一覧!B:B, 0)), "該当なし"))</f>
        <v>va_078</v>
      </c>
      <c r="B1517" s="1" t="str">
        <f ca="1">IFERROR(__xludf.DUMMYFUNCTION("""COMPUTED_VALUE"""),"小西克幸")</f>
        <v>小西克幸</v>
      </c>
      <c r="C1517" s="1" t="s">
        <v>253</v>
      </c>
      <c r="D1517" s="1" t="str">
        <f>IF(C1517="", "", IFERROR(VLOOKUP(C1517, 作品一覧!A:B, 2, FALSE), "該当なし"))</f>
        <v>ヘタリア</v>
      </c>
      <c r="E1517" s="1" t="str">
        <f ca="1">IFERROR(__xludf.DUMMYFUNCTION("""COMPUTED_VALUE"""),"アメリカ")</f>
        <v>アメリカ</v>
      </c>
      <c r="F1517" s="1" t="s">
        <v>2335</v>
      </c>
    </row>
    <row r="1518" spans="1:6" ht="13.2">
      <c r="A1518" s="1" t="str">
        <f t="array" aca="1" ref="A1518" ca="1">IF(B1518="", "", IFERROR(INDEX(声優一覧!A:A, MATCH(B1518, 声優一覧!B:B, 0)), "該当なし"))</f>
        <v>va_078</v>
      </c>
      <c r="B1518" s="1" t="str">
        <f ca="1">IFERROR(__xludf.DUMMYFUNCTION("""COMPUTED_VALUE"""),"小西克幸")</f>
        <v>小西克幸</v>
      </c>
      <c r="C1518" s="1" t="s">
        <v>253</v>
      </c>
      <c r="D1518" s="1" t="str">
        <f>IF(C1518="", "", IFERROR(VLOOKUP(C1518, 作品一覧!A:B, 2, FALSE), "該当なし"))</f>
        <v>ヘタリア</v>
      </c>
      <c r="E1518" s="1" t="str">
        <f ca="1">IFERROR(__xludf.DUMMYFUNCTION("""COMPUTED_VALUE"""),"カナダ")</f>
        <v>カナダ</v>
      </c>
      <c r="F1518" s="1" t="s">
        <v>2336</v>
      </c>
    </row>
    <row r="1519" spans="1:6" ht="13.2">
      <c r="A1519" s="1" t="str">
        <f t="array" aca="1" ref="A1519" ca="1">IF(B1519="", "", IFERROR(INDEX(声優一覧!A:A, MATCH(B1519, 声優一覧!B:B, 0)), "該当なし"))</f>
        <v>va_098</v>
      </c>
      <c r="B1519" s="1" t="str">
        <f ca="1">IFERROR(__xludf.DUMMYFUNCTION("""COMPUTED_VALUE"""),"杉山紀彰")</f>
        <v>杉山紀彰</v>
      </c>
      <c r="C1519" s="1" t="s">
        <v>253</v>
      </c>
      <c r="D1519" s="1" t="str">
        <f>IF(C1519="", "", IFERROR(VLOOKUP(C1519, 作品一覧!A:B, 2, FALSE), "該当なし"))</f>
        <v>ヘタリア</v>
      </c>
      <c r="E1519" s="1" t="str">
        <f ca="1">IFERROR(__xludf.DUMMYFUNCTION("""COMPUTED_VALUE"""),"イギリス")</f>
        <v>イギリス</v>
      </c>
      <c r="F1519" s="1" t="s">
        <v>2337</v>
      </c>
    </row>
    <row r="1520" spans="1:6" ht="13.2">
      <c r="A1520" s="1" t="str">
        <f t="array" aca="1" ref="A1520" ca="1">IF(B1520="", "", IFERROR(INDEX(声優一覧!A:A, MATCH(B1520, 声優一覧!B:B, 0)), "該当なし"))</f>
        <v>va_098</v>
      </c>
      <c r="B1520" s="1" t="str">
        <f ca="1">IFERROR(__xludf.DUMMYFUNCTION("""COMPUTED_VALUE"""),"杉山紀彰")</f>
        <v>杉山紀彰</v>
      </c>
      <c r="C1520" s="1" t="s">
        <v>253</v>
      </c>
      <c r="D1520" s="1" t="str">
        <f>IF(C1520="", "", IFERROR(VLOOKUP(C1520, 作品一覧!A:B, 2, FALSE), "該当なし"))</f>
        <v>ヘタリア</v>
      </c>
      <c r="E1520" s="1" t="str">
        <f ca="1">IFERROR(__xludf.DUMMYFUNCTION("""COMPUTED_VALUE"""),"スコットランド")</f>
        <v>スコットランド</v>
      </c>
      <c r="F1520" s="1" t="s">
        <v>2338</v>
      </c>
    </row>
    <row r="1521" spans="1:6" ht="13.2">
      <c r="A1521" s="1" t="str">
        <f t="array" aca="1" ref="A1521" ca="1">IF(B1521="", "", IFERROR(INDEX(声優一覧!A:A, MATCH(B1521, 声優一覧!B:B, 0)), "該当なし"))</f>
        <v>va_098</v>
      </c>
      <c r="B1521" s="1" t="str">
        <f ca="1">IFERROR(__xludf.DUMMYFUNCTION("""COMPUTED_VALUE"""),"杉山紀彰")</f>
        <v>杉山紀彰</v>
      </c>
      <c r="C1521" s="1" t="s">
        <v>253</v>
      </c>
      <c r="D1521" s="1" t="str">
        <f>IF(C1521="", "", IFERROR(VLOOKUP(C1521, 作品一覧!A:B, 2, FALSE), "該当なし"))</f>
        <v>ヘタリア</v>
      </c>
      <c r="E1521" s="1" t="str">
        <f ca="1">IFERROR(__xludf.DUMMYFUNCTION("""COMPUTED_VALUE"""),"北アイルランド")</f>
        <v>北アイルランド</v>
      </c>
      <c r="F1521" s="1" t="s">
        <v>2339</v>
      </c>
    </row>
    <row r="1522" spans="1:6" ht="13.2">
      <c r="A1522" s="1" t="str">
        <f t="array" aca="1" ref="A1522" ca="1">IF(B1522="", "", IFERROR(INDEX(声優一覧!A:A, MATCH(B1522, 声優一覧!B:B, 0)), "該当なし"))</f>
        <v>va_098</v>
      </c>
      <c r="B1522" s="1" t="str">
        <f ca="1">IFERROR(__xludf.DUMMYFUNCTION("""COMPUTED_VALUE"""),"杉山紀彰")</f>
        <v>杉山紀彰</v>
      </c>
      <c r="C1522" s="1" t="s">
        <v>253</v>
      </c>
      <c r="D1522" s="1" t="str">
        <f>IF(C1522="", "", IFERROR(VLOOKUP(C1522, 作品一覧!A:B, 2, FALSE), "該当なし"))</f>
        <v>ヘタリア</v>
      </c>
      <c r="E1522" s="1" t="str">
        <f ca="1">IFERROR(__xludf.DUMMYFUNCTION("""COMPUTED_VALUE"""),"ウェールズ")</f>
        <v>ウェールズ</v>
      </c>
      <c r="F1522" s="1" t="s">
        <v>2340</v>
      </c>
    </row>
    <row r="1523" spans="1:6" ht="13.2">
      <c r="A1523" s="1" t="str">
        <f t="array" aca="1" ref="A1523" ca="1">IF(B1523="", "", IFERROR(INDEX(声優一覧!A:A, MATCH(B1523, 声優一覧!B:B, 0)), "該当なし"))</f>
        <v>va_300</v>
      </c>
      <c r="B1523" s="1" t="str">
        <f ca="1">IFERROR(__xludf.DUMMYFUNCTION("""COMPUTED_VALUE"""),"小野坂昌也")</f>
        <v>小野坂昌也</v>
      </c>
      <c r="C1523" s="1" t="s">
        <v>253</v>
      </c>
      <c r="D1523" s="1" t="str">
        <f>IF(C1523="", "", IFERROR(VLOOKUP(C1523, 作品一覧!A:B, 2, FALSE), "該当なし"))</f>
        <v>ヘタリア</v>
      </c>
      <c r="E1523" s="1" t="str">
        <f ca="1">IFERROR(__xludf.DUMMYFUNCTION("""COMPUTED_VALUE"""),"フランス")</f>
        <v>フランス</v>
      </c>
      <c r="F1523" s="1" t="s">
        <v>2341</v>
      </c>
    </row>
    <row r="1524" spans="1:6" ht="13.2">
      <c r="A1524" s="1" t="str">
        <f t="array" aca="1" ref="A1524" ca="1">IF(B1524="", "", IFERROR(INDEX(声優一覧!A:A, MATCH(B1524, 声優一覧!B:B, 0)), "該当なし"))</f>
        <v>va_368</v>
      </c>
      <c r="B1524" s="1" t="str">
        <f ca="1">IFERROR(__xludf.DUMMYFUNCTION("""COMPUTED_VALUE"""),"高戸靖広")</f>
        <v>高戸靖広</v>
      </c>
      <c r="C1524" s="1" t="s">
        <v>253</v>
      </c>
      <c r="D1524" s="1" t="str">
        <f>IF(C1524="", "", IFERROR(VLOOKUP(C1524, 作品一覧!A:B, 2, FALSE), "該当なし"))</f>
        <v>ヘタリア</v>
      </c>
      <c r="E1524" s="1" t="str">
        <f ca="1">IFERROR(__xludf.DUMMYFUNCTION("""COMPUTED_VALUE"""),"ロシア")</f>
        <v>ロシア</v>
      </c>
      <c r="F1524" s="1" t="s">
        <v>2342</v>
      </c>
    </row>
    <row r="1525" spans="1:6" ht="13.2">
      <c r="A1525" s="1" t="str">
        <f t="array" aca="1" ref="A1525" ca="1">IF(B1525="", "", IFERROR(INDEX(声優一覧!A:A, MATCH(B1525, 声優一覧!B:B, 0)), "該当なし"))</f>
        <v>va_343</v>
      </c>
      <c r="B1525" s="1" t="str">
        <f ca="1">IFERROR(__xludf.DUMMYFUNCTION("""COMPUTED_VALUE"""),"井上剛")</f>
        <v>井上剛</v>
      </c>
      <c r="C1525" s="1" t="s">
        <v>253</v>
      </c>
      <c r="D1525" s="1" t="str">
        <f>IF(C1525="", "", IFERROR(VLOOKUP(C1525, 作品一覧!A:B, 2, FALSE), "該当なし"))</f>
        <v>ヘタリア</v>
      </c>
      <c r="E1525" s="1" t="str">
        <f ca="1">IFERROR(__xludf.DUMMYFUNCTION("""COMPUTED_VALUE"""),"スペイン")</f>
        <v>スペイン</v>
      </c>
      <c r="F1525" s="1" t="s">
        <v>2343</v>
      </c>
    </row>
    <row r="1526" spans="1:6" ht="13.2">
      <c r="A1526" s="1" t="str">
        <f t="array" aca="1" ref="A1526" ca="1">IF(B1526="", "", IFERROR(INDEX(声優一覧!A:A, MATCH(B1526, 声優一覧!B:B, 0)), "該当なし"))</f>
        <v>va_343</v>
      </c>
      <c r="B1526" s="1" t="str">
        <f ca="1">IFERROR(__xludf.DUMMYFUNCTION("""COMPUTED_VALUE"""),"井上剛")</f>
        <v>井上剛</v>
      </c>
      <c r="C1526" s="1" t="s">
        <v>253</v>
      </c>
      <c r="D1526" s="1" t="str">
        <f>IF(C1526="", "", IFERROR(VLOOKUP(C1526, 作品一覧!A:B, 2, FALSE), "該当なし"))</f>
        <v>ヘタリア</v>
      </c>
      <c r="E1526" s="1" t="str">
        <f ca="1">IFERROR(__xludf.DUMMYFUNCTION("""COMPUTED_VALUE"""),"ブルガリア")</f>
        <v>ブルガリア</v>
      </c>
      <c r="F1526" s="1" t="s">
        <v>2344</v>
      </c>
    </row>
    <row r="1527" spans="1:6" ht="13.2">
      <c r="A1527" s="1" t="str">
        <f t="array" aca="1" ref="A1527" ca="1">IF(B1527="", "", IFERROR(INDEX(声優一覧!A:A, MATCH(B1527, 声優一覧!B:B, 0)), "該当なし"))</f>
        <v>va_369</v>
      </c>
      <c r="B1527" s="1" t="str">
        <f ca="1">IFERROR(__xludf.DUMMYFUNCTION("""COMPUTED_VALUE"""),"髙坂篤志")</f>
        <v>髙坂篤志</v>
      </c>
      <c r="C1527" s="1" t="s">
        <v>253</v>
      </c>
      <c r="D1527" s="1" t="str">
        <f>IF(C1527="", "", IFERROR(VLOOKUP(C1527, 作品一覧!A:B, 2, FALSE), "該当なし"))</f>
        <v>ヘタリア</v>
      </c>
      <c r="E1527" s="1" t="str">
        <f ca="1">IFERROR(__xludf.DUMMYFUNCTION("""COMPUTED_VALUE"""),"プロイセン")</f>
        <v>プロイセン</v>
      </c>
      <c r="F1527" s="1" t="s">
        <v>2345</v>
      </c>
    </row>
    <row r="1528" spans="1:6" ht="13.2">
      <c r="A1528" s="1" t="str">
        <f t="array" aca="1" ref="A1528" ca="1">IF(B1528="", "", IFERROR(INDEX(声優一覧!A:A, MATCH(B1528, 声優一覧!B:B, 0)), "該当なし"))</f>
        <v>va_369</v>
      </c>
      <c r="B1528" s="1" t="str">
        <f ca="1">IFERROR(__xludf.DUMMYFUNCTION("""COMPUTED_VALUE"""),"髙坂篤志")</f>
        <v>髙坂篤志</v>
      </c>
      <c r="C1528" s="1" t="s">
        <v>253</v>
      </c>
      <c r="D1528" s="1" t="str">
        <f>IF(C1528="", "", IFERROR(VLOOKUP(C1528, 作品一覧!A:B, 2, FALSE), "該当なし"))</f>
        <v>ヘタリア</v>
      </c>
      <c r="E1528" s="1" t="str">
        <f ca="1">IFERROR(__xludf.DUMMYFUNCTION("""COMPUTED_VALUE"""),"ギリシャ")</f>
        <v>ギリシャ</v>
      </c>
      <c r="F1528" s="1" t="s">
        <v>2346</v>
      </c>
    </row>
    <row r="1529" spans="1:6" ht="13.2">
      <c r="A1529" s="1" t="str">
        <f t="array" aca="1" ref="A1529" ca="1">IF(B1529="", "", IFERROR(INDEX(声優一覧!A:A, MATCH(B1529, 声優一覧!B:B, 0)), "該当なし"))</f>
        <v>va_369</v>
      </c>
      <c r="B1529" s="1" t="str">
        <f ca="1">IFERROR(__xludf.DUMMYFUNCTION("""COMPUTED_VALUE"""),"髙坂篤志")</f>
        <v>髙坂篤志</v>
      </c>
      <c r="C1529" s="1" t="s">
        <v>253</v>
      </c>
      <c r="D1529" s="1" t="str">
        <f>IF(C1529="", "", IFERROR(VLOOKUP(C1529, 作品一覧!A:B, 2, FALSE), "該当なし"))</f>
        <v>ヘタリア</v>
      </c>
      <c r="E1529" s="1" t="str">
        <f ca="1">IFERROR(__xludf.DUMMYFUNCTION("""COMPUTED_VALUE"""),"エストニア")</f>
        <v>エストニア</v>
      </c>
      <c r="F1529" s="1" t="s">
        <v>2347</v>
      </c>
    </row>
    <row r="1530" spans="1:6" ht="13.2">
      <c r="A1530" s="1" t="str">
        <f t="array" aca="1" ref="A1530" ca="1">IF(B1530="", "", IFERROR(INDEX(声優一覧!A:A, MATCH(B1530, 声優一覧!B:B, 0)), "該当なし"))</f>
        <v>va_075</v>
      </c>
      <c r="B1530" s="1" t="str">
        <f ca="1">IFERROR(__xludf.DUMMYFUNCTION("""COMPUTED_VALUE"""),"小林裕介")</f>
        <v>小林裕介</v>
      </c>
      <c r="C1530" s="1" t="s">
        <v>253</v>
      </c>
      <c r="D1530" s="1" t="str">
        <f>IF(C1530="", "", IFERROR(VLOOKUP(C1530, 作品一覧!A:B, 2, FALSE), "該当なし"))</f>
        <v>ヘタリア</v>
      </c>
      <c r="E1530" s="1" t="str">
        <f ca="1">IFERROR(__xludf.DUMMYFUNCTION("""COMPUTED_VALUE"""),"スロバキア")</f>
        <v>スロバキア</v>
      </c>
      <c r="F1530" s="1" t="s">
        <v>2348</v>
      </c>
    </row>
    <row r="1531" spans="1:6" ht="13.2">
      <c r="A1531" s="1" t="str">
        <f t="array" aca="1" ref="A1531" ca="1">IF(B1531="", "", IFERROR(INDEX(声優一覧!A:A, MATCH(B1531, 声優一覧!B:B, 0)), "該当なし"))</f>
        <v>va_033</v>
      </c>
      <c r="B1531" s="1" t="str">
        <f ca="1">IFERROR(__xludf.DUMMYFUNCTION("""COMPUTED_VALUE"""),"梅原裕一郎")</f>
        <v>梅原裕一郎</v>
      </c>
      <c r="C1531" s="1" t="s">
        <v>253</v>
      </c>
      <c r="D1531" s="1" t="str">
        <f>IF(C1531="", "", IFERROR(VLOOKUP(C1531, 作品一覧!A:B, 2, FALSE), "該当なし"))</f>
        <v>ヘタリア</v>
      </c>
      <c r="E1531" s="1" t="str">
        <f ca="1">IFERROR(__xludf.DUMMYFUNCTION("""COMPUTED_VALUE"""),"ポルトガル")</f>
        <v>ポルトガル</v>
      </c>
      <c r="F1531" s="1" t="s">
        <v>2349</v>
      </c>
    </row>
    <row r="1532" spans="1:6" ht="13.2">
      <c r="A1532" s="1" t="str">
        <f t="array" aca="1" ref="A1532" ca="1">IF(B1532="", "", IFERROR(INDEX(声優一覧!A:A, MATCH(B1532, 声優一覧!B:B, 0)), "該当なし"))</f>
        <v>va_188</v>
      </c>
      <c r="B1532" s="1" t="str">
        <f ca="1">IFERROR(__xludf.DUMMYFUNCTION("""COMPUTED_VALUE"""),"八代拓")</f>
        <v>八代拓</v>
      </c>
      <c r="C1532" s="1" t="s">
        <v>253</v>
      </c>
      <c r="D1532" s="1" t="str">
        <f>IF(C1532="", "", IFERROR(VLOOKUP(C1532, 作品一覧!A:B, 2, FALSE), "該当なし"))</f>
        <v>ヘタリア</v>
      </c>
      <c r="E1532" s="1" t="str">
        <f ca="1">IFERROR(__xludf.DUMMYFUNCTION("""COMPUTED_VALUE"""),"ルクセンブルク")</f>
        <v>ルクセンブルク</v>
      </c>
      <c r="F1532" s="1" t="s">
        <v>2350</v>
      </c>
    </row>
    <row r="1533" spans="1:6" ht="13.2">
      <c r="A1533" s="1" t="str">
        <f t="array" aca="1" ref="A1533" ca="1">IF(B1533="", "", IFERROR(INDEX(声優一覧!A:A, MATCH(B1533, 声優一覧!B:B, 0)), "該当なし"))</f>
        <v>va_370</v>
      </c>
      <c r="B1533" s="1" t="str">
        <f ca="1">IFERROR(__xludf.DUMMYFUNCTION("""COMPUTED_VALUE"""),"笹沼晃")</f>
        <v>笹沼晃</v>
      </c>
      <c r="C1533" s="1" t="s">
        <v>253</v>
      </c>
      <c r="D1533" s="1" t="str">
        <f>IF(C1533="", "", IFERROR(VLOOKUP(C1533, 作品一覧!A:B, 2, FALSE), "該当なし"))</f>
        <v>ヘタリア</v>
      </c>
      <c r="E1533" s="1" t="str">
        <f ca="1">IFERROR(__xludf.DUMMYFUNCTION("""COMPUTED_VALUE"""),"オーストリア")</f>
        <v>オーストリア</v>
      </c>
      <c r="F1533" s="1" t="s">
        <v>2351</v>
      </c>
    </row>
    <row r="1534" spans="1:6" ht="13.2">
      <c r="A1534" s="1" t="str">
        <f t="array" aca="1" ref="A1534" ca="1">IF(B1534="", "", IFERROR(INDEX(声優一覧!A:A, MATCH(B1534, 声優一覧!B:B, 0)), "該当なし"))</f>
        <v>va_178</v>
      </c>
      <c r="B1534" s="1" t="str">
        <f ca="1">IFERROR(__xludf.DUMMYFUNCTION("""COMPUTED_VALUE"""),"水島大宙")</f>
        <v>水島大宙</v>
      </c>
      <c r="C1534" s="1" t="s">
        <v>253</v>
      </c>
      <c r="D1534" s="1" t="str">
        <f>IF(C1534="", "", IFERROR(VLOOKUP(C1534, 作品一覧!A:B, 2, FALSE), "該当なし"))</f>
        <v>ヘタリア</v>
      </c>
      <c r="E1534" s="1" t="str">
        <f ca="1">IFERROR(__xludf.DUMMYFUNCTION("""COMPUTED_VALUE"""),"フィンランド")</f>
        <v>フィンランド</v>
      </c>
      <c r="F1534" s="1" t="s">
        <v>2352</v>
      </c>
    </row>
    <row r="1535" spans="1:6" ht="13.2">
      <c r="A1535" s="1" t="str">
        <f t="array" aca="1" ref="A1535" ca="1">IF(B1535="", "", IFERROR(INDEX(声優一覧!A:A, MATCH(B1535, 声優一覧!B:B, 0)), "該当なし"))</f>
        <v>va_371</v>
      </c>
      <c r="B1535" s="1" t="str">
        <f ca="1">IFERROR(__xludf.DUMMYFUNCTION("""COMPUTED_VALUE"""),"酒井敬幸")</f>
        <v>酒井敬幸</v>
      </c>
      <c r="C1535" s="1" t="s">
        <v>253</v>
      </c>
      <c r="D1535" s="1" t="str">
        <f>IF(C1535="", "", IFERROR(VLOOKUP(C1535, 作品一覧!A:B, 2, FALSE), "該当なし"))</f>
        <v>ヘタリア</v>
      </c>
      <c r="E1535" s="1" t="str">
        <f ca="1">IFERROR(__xludf.DUMMYFUNCTION("""COMPUTED_VALUE"""),"スウェーデン")</f>
        <v>スウェーデン</v>
      </c>
      <c r="F1535" s="1" t="s">
        <v>2353</v>
      </c>
    </row>
    <row r="1536" spans="1:6" ht="13.2">
      <c r="A1536" s="1" t="str">
        <f t="array" aca="1" ref="A1536" ca="1">IF(B1536="", "", IFERROR(INDEX(声優一覧!A:A, MATCH(B1536, 声優一覧!B:B, 0)), "該当なし"))</f>
        <v>va_372</v>
      </c>
      <c r="B1536" s="1" t="str">
        <f ca="1">IFERROR(__xludf.DUMMYFUNCTION("""COMPUTED_VALUE"""),"浅井慶一郎")</f>
        <v>浅井慶一郎</v>
      </c>
      <c r="C1536" s="1" t="s">
        <v>253</v>
      </c>
      <c r="D1536" s="1" t="str">
        <f>IF(C1536="", "", IFERROR(VLOOKUP(C1536, 作品一覧!A:B, 2, FALSE), "該当なし"))</f>
        <v>ヘタリア</v>
      </c>
      <c r="E1536" s="1" t="str">
        <f ca="1">IFERROR(__xludf.DUMMYFUNCTION("""COMPUTED_VALUE"""),"オーストラリア")</f>
        <v>オーストラリア</v>
      </c>
      <c r="F1536" s="1" t="s">
        <v>2354</v>
      </c>
    </row>
    <row r="1537" spans="1:6" ht="13.2">
      <c r="A1537" s="1" t="str">
        <f t="array" aca="1" ref="A1537" ca="1">IF(B1537="", "", IFERROR(INDEX(声優一覧!A:A, MATCH(B1537, 声優一覧!B:B, 0)), "該当なし"))</f>
        <v>va_323</v>
      </c>
      <c r="B1537" s="1" t="str">
        <f ca="1">IFERROR(__xludf.DUMMYFUNCTION("""COMPUTED_VALUE"""),"峯暢也")</f>
        <v>峯暢也</v>
      </c>
      <c r="C1537" s="1" t="s">
        <v>253</v>
      </c>
      <c r="D1537" s="1" t="str">
        <f>IF(C1537="", "", IFERROR(VLOOKUP(C1537, 作品一覧!A:B, 2, FALSE), "該当なし"))</f>
        <v>ヘタリア</v>
      </c>
      <c r="E1537" s="1" t="str">
        <f ca="1">IFERROR(__xludf.DUMMYFUNCTION("""COMPUTED_VALUE"""),"オランダ")</f>
        <v>オランダ</v>
      </c>
      <c r="F1537" s="1" t="s">
        <v>2355</v>
      </c>
    </row>
    <row r="1538" spans="1:6" ht="13.2">
      <c r="A1538" s="1" t="str">
        <f t="array" aca="1" ref="A1538" ca="1">IF(B1538="", "", IFERROR(INDEX(声優一覧!A:A, MATCH(B1538, 声優一覧!B:B, 0)), "該当なし"))</f>
        <v>va_028</v>
      </c>
      <c r="B1538" s="1" t="str">
        <f ca="1">IFERROR(__xludf.DUMMYFUNCTION("""COMPUTED_VALUE"""),"上村祐翔")</f>
        <v>上村祐翔</v>
      </c>
      <c r="C1538" s="1" t="s">
        <v>246</v>
      </c>
      <c r="D1538" s="1" t="str">
        <f>IF(C1538="", "", IFERROR(VLOOKUP(C1538, 作品一覧!A:B, 2, FALSE), "該当なし"))</f>
        <v>文豪ストレイドッグス</v>
      </c>
      <c r="E1538" s="1" t="str">
        <f ca="1">IFERROR(__xludf.DUMMYFUNCTION("""COMPUTED_VALUE"""),"中島敦")</f>
        <v>中島敦</v>
      </c>
      <c r="F1538" s="1" t="s">
        <v>2356</v>
      </c>
    </row>
    <row r="1539" spans="1:6" ht="13.2">
      <c r="A1539" s="1" t="str">
        <f t="array" aca="1" ref="A1539" ca="1">IF(B1539="", "", IFERROR(INDEX(声優一覧!A:A, MATCH(B1539, 声優一覧!B:B, 0)), "該当なし"))</f>
        <v>va_236</v>
      </c>
      <c r="B1539" s="1" t="str">
        <f ca="1">IFERROR(__xludf.DUMMYFUNCTION("""COMPUTED_VALUE"""),"宮野真守")</f>
        <v>宮野真守</v>
      </c>
      <c r="C1539" s="1" t="s">
        <v>246</v>
      </c>
      <c r="D1539" s="1" t="str">
        <f>IF(C1539="", "", IFERROR(VLOOKUP(C1539, 作品一覧!A:B, 2, FALSE), "該当なし"))</f>
        <v>文豪ストレイドッグス</v>
      </c>
      <c r="E1539" s="1" t="str">
        <f ca="1">IFERROR(__xludf.DUMMYFUNCTION("""COMPUTED_VALUE"""),"太宰治")</f>
        <v>太宰治</v>
      </c>
      <c r="F1539" s="1" t="s">
        <v>2357</v>
      </c>
    </row>
    <row r="1540" spans="1:6" ht="13.2">
      <c r="A1540" s="1" t="str">
        <f t="array" aca="1" ref="A1540" ca="1">IF(B1540="", "", IFERROR(INDEX(声優一覧!A:A, MATCH(B1540, 声優一覧!B:B, 0)), "該当なし"))</f>
        <v>va_164</v>
      </c>
      <c r="B1540" s="1" t="str">
        <f ca="1">IFERROR(__xludf.DUMMYFUNCTION("""COMPUTED_VALUE"""),"細谷佳正")</f>
        <v>細谷佳正</v>
      </c>
      <c r="C1540" s="1" t="s">
        <v>246</v>
      </c>
      <c r="D1540" s="1" t="str">
        <f>IF(C1540="", "", IFERROR(VLOOKUP(C1540, 作品一覧!A:B, 2, FALSE), "該当なし"))</f>
        <v>文豪ストレイドッグス</v>
      </c>
      <c r="E1540" s="1" t="str">
        <f ca="1">IFERROR(__xludf.DUMMYFUNCTION("""COMPUTED_VALUE"""),"国木田独歩")</f>
        <v>国木田独歩</v>
      </c>
      <c r="F1540" s="1" t="s">
        <v>2358</v>
      </c>
    </row>
    <row r="1541" spans="1:6" ht="13.2">
      <c r="A1541" s="1" t="str">
        <f t="array" aca="1" ref="A1541" ca="1">IF(B1541="", "", IFERROR(INDEX(声優一覧!A:A, MATCH(B1541, 声優一覧!B:B, 0)), "該当なし"))</f>
        <v>va_298</v>
      </c>
      <c r="B1541" s="1" t="str">
        <f ca="1">IFERROR(__xludf.DUMMYFUNCTION("""COMPUTED_VALUE"""),"神谷浩史")</f>
        <v>神谷浩史</v>
      </c>
      <c r="C1541" s="1" t="s">
        <v>246</v>
      </c>
      <c r="D1541" s="1" t="str">
        <f>IF(C1541="", "", IFERROR(VLOOKUP(C1541, 作品一覧!A:B, 2, FALSE), "該当なし"))</f>
        <v>文豪ストレイドッグス</v>
      </c>
      <c r="E1541" s="1" t="str">
        <f ca="1">IFERROR(__xludf.DUMMYFUNCTION("""COMPUTED_VALUE"""),"江戸川乱歩")</f>
        <v>江戸川乱歩</v>
      </c>
      <c r="F1541" s="1" t="s">
        <v>2359</v>
      </c>
    </row>
    <row r="1542" spans="1:6" ht="13.2">
      <c r="A1542" s="1" t="str">
        <f t="array" aca="1" ref="A1542" ca="1">IF(B1542="", "", IFERROR(INDEX(声優一覧!A:A, MATCH(B1542, 声優一覧!B:B, 0)), "該当なし"))</f>
        <v>va_131</v>
      </c>
      <c r="B1542" s="1" t="str">
        <f ca="1">IFERROR(__xludf.DUMMYFUNCTION("""COMPUTED_VALUE"""),"豊永利行")</f>
        <v>豊永利行</v>
      </c>
      <c r="C1542" s="1" t="s">
        <v>246</v>
      </c>
      <c r="D1542" s="1" t="str">
        <f>IF(C1542="", "", IFERROR(VLOOKUP(C1542, 作品一覧!A:B, 2, FALSE), "該当なし"))</f>
        <v>文豪ストレイドッグス</v>
      </c>
      <c r="E1542" s="1" t="str">
        <f ca="1">IFERROR(__xludf.DUMMYFUNCTION("""COMPUTED_VALUE"""),"谷崎潤一郎")</f>
        <v>谷崎潤一郎</v>
      </c>
      <c r="F1542" s="1" t="s">
        <v>2360</v>
      </c>
    </row>
    <row r="1543" spans="1:6" ht="13.2">
      <c r="A1543" s="1" t="str">
        <f t="array" aca="1" ref="A1543" ca="1">IF(B1543="", "", IFERROR(INDEX(声優一覧!A:A, MATCH(B1543, 声優一覧!B:B, 0)), "該当なし"))</f>
        <v>va_241</v>
      </c>
      <c r="B1543" s="1" t="str">
        <f ca="1">IFERROR(__xludf.DUMMYFUNCTION("""COMPUTED_VALUE"""),"花倉桔道")</f>
        <v>花倉桔道</v>
      </c>
      <c r="C1543" s="1" t="s">
        <v>246</v>
      </c>
      <c r="D1543" s="1" t="str">
        <f>IF(C1543="", "", IFERROR(VLOOKUP(C1543, 作品一覧!A:B, 2, FALSE), "該当なし"))</f>
        <v>文豪ストレイドッグス</v>
      </c>
      <c r="E1543" s="1" t="str">
        <f ca="1">IFERROR(__xludf.DUMMYFUNCTION("""COMPUTED_VALUE"""),"宮沢賢治")</f>
        <v>宮沢賢治</v>
      </c>
      <c r="F1543" s="1" t="s">
        <v>2361</v>
      </c>
    </row>
    <row r="1544" spans="1:6" ht="13.2">
      <c r="A1544" s="1" t="str">
        <f t="array" aca="1" ref="A1544" ca="1">IF(B1544="", "", IFERROR(INDEX(声優一覧!A:A, MATCH(B1544, 声優一覧!B:B, 0)), "該当なし"))</f>
        <v>va_336</v>
      </c>
      <c r="B1544" s="1" t="str">
        <f ca="1">IFERROR(__xludf.DUMMYFUNCTION("""COMPUTED_VALUE"""),"小山力也")</f>
        <v>小山力也</v>
      </c>
      <c r="C1544" s="1" t="s">
        <v>246</v>
      </c>
      <c r="D1544" s="1" t="str">
        <f>IF(C1544="", "", IFERROR(VLOOKUP(C1544, 作品一覧!A:B, 2, FALSE), "該当なし"))</f>
        <v>文豪ストレイドッグス</v>
      </c>
      <c r="E1544" s="1" t="str">
        <f ca="1">IFERROR(__xludf.DUMMYFUNCTION("""COMPUTED_VALUE"""),"福沢諭吉")</f>
        <v>福沢諭吉</v>
      </c>
      <c r="F1544" s="1" t="s">
        <v>2362</v>
      </c>
    </row>
    <row r="1545" spans="1:6" ht="13.2">
      <c r="A1545" s="1" t="str">
        <f t="array" aca="1" ref="A1545" ca="1">IF(B1545="", "", IFERROR(INDEX(声優一覧!A:A, MATCH(B1545, 声優一覧!B:B, 0)), "該当なし"))</f>
        <v>va_045</v>
      </c>
      <c r="B1545" s="1" t="str">
        <f ca="1">IFERROR(__xludf.DUMMYFUNCTION("""COMPUTED_VALUE"""),"小野賢章")</f>
        <v>小野賢章</v>
      </c>
      <c r="C1545" s="1" t="s">
        <v>246</v>
      </c>
      <c r="D1545" s="1" t="str">
        <f>IF(C1545="", "", IFERROR(VLOOKUP(C1545, 作品一覧!A:B, 2, FALSE), "該当なし"))</f>
        <v>文豪ストレイドッグス</v>
      </c>
      <c r="E1545" s="1" t="str">
        <f ca="1">IFERROR(__xludf.DUMMYFUNCTION("""COMPUTED_VALUE"""),"芥川龍之介")</f>
        <v>芥川龍之介</v>
      </c>
      <c r="F1545" s="1" t="s">
        <v>2363</v>
      </c>
    </row>
    <row r="1546" spans="1:6" ht="13.2">
      <c r="A1546" s="1" t="str">
        <f t="array" aca="1" ref="A1546" ca="1">IF(B1546="", "", IFERROR(INDEX(声優一覧!A:A, MATCH(B1546, 声優一覧!B:B, 0)), "該当なし"))</f>
        <v>va_115</v>
      </c>
      <c r="B1546" s="1" t="str">
        <f ca="1">IFERROR(__xludf.DUMMYFUNCTION("""COMPUTED_VALUE"""),"谷山紀章")</f>
        <v>谷山紀章</v>
      </c>
      <c r="C1546" s="1" t="s">
        <v>246</v>
      </c>
      <c r="D1546" s="1" t="str">
        <f>IF(C1546="", "", IFERROR(VLOOKUP(C1546, 作品一覧!A:B, 2, FALSE), "該当なし"))</f>
        <v>文豪ストレイドッグス</v>
      </c>
      <c r="E1546" s="1" t="str">
        <f ca="1">IFERROR(__xludf.DUMMYFUNCTION("""COMPUTED_VALUE"""),"中原中也")</f>
        <v>中原中也</v>
      </c>
      <c r="F1546" s="1" t="s">
        <v>2364</v>
      </c>
    </row>
    <row r="1547" spans="1:6" ht="13.2">
      <c r="A1547" s="1" t="str">
        <f t="array" aca="1" ref="A1547" ca="1">IF(B1547="", "", IFERROR(INDEX(声優一覧!A:A, MATCH(B1547, 声優一覧!B:B, 0)), "該当なし"))</f>
        <v>va_148</v>
      </c>
      <c r="B1547" s="1" t="str">
        <f ca="1">IFERROR(__xludf.DUMMYFUNCTION("""COMPUTED_VALUE"""),"羽多野渉")</f>
        <v>羽多野渉</v>
      </c>
      <c r="C1547" s="1" t="s">
        <v>246</v>
      </c>
      <c r="D1547" s="1" t="str">
        <f>IF(C1547="", "", IFERROR(VLOOKUP(C1547, 作品一覧!A:B, 2, FALSE), "該当なし"))</f>
        <v>文豪ストレイドッグス</v>
      </c>
      <c r="E1547" s="1" t="str">
        <f ca="1">IFERROR(__xludf.DUMMYFUNCTION("""COMPUTED_VALUE"""),"梶井基次郎")</f>
        <v>梶井基次郎</v>
      </c>
      <c r="F1547" s="1" t="s">
        <v>2365</v>
      </c>
    </row>
    <row r="1548" spans="1:6" ht="13.2">
      <c r="A1548" s="1" t="str">
        <f t="array" aca="1" ref="A1548" ca="1">IF(B1548="", "", IFERROR(INDEX(声優一覧!A:A, MATCH(B1548, 声優一覧!B:B, 0)), "該当なし"))</f>
        <v>va_373</v>
      </c>
      <c r="B1548" s="1" t="str">
        <f ca="1">IFERROR(__xludf.DUMMYFUNCTION("""COMPUTED_VALUE"""),"宮本充")</f>
        <v>宮本充</v>
      </c>
      <c r="C1548" s="1" t="s">
        <v>246</v>
      </c>
      <c r="D1548" s="1" t="str">
        <f>IF(C1548="", "", IFERROR(VLOOKUP(C1548, 作品一覧!A:B, 2, FALSE), "該当なし"))</f>
        <v>文豪ストレイドッグス</v>
      </c>
      <c r="E1548" s="1" t="str">
        <f ca="1">IFERROR(__xludf.DUMMYFUNCTION("""COMPUTED_VALUE"""),"森鴎外")</f>
        <v>森鴎外</v>
      </c>
      <c r="F1548" s="1" t="s">
        <v>2366</v>
      </c>
    </row>
    <row r="1549" spans="1:6" ht="13.2">
      <c r="A1549" s="1" t="str">
        <f t="array" aca="1" ref="A1549" ca="1">IF(B1549="", "", IFERROR(INDEX(声優一覧!A:A, MATCH(B1549, 声優一覧!B:B, 0)), "該当なし"))</f>
        <v>va_304</v>
      </c>
      <c r="B1549" s="1" t="str">
        <f ca="1">IFERROR(__xludf.DUMMYFUNCTION("""COMPUTED_VALUE"""),"櫻井孝宏")</f>
        <v>櫻井孝宏</v>
      </c>
      <c r="C1549" s="1" t="s">
        <v>246</v>
      </c>
      <c r="D1549" s="1" t="str">
        <f>IF(C1549="", "", IFERROR(VLOOKUP(C1549, 作品一覧!A:B, 2, FALSE), "該当なし"))</f>
        <v>文豪ストレイドッグス</v>
      </c>
      <c r="E1549" s="1" t="str">
        <f ca="1">IFERROR(__xludf.DUMMYFUNCTION("""COMPUTED_VALUE"""),"フランシス・F")</f>
        <v>フランシス・F</v>
      </c>
      <c r="F1549" s="1" t="s">
        <v>2367</v>
      </c>
    </row>
    <row r="1550" spans="1:6" ht="13.2">
      <c r="A1550" s="1" t="str">
        <f t="array" aca="1" ref="A1550" ca="1">IF(B1550="", "", IFERROR(INDEX(声優一覧!A:A, MATCH(B1550, 声優一覧!B:B, 0)), "該当なし"))</f>
        <v>va_186</v>
      </c>
      <c r="B1550" s="1" t="str">
        <f ca="1">IFERROR(__xludf.DUMMYFUNCTION("""COMPUTED_VALUE"""),"森川智之")</f>
        <v>森川智之</v>
      </c>
      <c r="C1550" s="1" t="s">
        <v>246</v>
      </c>
      <c r="D1550" s="1" t="str">
        <f>IF(C1550="", "", IFERROR(VLOOKUP(C1550, 作品一覧!A:B, 2, FALSE), "該当なし"))</f>
        <v>文豪ストレイドッグス</v>
      </c>
      <c r="E1550" s="1" t="str">
        <f ca="1">IFERROR(__xludf.DUMMYFUNCTION("""COMPUTED_VALUE"""),"ポオ")</f>
        <v>ポオ</v>
      </c>
      <c r="F1550" s="1" t="s">
        <v>2368</v>
      </c>
    </row>
    <row r="1551" spans="1:6" ht="13.2">
      <c r="A1551" s="1" t="str">
        <f t="array" aca="1" ref="A1551" ca="1">IF(B1551="", "", IFERROR(INDEX(声優一覧!A:A, MATCH(B1551, 声優一覧!B:B, 0)), "該当なし"))</f>
        <v>va_265</v>
      </c>
      <c r="B1551" s="1" t="str">
        <f ca="1">IFERROR(__xludf.DUMMYFUNCTION("""COMPUTED_VALUE"""),"石田彰")</f>
        <v>石田彰</v>
      </c>
      <c r="C1551" s="1" t="s">
        <v>246</v>
      </c>
      <c r="D1551" s="1" t="str">
        <f>IF(C1551="", "", IFERROR(VLOOKUP(C1551, 作品一覧!A:B, 2, FALSE), "該当なし"))</f>
        <v>文豪ストレイドッグス</v>
      </c>
      <c r="E1551" s="1" t="str">
        <f ca="1">IFERROR(__xludf.DUMMYFUNCTION("""COMPUTED_VALUE"""),"フョードル・D")</f>
        <v>フョードル・D</v>
      </c>
      <c r="F1551" s="1" t="s">
        <v>2369</v>
      </c>
    </row>
    <row r="1552" spans="1:6" ht="13.2">
      <c r="A1552" s="1" t="str">
        <f t="array" aca="1" ref="A1552" ca="1">IF(B1552="", "", IFERROR(INDEX(声優一覧!A:A, MATCH(B1552, 声優一覧!B:B, 0)), "該当なし"))</f>
        <v>va_080</v>
      </c>
      <c r="B1552" s="1" t="str">
        <f ca="1">IFERROR(__xludf.DUMMYFUNCTION("""COMPUTED_VALUE"""),"子安武人")</f>
        <v>子安武人</v>
      </c>
      <c r="C1552" s="1" t="s">
        <v>246</v>
      </c>
      <c r="D1552" s="1" t="str">
        <f>IF(C1552="", "", IFERROR(VLOOKUP(C1552, 作品一覧!A:B, 2, FALSE), "該当なし"))</f>
        <v>文豪ストレイドッグス</v>
      </c>
      <c r="E1552" s="1" t="str">
        <f ca="1">IFERROR(__xludf.DUMMYFUNCTION("""COMPUTED_VALUE"""),"ニコライ・G")</f>
        <v>ニコライ・G</v>
      </c>
      <c r="F1552" s="1" t="s">
        <v>2370</v>
      </c>
    </row>
    <row r="1553" spans="1:6" ht="13.2">
      <c r="A1553" s="1" t="str">
        <f t="array" aca="1" ref="A1553" ca="1">IF(B1553="", "", IFERROR(INDEX(声優一覧!A:A, MATCH(B1553, 声優一覧!B:B, 0)), "該当なし"))</f>
        <v>va_119</v>
      </c>
      <c r="B1553" s="1" t="str">
        <f ca="1">IFERROR(__xludf.DUMMYFUNCTION("""COMPUTED_VALUE"""),"千葉翔也")</f>
        <v>千葉翔也</v>
      </c>
      <c r="C1553" s="1" t="s">
        <v>246</v>
      </c>
      <c r="D1553" s="1" t="str">
        <f>IF(C1553="", "", IFERROR(VLOOKUP(C1553, 作品一覧!A:B, 2, FALSE), "該当なし"))</f>
        <v>文豪ストレイドッグス</v>
      </c>
      <c r="E1553" s="1" t="str">
        <f ca="1">IFERROR(__xludf.DUMMYFUNCTION("""COMPUTED_VALUE"""),"シグマ")</f>
        <v>シグマ</v>
      </c>
      <c r="F1553" s="1" t="s">
        <v>2371</v>
      </c>
    </row>
    <row r="1554" spans="1:6" ht="13.2">
      <c r="A1554" s="1" t="str">
        <f t="array" aca="1" ref="A1554" ca="1">IF(B1554="", "", IFERROR(INDEX(声優一覧!A:A, MATCH(B1554, 声優一覧!B:B, 0)), "該当なし"))</f>
        <v>va_120</v>
      </c>
      <c r="B1554" s="1" t="str">
        <f ca="1">IFERROR(__xludf.DUMMYFUNCTION("""COMPUTED_VALUE"""),"津田健次郎")</f>
        <v>津田健次郎</v>
      </c>
      <c r="C1554" s="1" t="s">
        <v>246</v>
      </c>
      <c r="D1554" s="1" t="str">
        <f>IF(C1554="", "", IFERROR(VLOOKUP(C1554, 作品一覧!A:B, 2, FALSE), "該当なし"))</f>
        <v>文豪ストレイドッグス</v>
      </c>
      <c r="E1554" s="1" t="str">
        <f ca="1">IFERROR(__xludf.DUMMYFUNCTION("""COMPUTED_VALUE"""),"ブラム")</f>
        <v>ブラム</v>
      </c>
      <c r="F1554" s="1" t="s">
        <v>2372</v>
      </c>
    </row>
    <row r="1555" spans="1:6" ht="13.2">
      <c r="A1555" s="1" t="str">
        <f t="array" aca="1" ref="A1555" ca="1">IF(B1555="", "", IFERROR(INDEX(声優一覧!A:A, MATCH(B1555, 声優一覧!B:B, 0)), "該当なし"))</f>
        <v>va_374</v>
      </c>
      <c r="B1555" s="1" t="str">
        <f ca="1">IFERROR(__xludf.DUMMYFUNCTION("""COMPUTED_VALUE"""),"草尾毅")</f>
        <v>草尾毅</v>
      </c>
      <c r="C1555" s="1" t="s">
        <v>246</v>
      </c>
      <c r="D1555" s="1" t="str">
        <f>IF(C1555="", "", IFERROR(VLOOKUP(C1555, 作品一覧!A:B, 2, FALSE), "該当なし"))</f>
        <v>文豪ストレイドッグス</v>
      </c>
      <c r="E1555" s="1" t="str">
        <f ca="1">IFERROR(__xludf.DUMMYFUNCTION("""COMPUTED_VALUE"""),"小栗虫太郎")</f>
        <v>小栗虫太郎</v>
      </c>
      <c r="F1555" s="1" t="s">
        <v>2373</v>
      </c>
    </row>
    <row r="1556" spans="1:6" ht="13.2">
      <c r="A1556" s="1" t="str">
        <f t="array" aca="1" ref="A1556" ca="1">IF(B1556="", "", IFERROR(INDEX(声優一覧!A:A, MATCH(B1556, 声優一覧!B:B, 0)), "該当なし"))</f>
        <v>va_051</v>
      </c>
      <c r="B1556" s="1" t="str">
        <f ca="1">IFERROR(__xludf.DUMMYFUNCTION("""COMPUTED_VALUE"""),"梶裕貴")</f>
        <v>梶裕貴</v>
      </c>
      <c r="C1556" s="1" t="s">
        <v>246</v>
      </c>
      <c r="D1556" s="1" t="str">
        <f>IF(C1556="", "", IFERROR(VLOOKUP(C1556, 作品一覧!A:B, 2, FALSE), "該当なし"))</f>
        <v>文豪ストレイドッグス</v>
      </c>
      <c r="E1556" s="1" t="str">
        <f ca="1">IFERROR(__xludf.DUMMYFUNCTION("""COMPUTED_VALUE"""),"条野採菊")</f>
        <v>条野採菊</v>
      </c>
      <c r="F1556" s="1" t="s">
        <v>2374</v>
      </c>
    </row>
    <row r="1557" spans="1:6" ht="13.2">
      <c r="A1557" s="1" t="str">
        <f t="array" aca="1" ref="A1557" ca="1">IF(B1557="", "", IFERROR(INDEX(声優一覧!A:A, MATCH(B1557, 声優一覧!B:B, 0)), "該当なし"))</f>
        <v>va_003</v>
      </c>
      <c r="B1557" s="1" t="str">
        <f ca="1">IFERROR(__xludf.DUMMYFUNCTION("""COMPUTED_VALUE"""),"阿座上洋平")</f>
        <v>阿座上洋平</v>
      </c>
      <c r="C1557" s="1" t="s">
        <v>246</v>
      </c>
      <c r="D1557" s="1" t="str">
        <f>IF(C1557="", "", IFERROR(VLOOKUP(C1557, 作品一覧!A:B, 2, FALSE), "該当なし"))</f>
        <v>文豪ストレイドッグス</v>
      </c>
      <c r="E1557" s="1" t="str">
        <f ca="1">IFERROR(__xludf.DUMMYFUNCTION("""COMPUTED_VALUE"""),"末広鉄腸")</f>
        <v>末広鉄腸</v>
      </c>
      <c r="F1557" s="1" t="s">
        <v>2375</v>
      </c>
    </row>
    <row r="1558" spans="1:6" ht="13.2">
      <c r="A1558" s="1" t="str">
        <f t="array" aca="1" ref="A1558" ca="1">IF(B1558="", "", IFERROR(INDEX(声優一覧!A:A, MATCH(B1558, 声優一覧!B:B, 0)), "該当なし"))</f>
        <v>va_218</v>
      </c>
      <c r="B1558" s="1" t="str">
        <f ca="1">IFERROR(__xludf.DUMMYFUNCTION("""COMPUTED_VALUE"""),"林勇")</f>
        <v>林勇</v>
      </c>
      <c r="C1558" s="1" t="s">
        <v>246</v>
      </c>
      <c r="D1558" s="1" t="str">
        <f>IF(C1558="", "", IFERROR(VLOOKUP(C1558, 作品一覧!A:B, 2, FALSE), "該当なし"))</f>
        <v>文豪ストレイドッグス</v>
      </c>
      <c r="E1558" s="1" t="str">
        <f ca="1">IFERROR(__xludf.DUMMYFUNCTION("""COMPUTED_VALUE"""),"立原道造")</f>
        <v>立原道造</v>
      </c>
      <c r="F1558" s="1" t="s">
        <v>2376</v>
      </c>
    </row>
    <row r="1559" spans="1:6" ht="13.2">
      <c r="A1559" s="1" t="str">
        <f t="array" aca="1" ref="A1559" ca="1">IF(B1559="", "", IFERROR(INDEX(声優一覧!A:A, MATCH(B1559, 声優一覧!B:B, 0)), "該当なし"))</f>
        <v>va_375</v>
      </c>
      <c r="B1559" s="1" t="str">
        <f ca="1">IFERROR(__xludf.DUMMYFUNCTION("""COMPUTED_VALUE"""),"大塚明夫")</f>
        <v>大塚明夫</v>
      </c>
      <c r="C1559" s="1" t="s">
        <v>246</v>
      </c>
      <c r="D1559" s="1" t="str">
        <f>IF(C1559="", "", IFERROR(VLOOKUP(C1559, 作品一覧!A:B, 2, FALSE), "該当なし"))</f>
        <v>文豪ストレイドッグス</v>
      </c>
      <c r="E1559" s="1" t="str">
        <f ca="1">IFERROR(__xludf.DUMMYFUNCTION("""COMPUTED_VALUE"""),"福地桜痴")</f>
        <v>福地桜痴</v>
      </c>
      <c r="F1559" s="1" t="s">
        <v>2377</v>
      </c>
    </row>
    <row r="1560" spans="1:6" ht="13.2">
      <c r="A1560" s="1" t="str">
        <f t="array" aca="1" ref="A1560" ca="1">IF(B1560="", "", IFERROR(INDEX(声優一覧!A:A, MATCH(B1560, 声優一覧!B:B, 0)), "該当なし"))</f>
        <v>va_102</v>
      </c>
      <c r="B1560" s="1" t="str">
        <f ca="1">IFERROR(__xludf.DUMMYFUNCTION("""COMPUTED_VALUE"""),"諏訪部順一")</f>
        <v>諏訪部順一</v>
      </c>
      <c r="C1560" s="1" t="s">
        <v>246</v>
      </c>
      <c r="D1560" s="1" t="str">
        <f>IF(C1560="", "", IFERROR(VLOOKUP(C1560, 作品一覧!A:B, 2, FALSE), "該当なし"))</f>
        <v>文豪ストレイドッグス</v>
      </c>
      <c r="E1560" s="1" t="str">
        <f ca="1">IFERROR(__xludf.DUMMYFUNCTION("""COMPUTED_VALUE"""),"織田作之助")</f>
        <v>織田作之助</v>
      </c>
      <c r="F1560" s="1" t="s">
        <v>2378</v>
      </c>
    </row>
    <row r="1561" spans="1:6" ht="13.8">
      <c r="A1561" s="1" t="str">
        <f t="array" aca="1" ref="A1561" ca="1">IF(B1561="", "", IFERROR(INDEX(声優一覧!A:A, MATCH(B1561, 声優一覧!B:B, 0)), "該当なし"))</f>
        <v>va_304</v>
      </c>
      <c r="B1561" s="1" t="str">
        <f ca="1">IFERROR(__xludf.DUMMYFUNCTION("""COMPUTED_VALUE"""),"櫻井孝宏")</f>
        <v>櫻井孝宏</v>
      </c>
      <c r="C1561" s="1" t="s">
        <v>64</v>
      </c>
      <c r="D1561" s="1" t="str">
        <f>IF(C1561="", "", IFERROR(VLOOKUP(C1561, 作品一覧!A:B, 2, FALSE), "該当なし"))</f>
        <v>おそ松さん</v>
      </c>
      <c r="E1561" s="1" t="str">
        <f ca="1">IFERROR(__xludf.DUMMYFUNCTION("""COMPUTED_VALUE"""),"おそ松")</f>
        <v>おそ松</v>
      </c>
      <c r="F1561" s="12" t="s">
        <v>2379</v>
      </c>
    </row>
    <row r="1562" spans="1:6" ht="13.8">
      <c r="A1562" s="1" t="str">
        <f t="array" aca="1" ref="A1562" ca="1">IF(B1562="", "", IFERROR(INDEX(声優一覧!A:A, MATCH(B1562, 声優一覧!B:B, 0)), "該当なし"))</f>
        <v>va_137</v>
      </c>
      <c r="B1562" s="1" t="str">
        <f ca="1">IFERROR(__xludf.DUMMYFUNCTION("""COMPUTED_VALUE"""),"中村悠一")</f>
        <v>中村悠一</v>
      </c>
      <c r="C1562" s="1" t="s">
        <v>64</v>
      </c>
      <c r="D1562" s="1" t="str">
        <f>IF(C1562="", "", IFERROR(VLOOKUP(C1562, 作品一覧!A:B, 2, FALSE), "該当なし"))</f>
        <v>おそ松さん</v>
      </c>
      <c r="E1562" s="1" t="str">
        <f ca="1">IFERROR(__xludf.DUMMYFUNCTION("""COMPUTED_VALUE"""),"カラ松")</f>
        <v>カラ松</v>
      </c>
      <c r="F1562" s="12" t="s">
        <v>2380</v>
      </c>
    </row>
    <row r="1563" spans="1:6" ht="13.8">
      <c r="A1563" s="1" t="str">
        <f t="array" aca="1" ref="A1563" ca="1">IF(B1563="", "", IFERROR(INDEX(声優一覧!A:A, MATCH(B1563, 声優一覧!B:B, 0)), "該当なし"))</f>
        <v>va_298</v>
      </c>
      <c r="B1563" s="1" t="str">
        <f ca="1">IFERROR(__xludf.DUMMYFUNCTION("""COMPUTED_VALUE"""),"神谷浩史")</f>
        <v>神谷浩史</v>
      </c>
      <c r="C1563" s="1" t="s">
        <v>64</v>
      </c>
      <c r="D1563" s="1" t="str">
        <f>IF(C1563="", "", IFERROR(VLOOKUP(C1563, 作品一覧!A:B, 2, FALSE), "該当なし"))</f>
        <v>おそ松さん</v>
      </c>
      <c r="E1563" s="1" t="str">
        <f ca="1">IFERROR(__xludf.DUMMYFUNCTION("""COMPUTED_VALUE"""),"チョロ松")</f>
        <v>チョロ松</v>
      </c>
      <c r="F1563" s="12" t="s">
        <v>2381</v>
      </c>
    </row>
    <row r="1564" spans="1:6" ht="13.8">
      <c r="A1564" s="1" t="str">
        <f t="array" aca="1" ref="A1564" ca="1">IF(B1564="", "", IFERROR(INDEX(声優一覧!A:A, MATCH(B1564, 声優一覧!B:B, 0)), "該当なし"))</f>
        <v>va_160</v>
      </c>
      <c r="B1564" s="1" t="str">
        <f ca="1">IFERROR(__xludf.DUMMYFUNCTION("""COMPUTED_VALUE"""),"福山潤")</f>
        <v>福山潤</v>
      </c>
      <c r="C1564" s="1" t="s">
        <v>64</v>
      </c>
      <c r="D1564" s="1" t="str">
        <f>IF(C1564="", "", IFERROR(VLOOKUP(C1564, 作品一覧!A:B, 2, FALSE), "該当なし"))</f>
        <v>おそ松さん</v>
      </c>
      <c r="E1564" s="1" t="str">
        <f ca="1">IFERROR(__xludf.DUMMYFUNCTION("""COMPUTED_VALUE"""),"一松")</f>
        <v>一松</v>
      </c>
      <c r="F1564" s="12" t="s">
        <v>2382</v>
      </c>
    </row>
    <row r="1565" spans="1:6" ht="13.8">
      <c r="A1565" s="1" t="str">
        <f t="array" aca="1" ref="A1565" ca="1">IF(B1565="", "", IFERROR(INDEX(声優一覧!A:A, MATCH(B1565, 声優一覧!B:B, 0)), "該当なし"))</f>
        <v>va_238</v>
      </c>
      <c r="B1565" s="1" t="str">
        <f ca="1">IFERROR(__xludf.DUMMYFUNCTION("""COMPUTED_VALUE"""),"小野大輔")</f>
        <v>小野大輔</v>
      </c>
      <c r="C1565" s="1" t="s">
        <v>64</v>
      </c>
      <c r="D1565" s="1" t="str">
        <f>IF(C1565="", "", IFERROR(VLOOKUP(C1565, 作品一覧!A:B, 2, FALSE), "該当なし"))</f>
        <v>おそ松さん</v>
      </c>
      <c r="E1565" s="1" t="str">
        <f ca="1">IFERROR(__xludf.DUMMYFUNCTION("""COMPUTED_VALUE"""),"十四松")</f>
        <v>十四松</v>
      </c>
      <c r="F1565" s="12" t="s">
        <v>2383</v>
      </c>
    </row>
    <row r="1566" spans="1:6" ht="13.8">
      <c r="A1566" s="1" t="str">
        <f t="array" aca="1" ref="A1566" ca="1">IF(B1566="", "", IFERROR(INDEX(声優一覧!A:A, MATCH(B1566, 声優一覧!B:B, 0)), "該当なし"))</f>
        <v>va_025</v>
      </c>
      <c r="B1566" s="1" t="str">
        <f ca="1">IFERROR(__xludf.DUMMYFUNCTION("""COMPUTED_VALUE"""),"入野自由")</f>
        <v>入野自由</v>
      </c>
      <c r="C1566" s="1" t="s">
        <v>64</v>
      </c>
      <c r="D1566" s="1" t="str">
        <f>IF(C1566="", "", IFERROR(VLOOKUP(C1566, 作品一覧!A:B, 2, FALSE), "該当なし"))</f>
        <v>おそ松さん</v>
      </c>
      <c r="E1566" s="1" t="str">
        <f ca="1">IFERROR(__xludf.DUMMYFUNCTION("""COMPUTED_VALUE"""),"トド松")</f>
        <v>トド松</v>
      </c>
      <c r="F1566" s="12" t="s">
        <v>2384</v>
      </c>
    </row>
    <row r="1567" spans="1:6" ht="13.8">
      <c r="A1567" s="1" t="str">
        <f t="array" aca="1" ref="A1567" ca="1">IF(B1567="", "", IFERROR(INDEX(声優一覧!A:A, MATCH(B1567, 声優一覧!B:B, 0)), "該当なし"))</f>
        <v>va_019</v>
      </c>
      <c r="B1567" s="1" t="str">
        <f ca="1">IFERROR(__xludf.DUMMYFUNCTION("""COMPUTED_VALUE"""),"伊東健人")</f>
        <v>伊東健人</v>
      </c>
      <c r="C1567" s="1" t="s">
        <v>125</v>
      </c>
      <c r="D1567" s="1" t="str">
        <f>IF(C1567="", "", IFERROR(VLOOKUP(C1567, 作品一覧!A:B, 2, FALSE), "該当なし"))</f>
        <v>SHOW BY ROCK!! STARS!!</v>
      </c>
      <c r="E1567" s="1" t="str">
        <f ca="1">IFERROR(__xludf.DUMMYFUNCTION("""COMPUTED_VALUE"""),"ヤス")</f>
        <v>ヤス</v>
      </c>
      <c r="F1567" s="10" t="s">
        <v>2385</v>
      </c>
    </row>
    <row r="1568" spans="1:6" ht="13.8">
      <c r="A1568" s="1" t="str">
        <f t="array" aca="1" ref="A1568" ca="1">IF(B1568="", "", IFERROR(INDEX(声優一覧!A:A, MATCH(B1568, 声優一覧!B:B, 0)), "該当なし"))</f>
        <v>va_076</v>
      </c>
      <c r="B1568" s="1" t="str">
        <f ca="1">IFERROR(__xludf.DUMMYFUNCTION("""COMPUTED_VALUE"""),"小松昌平")</f>
        <v>小松昌平</v>
      </c>
      <c r="C1568" s="1" t="s">
        <v>125</v>
      </c>
      <c r="D1568" s="1" t="str">
        <f>IF(C1568="", "", IFERROR(VLOOKUP(C1568, 作品一覧!A:B, 2, FALSE), "該当なし"))</f>
        <v>SHOW BY ROCK!! STARS!!</v>
      </c>
      <c r="E1568" s="1" t="str">
        <f ca="1">IFERROR(__xludf.DUMMYFUNCTION("""COMPUTED_VALUE"""),"ハッチン")</f>
        <v>ハッチン</v>
      </c>
      <c r="F1568" s="10" t="s">
        <v>2386</v>
      </c>
    </row>
    <row r="1569" spans="1:6" ht="13.8">
      <c r="A1569" s="1" t="str">
        <f t="array" aca="1" ref="A1569" ca="1">IF(B1569="", "", IFERROR(INDEX(声優一覧!A:A, MATCH(B1569, 声優一覧!B:B, 0)), "該当なし"))</f>
        <v>va_046</v>
      </c>
      <c r="B1569" s="1" t="str">
        <f ca="1">IFERROR(__xludf.DUMMYFUNCTION("""COMPUTED_VALUE"""),"小野友樹")</f>
        <v>小野友樹</v>
      </c>
      <c r="C1569" s="1" t="s">
        <v>125</v>
      </c>
      <c r="D1569" s="1" t="str">
        <f>IF(C1569="", "", IFERROR(VLOOKUP(C1569, 作品一覧!A:B, 2, FALSE), "該当なし"))</f>
        <v>SHOW BY ROCK!! STARS!!</v>
      </c>
      <c r="E1569" s="1" t="str">
        <f ca="1">IFERROR(__xludf.DUMMYFUNCTION("""COMPUTED_VALUE"""),"ジョウ")</f>
        <v>ジョウ</v>
      </c>
      <c r="F1569" s="10" t="s">
        <v>2387</v>
      </c>
    </row>
    <row r="1570" spans="1:6" ht="13.8">
      <c r="A1570" s="1" t="str">
        <f t="array" aca="1" ref="A1570" ca="1">IF(B1570="", "", IFERROR(INDEX(声優一覧!A:A, MATCH(B1570, 声優一覧!B:B, 0)), "該当なし"))</f>
        <v>va_096</v>
      </c>
      <c r="B1570" s="1" t="str">
        <f ca="1">IFERROR(__xludf.DUMMYFUNCTION("""COMPUTED_VALUE"""),"白井悠介")</f>
        <v>白井悠介</v>
      </c>
      <c r="C1570" s="1" t="s">
        <v>125</v>
      </c>
      <c r="D1570" s="1" t="str">
        <f>IF(C1570="", "", IFERROR(VLOOKUP(C1570, 作品一覧!A:B, 2, FALSE), "該当なし"))</f>
        <v>SHOW BY ROCK!! STARS!!</v>
      </c>
      <c r="E1570" s="1" t="str">
        <f ca="1">IFERROR(__xludf.DUMMYFUNCTION("""COMPUTED_VALUE"""),"双循")</f>
        <v>双循</v>
      </c>
      <c r="F1570" s="10" t="s">
        <v>2388</v>
      </c>
    </row>
    <row r="1571" spans="1:6" ht="13.8">
      <c r="A1571" s="1" t="str">
        <f t="array" aca="1" ref="A1571" ca="1">IF(B1571="", "", IFERROR(INDEX(声優一覧!A:A, MATCH(B1571, 声優一覧!B:B, 0)), "該当なし"))</f>
        <v>va_115</v>
      </c>
      <c r="B1571" s="1" t="str">
        <f ca="1">IFERROR(__xludf.DUMMYFUNCTION("""COMPUTED_VALUE"""),"谷山紀章")</f>
        <v>谷山紀章</v>
      </c>
      <c r="C1571" s="1" t="s">
        <v>125</v>
      </c>
      <c r="D1571" s="1" t="str">
        <f>IF(C1571="", "", IFERROR(VLOOKUP(C1571, 作品一覧!A:B, 2, FALSE), "該当なし"))</f>
        <v>SHOW BY ROCK!! STARS!!</v>
      </c>
      <c r="E1571" s="1" t="str">
        <f ca="1">IFERROR(__xludf.DUMMYFUNCTION("""COMPUTED_VALUE"""),"クロウ")</f>
        <v>クロウ</v>
      </c>
      <c r="F1571" s="10" t="s">
        <v>2389</v>
      </c>
    </row>
    <row r="1572" spans="1:6" ht="13.8">
      <c r="A1572" s="1" t="str">
        <f t="array" aca="1" ref="A1572" ca="1">IF(B1572="", "", IFERROR(INDEX(声優一覧!A:A, MATCH(B1572, 声優一覧!B:B, 0)), "該当なし"))</f>
        <v>va_031</v>
      </c>
      <c r="B1572" s="1" t="str">
        <f ca="1">IFERROR(__xludf.DUMMYFUNCTION("""COMPUTED_VALUE"""),"内山昂輝")</f>
        <v>内山昂輝</v>
      </c>
      <c r="C1572" s="1" t="s">
        <v>125</v>
      </c>
      <c r="D1572" s="1" t="str">
        <f>IF(C1572="", "", IFERROR(VLOOKUP(C1572, 作品一覧!A:B, 2, FALSE), "該当なし"))</f>
        <v>SHOW BY ROCK!! STARS!!</v>
      </c>
      <c r="E1572" s="1" t="str">
        <f ca="1">IFERROR(__xludf.DUMMYFUNCTION("""COMPUTED_VALUE"""),"アイオーン")</f>
        <v>アイオーン</v>
      </c>
      <c r="F1572" s="10" t="s">
        <v>2390</v>
      </c>
    </row>
    <row r="1573" spans="1:6" ht="13.8">
      <c r="A1573" s="1" t="str">
        <f t="array" aca="1" ref="A1573" ca="1">IF(B1573="", "", IFERROR(INDEX(声優一覧!A:A, MATCH(B1573, 声優一覧!B:B, 0)), "該当なし"))</f>
        <v>va_048</v>
      </c>
      <c r="B1573" s="1" t="str">
        <f ca="1">IFERROR(__xludf.DUMMYFUNCTION("""COMPUTED_VALUE"""),"柿原徹也")</f>
        <v>柿原徹也</v>
      </c>
      <c r="C1573" s="1" t="s">
        <v>125</v>
      </c>
      <c r="D1573" s="1" t="str">
        <f>IF(C1573="", "", IFERROR(VLOOKUP(C1573, 作品一覧!A:B, 2, FALSE), "該当なし"))</f>
        <v>SHOW BY ROCK!! STARS!!</v>
      </c>
      <c r="E1573" s="1" t="str">
        <f ca="1">IFERROR(__xludf.DUMMYFUNCTION("""COMPUTED_VALUE"""),"ヤイバ")</f>
        <v>ヤイバ</v>
      </c>
      <c r="F1573" s="10" t="s">
        <v>2391</v>
      </c>
    </row>
    <row r="1574" spans="1:6" ht="13.8">
      <c r="A1574" s="1" t="str">
        <f t="array" aca="1" ref="A1574" ca="1">IF(B1574="", "", IFERROR(INDEX(声優一覧!A:A, MATCH(B1574, 声優一覧!B:B, 0)), "該当なし"))</f>
        <v>va_164</v>
      </c>
      <c r="B1574" s="1" t="str">
        <f ca="1">IFERROR(__xludf.DUMMYFUNCTION("""COMPUTED_VALUE"""),"細谷佳正")</f>
        <v>細谷佳正</v>
      </c>
      <c r="C1574" s="1" t="s">
        <v>125</v>
      </c>
      <c r="D1574" s="1" t="str">
        <f>IF(C1574="", "", IFERROR(VLOOKUP(C1574, 作品一覧!A:B, 2, FALSE), "該当なし"))</f>
        <v>SHOW BY ROCK!! STARS!!</v>
      </c>
      <c r="E1574" s="1" t="str">
        <f ca="1">IFERROR(__xludf.DUMMYFUNCTION("""COMPUTED_VALUE"""),"ロム")</f>
        <v>ロム</v>
      </c>
      <c r="F1574" s="10" t="s">
        <v>2392</v>
      </c>
    </row>
    <row r="1575" spans="1:6" ht="13.8">
      <c r="A1575" s="1" t="str">
        <f t="array" aca="1" ref="A1575" ca="1">IF(B1575="", "", IFERROR(INDEX(声優一覧!A:A, MATCH(B1575, 声優一覧!B:B, 0)), "該当なし"))</f>
        <v>va_236</v>
      </c>
      <c r="B1575" s="1" t="str">
        <f ca="1">IFERROR(__xludf.DUMMYFUNCTION("""COMPUTED_VALUE"""),"宮野真守")</f>
        <v>宮野真守</v>
      </c>
      <c r="C1575" s="1" t="s">
        <v>125</v>
      </c>
      <c r="D1575" s="1" t="str">
        <f>IF(C1575="", "", IFERROR(VLOOKUP(C1575, 作品一覧!A:B, 2, FALSE), "該当なし"))</f>
        <v>SHOW BY ROCK!! STARS!!</v>
      </c>
      <c r="E1575" s="1" t="str">
        <f ca="1">IFERROR(__xludf.DUMMYFUNCTION("""COMPUTED_VALUE"""),"シュウ☆ゾー")</f>
        <v>シュウ☆ゾー</v>
      </c>
      <c r="F1575" s="10" t="s">
        <v>2393</v>
      </c>
    </row>
    <row r="1576" spans="1:6" ht="13.8">
      <c r="A1576" s="1" t="str">
        <f t="array" aca="1" ref="A1576" ca="1">IF(B1576="", "", IFERROR(INDEX(声優一覧!A:A, MATCH(B1576, 声優一覧!B:B, 0)), "該当なし"))</f>
        <v>va_183</v>
      </c>
      <c r="B1576" s="1" t="str">
        <f ca="1">IFERROR(__xludf.DUMMYFUNCTION("""COMPUTED_VALUE"""),"村瀬歩")</f>
        <v>村瀬歩</v>
      </c>
      <c r="C1576" s="1" t="s">
        <v>125</v>
      </c>
      <c r="D1576" s="1" t="str">
        <f>IF(C1576="", "", IFERROR(VLOOKUP(C1576, 作品一覧!A:B, 2, FALSE), "該当なし"))</f>
        <v>SHOW BY ROCK!! STARS!!</v>
      </c>
      <c r="E1576" s="1" t="str">
        <f ca="1">IFERROR(__xludf.DUMMYFUNCTION("""COMPUTED_VALUE"""),"リク")</f>
        <v>リク</v>
      </c>
      <c r="F1576" s="10" t="s">
        <v>2394</v>
      </c>
    </row>
    <row r="1577" spans="1:6" ht="13.8">
      <c r="A1577" s="1" t="str">
        <f t="array" aca="1" ref="A1577" ca="1">IF(B1577="", "", IFERROR(INDEX(声優一覧!A:A, MATCH(B1577, 声優一覧!B:B, 0)), "該当なし"))</f>
        <v>va_037</v>
      </c>
      <c r="B1577" s="1" t="str">
        <f ca="1">IFERROR(__xludf.DUMMYFUNCTION("""COMPUTED_VALUE"""),"逢坂良太")</f>
        <v>逢坂良太</v>
      </c>
      <c r="C1577" s="1" t="s">
        <v>125</v>
      </c>
      <c r="D1577" s="1" t="str">
        <f>IF(C1577="", "", IFERROR(VLOOKUP(C1577, 作品一覧!A:B, 2, FALSE), "該当なし"))</f>
        <v>SHOW BY ROCK!! STARS!!</v>
      </c>
      <c r="E1577" s="1" t="str">
        <f ca="1">IFERROR(__xludf.DUMMYFUNCTION("""COMPUTED_VALUE"""),"カイ")</f>
        <v>カイ</v>
      </c>
      <c r="F1577" s="10" t="s">
        <v>2395</v>
      </c>
    </row>
    <row r="1578" spans="1:6" ht="13.8">
      <c r="A1578" s="1" t="str">
        <f t="array" aca="1" ref="A1578" ca="1">IF(B1578="", "", IFERROR(INDEX(声優一覧!A:A, MATCH(B1578, 声優一覧!B:B, 0)), "該当なし"))</f>
        <v>va_075</v>
      </c>
      <c r="B1578" s="1" t="str">
        <f ca="1">IFERROR(__xludf.DUMMYFUNCTION("""COMPUTED_VALUE"""),"小林裕介")</f>
        <v>小林裕介</v>
      </c>
      <c r="C1578" s="1" t="s">
        <v>125</v>
      </c>
      <c r="D1578" s="1" t="str">
        <f>IF(C1578="", "", IFERROR(VLOOKUP(C1578, 作品一覧!A:B, 2, FALSE), "該当なし"))</f>
        <v>SHOW BY ROCK!! STARS!!</v>
      </c>
      <c r="E1578" s="1" t="str">
        <f ca="1">IFERROR(__xludf.DUMMYFUNCTION("""COMPUTED_VALUE"""),"チタン")</f>
        <v>チタン</v>
      </c>
      <c r="F1578" s="10" t="s">
        <v>2396</v>
      </c>
    </row>
    <row r="1579" spans="1:6" ht="13.8">
      <c r="A1579" s="1" t="str">
        <f t="array" aca="1" ref="A1579" ca="1">IF(B1579="", "", IFERROR(INDEX(声優一覧!A:A, MATCH(B1579, 声優一覧!B:B, 0)), "該当なし"))</f>
        <v>va_188</v>
      </c>
      <c r="B1579" s="1" t="str">
        <f ca="1">IFERROR(__xludf.DUMMYFUNCTION("""COMPUTED_VALUE"""),"八代拓")</f>
        <v>八代拓</v>
      </c>
      <c r="C1579" s="1" t="s">
        <v>125</v>
      </c>
      <c r="D1579" s="1" t="str">
        <f>IF(C1579="", "", IFERROR(VLOOKUP(C1579, 作品一覧!A:B, 2, FALSE), "該当なし"))</f>
        <v>SHOW BY ROCK!! STARS!!</v>
      </c>
      <c r="E1579" s="1" t="str">
        <f ca="1">IFERROR(__xludf.DUMMYFUNCTION("""COMPUTED_VALUE"""),"オリオン")</f>
        <v>オリオン</v>
      </c>
      <c r="F1579" s="10" t="s">
        <v>2397</v>
      </c>
    </row>
    <row r="1580" spans="1:6" ht="13.8">
      <c r="A1580" s="1" t="str">
        <f t="array" aca="1" ref="A1580" ca="1">IF(B1580="", "", IFERROR(INDEX(声優一覧!A:A, MATCH(B1580, 声優一覧!B:B, 0)), "該当なし"))</f>
        <v>va_376</v>
      </c>
      <c r="B1580" s="1" t="str">
        <f ca="1">IFERROR(__xludf.DUMMYFUNCTION("""COMPUTED_VALUE"""),"筆村栄心")</f>
        <v>筆村栄心</v>
      </c>
      <c r="C1580" s="1" t="s">
        <v>125</v>
      </c>
      <c r="D1580" s="1" t="str">
        <f>IF(C1580="", "", IFERROR(VLOOKUP(C1580, 作品一覧!A:B, 2, FALSE), "該当なし"))</f>
        <v>SHOW BY ROCK!! STARS!!</v>
      </c>
      <c r="E1580" s="1" t="str">
        <f ca="1">IFERROR(__xludf.DUMMYFUNCTION("""COMPUTED_VALUE"""),"セレン")</f>
        <v>セレン</v>
      </c>
      <c r="F1580" s="10" t="s">
        <v>2398</v>
      </c>
    </row>
    <row r="1581" spans="1:6" ht="13.8">
      <c r="A1581" s="1" t="str">
        <f t="array" aca="1" ref="A1581" ca="1">IF(B1581="", "", IFERROR(INDEX(声優一覧!A:A, MATCH(B1581, 声優一覧!B:B, 0)), "該当なし"))</f>
        <v>va_092</v>
      </c>
      <c r="B1581" s="1" t="str">
        <f ca="1">IFERROR(__xludf.DUMMYFUNCTION("""COMPUTED_VALUE"""),"沢城千春")</f>
        <v>沢城千春</v>
      </c>
      <c r="C1581" s="1" t="s">
        <v>125</v>
      </c>
      <c r="D1581" s="1" t="str">
        <f>IF(C1581="", "", IFERROR(VLOOKUP(C1581, 作品一覧!A:B, 2, FALSE), "該当なし"))</f>
        <v>SHOW BY ROCK!! STARS!!</v>
      </c>
      <c r="E1581" s="1" t="str">
        <f ca="1">IFERROR(__xludf.DUMMYFUNCTION("""COMPUTED_VALUE"""),"アルゴン")</f>
        <v>アルゴン</v>
      </c>
      <c r="F1581" s="10" t="s">
        <v>2399</v>
      </c>
    </row>
    <row r="1582" spans="1:6" ht="13.8">
      <c r="A1582" s="1" t="str">
        <f t="array" aca="1" ref="A1582" ca="1">IF(B1582="", "", IFERROR(INDEX(声優一覧!A:A, MATCH(B1582, 声優一覧!B:B, 0)), "該当なし"))</f>
        <v>va_161</v>
      </c>
      <c r="B1582" s="1" t="str">
        <f ca="1">IFERROR(__xludf.DUMMYFUNCTION("""COMPUTED_VALUE"""),"古川慎")</f>
        <v>古川慎</v>
      </c>
      <c r="C1582" s="1" t="s">
        <v>125</v>
      </c>
      <c r="D1582" s="1" t="str">
        <f>IF(C1582="", "", IFERROR(VLOOKUP(C1582, 作品一覧!A:B, 2, FALSE), "該当なし"))</f>
        <v>SHOW BY ROCK!! STARS!!</v>
      </c>
      <c r="E1582" s="1" t="str">
        <f ca="1">IFERROR(__xludf.DUMMYFUNCTION("""COMPUTED_VALUE"""),"リカオ")</f>
        <v>リカオ</v>
      </c>
      <c r="F1582" s="10" t="s">
        <v>2400</v>
      </c>
    </row>
    <row r="1583" spans="1:6" ht="13.8">
      <c r="A1583" s="1" t="str">
        <f t="array" aca="1" ref="A1583" ca="1">IF(B1583="", "", IFERROR(INDEX(声優一覧!A:A, MATCH(B1583, 声優一覧!B:B, 0)), "該当なし"))</f>
        <v>va_023</v>
      </c>
      <c r="B1583" s="1" t="str">
        <f ca="1">IFERROR(__xludf.DUMMYFUNCTION("""COMPUTED_VALUE"""),"今井文也")</f>
        <v>今井文也</v>
      </c>
      <c r="C1583" s="1" t="s">
        <v>249</v>
      </c>
      <c r="D1583" s="1" t="str">
        <f>IF(C1583="", "", IFERROR(VLOOKUP(C1583, 作品一覧!A:B, 2, FALSE), "該当なし"))</f>
        <v>プロジェクトセカイ カラフルステージ! feat. 初音ミク</v>
      </c>
      <c r="E1583" s="1" t="str">
        <f ca="1">IFERROR(__xludf.DUMMYFUNCTION("""COMPUTED_VALUE"""),"東雲彰人")</f>
        <v>東雲彰人</v>
      </c>
      <c r="F1583" s="10" t="s">
        <v>2401</v>
      </c>
    </row>
    <row r="1584" spans="1:6" ht="13.8">
      <c r="A1584" s="1" t="str">
        <f t="array" aca="1" ref="A1584" ca="1">IF(B1584="", "", IFERROR(INDEX(声優一覧!A:A, MATCH(B1584, 声優一覧!B:B, 0)), "該当なし"))</f>
        <v>va_019</v>
      </c>
      <c r="B1584" s="1" t="str">
        <f ca="1">IFERROR(__xludf.DUMMYFUNCTION("""COMPUTED_VALUE"""),"伊東健人")</f>
        <v>伊東健人</v>
      </c>
      <c r="C1584" s="1" t="s">
        <v>249</v>
      </c>
      <c r="D1584" s="1" t="str">
        <f>IF(C1584="", "", IFERROR(VLOOKUP(C1584, 作品一覧!A:B, 2, FALSE), "該当なし"))</f>
        <v>プロジェクトセカイ カラフルステージ! feat. 初音ミク</v>
      </c>
      <c r="E1584" s="1" t="str">
        <f ca="1">IFERROR(__xludf.DUMMYFUNCTION("""COMPUTED_VALUE"""),"青柳冬弥")</f>
        <v>青柳冬弥</v>
      </c>
      <c r="F1584" s="10" t="s">
        <v>2402</v>
      </c>
    </row>
    <row r="1585" spans="1:6" ht="13.8">
      <c r="A1585" s="1" t="str">
        <f t="array" aca="1" ref="A1585" ca="1">IF(B1585="", "", IFERROR(INDEX(声優一覧!A:A, MATCH(B1585, 声優一覧!B:B, 0)), "該当なし"))</f>
        <v>va_154</v>
      </c>
      <c r="B1585" s="1" t="str">
        <f ca="1">IFERROR(__xludf.DUMMYFUNCTION("""COMPUTED_VALUE"""),"廣瀬大介")</f>
        <v>廣瀬大介</v>
      </c>
      <c r="C1585" s="1" t="s">
        <v>249</v>
      </c>
      <c r="D1585" s="1" t="str">
        <f>IF(C1585="", "", IFERROR(VLOOKUP(C1585, 作品一覧!A:B, 2, FALSE), "該当なし"))</f>
        <v>プロジェクトセカイ カラフルステージ! feat. 初音ミク</v>
      </c>
      <c r="E1585" s="1" t="str">
        <f ca="1">IFERROR(__xludf.DUMMYFUNCTION("""COMPUTED_VALUE"""),"天馬司")</f>
        <v>天馬司</v>
      </c>
      <c r="F1585" s="10" t="s">
        <v>2403</v>
      </c>
    </row>
    <row r="1586" spans="1:6" ht="13.8">
      <c r="A1586" s="1" t="str">
        <f t="array" aca="1" ref="A1586" ca="1">IF(B1586="", "", IFERROR(INDEX(声優一覧!A:A, MATCH(B1586, 声優一覧!B:B, 0)), "該当なし"))</f>
        <v>va_129</v>
      </c>
      <c r="B1586" s="1" t="str">
        <f ca="1">IFERROR(__xludf.DUMMYFUNCTION("""COMPUTED_VALUE"""),"土岐隼一")</f>
        <v>土岐隼一</v>
      </c>
      <c r="C1586" s="1" t="s">
        <v>249</v>
      </c>
      <c r="D1586" s="1" t="str">
        <f>IF(C1586="", "", IFERROR(VLOOKUP(C1586, 作品一覧!A:B, 2, FALSE), "該当なし"))</f>
        <v>プロジェクトセカイ カラフルステージ! feat. 初音ミク</v>
      </c>
      <c r="E1586" s="1" t="str">
        <f ca="1">IFERROR(__xludf.DUMMYFUNCTION("""COMPUTED_VALUE"""),"神代類")</f>
        <v>神代類</v>
      </c>
      <c r="F1586" s="10" t="s">
        <v>2404</v>
      </c>
    </row>
    <row r="1587" spans="1:6" ht="13.8">
      <c r="A1587" s="1" t="str">
        <f t="array" aca="1" ref="A1587" ca="1">IF(B1587="", "", IFERROR(INDEX(声優一覧!A:A, MATCH(B1587, 声優一覧!B:B, 0)), "該当なし"))</f>
        <v>va_132</v>
      </c>
      <c r="B1587" s="1" t="str">
        <f ca="1">IFERROR(__xludf.DUMMYFUNCTION("""COMPUTED_VALUE"""),"鳥海浩輔")</f>
        <v>鳥海浩輔</v>
      </c>
      <c r="C1587" s="1" t="s">
        <v>103</v>
      </c>
      <c r="D1587" s="1" t="str">
        <f>IF(C1587="", "", IFERROR(VLOOKUP(C1587, 作品一覧!A:B, 2, FALSE), "該当なし"))</f>
        <v>原神</v>
      </c>
      <c r="E1587" s="1" t="str">
        <f ca="1">IFERROR(__xludf.DUMMYFUNCTION("""COMPUTED_VALUE"""),"ガイア")</f>
        <v>ガイア</v>
      </c>
      <c r="F1587" s="10" t="s">
        <v>2405</v>
      </c>
    </row>
    <row r="1588" spans="1:6" ht="13.8">
      <c r="A1588" s="1" t="str">
        <f t="array" aca="1" ref="A1588" ca="1">IF(B1588="", "", IFERROR(INDEX(声優一覧!A:A, MATCH(B1588, 声優一覧!B:B, 0)), "該当なし"))</f>
        <v>va_045</v>
      </c>
      <c r="B1588" s="1" t="str">
        <f ca="1">IFERROR(__xludf.DUMMYFUNCTION("""COMPUTED_VALUE"""),"小野賢章")</f>
        <v>小野賢章</v>
      </c>
      <c r="C1588" s="1" t="s">
        <v>103</v>
      </c>
      <c r="D1588" s="1" t="str">
        <f>IF(C1588="", "", IFERROR(VLOOKUP(C1588, 作品一覧!A:B, 2, FALSE), "該当なし"))</f>
        <v>原神</v>
      </c>
      <c r="E1588" s="1" t="str">
        <f ca="1">IFERROR(__xludf.DUMMYFUNCTION("""COMPUTED_VALUE"""),"ディルック")</f>
        <v>ディルック</v>
      </c>
      <c r="F1588" s="10" t="s">
        <v>2406</v>
      </c>
    </row>
    <row r="1589" spans="1:6" ht="13.8">
      <c r="A1589" s="1" t="str">
        <f t="array" aca="1" ref="A1589" ca="1">IF(B1589="", "", IFERROR(INDEX(声優一覧!A:A, MATCH(B1589, 声優一覧!B:B, 0)), "該当なし"))</f>
        <v>va_031</v>
      </c>
      <c r="B1589" s="1" t="str">
        <f ca="1">IFERROR(__xludf.DUMMYFUNCTION("""COMPUTED_VALUE"""),"内山昂輝")</f>
        <v>内山昂輝</v>
      </c>
      <c r="C1589" s="1" t="s">
        <v>103</v>
      </c>
      <c r="D1589" s="1" t="str">
        <f>IF(C1589="", "", IFERROR(VLOOKUP(C1589, 作品一覧!A:B, 2, FALSE), "該当なし"))</f>
        <v>原神</v>
      </c>
      <c r="E1589" s="1" t="str">
        <f ca="1">IFERROR(__xludf.DUMMYFUNCTION("""COMPUTED_VALUE"""),"レザー")</f>
        <v>レザー</v>
      </c>
      <c r="F1589" s="10" t="s">
        <v>2407</v>
      </c>
    </row>
    <row r="1590" spans="1:6" ht="13.8">
      <c r="A1590" s="1" t="str">
        <f t="array" aca="1" ref="A1590" ca="1">IF(B1590="", "", IFERROR(INDEX(声優一覧!A:A, MATCH(B1590, 声優一覧!B:B, 0)), "該当なし"))</f>
        <v>va_037</v>
      </c>
      <c r="B1590" s="1" t="str">
        <f ca="1">IFERROR(__xludf.DUMMYFUNCTION("""COMPUTED_VALUE"""),"逢坂良太")</f>
        <v>逢坂良太</v>
      </c>
      <c r="C1590" s="1" t="s">
        <v>103</v>
      </c>
      <c r="D1590" s="1" t="str">
        <f>IF(C1590="", "", IFERROR(VLOOKUP(C1590, 作品一覧!A:B, 2, FALSE), "該当なし"))</f>
        <v>原神</v>
      </c>
      <c r="E1590" s="1" t="str">
        <f ca="1">IFERROR(__xludf.DUMMYFUNCTION("""COMPUTED_VALUE"""),"ベネット")</f>
        <v>ベネット</v>
      </c>
      <c r="F1590" s="10" t="s">
        <v>2408</v>
      </c>
    </row>
    <row r="1591" spans="1:6" ht="13.8">
      <c r="A1591" s="1" t="str">
        <f t="array" aca="1" ref="A1591" ca="1">IF(B1591="", "", IFERROR(INDEX(声優一覧!A:A, MATCH(B1591, 声優一覧!B:B, 0)), "該当なし"))</f>
        <v>va_183</v>
      </c>
      <c r="B1591" s="1" t="str">
        <f ca="1">IFERROR(__xludf.DUMMYFUNCTION("""COMPUTED_VALUE"""),"村瀬歩")</f>
        <v>村瀬歩</v>
      </c>
      <c r="C1591" s="1" t="s">
        <v>103</v>
      </c>
      <c r="D1591" s="1" t="str">
        <f>IF(C1591="", "", IFERROR(VLOOKUP(C1591, 作品一覧!A:B, 2, FALSE), "該当なし"))</f>
        <v>原神</v>
      </c>
      <c r="E1591" s="1" t="str">
        <f ca="1">IFERROR(__xludf.DUMMYFUNCTION("""COMPUTED_VALUE"""),"ウェンティ")</f>
        <v>ウェンティ</v>
      </c>
      <c r="F1591" s="10" t="s">
        <v>2409</v>
      </c>
    </row>
    <row r="1592" spans="1:6" ht="13.8">
      <c r="A1592" s="1" t="str">
        <f t="array" aca="1" ref="A1592" ca="1">IF(B1592="", "", IFERROR(INDEX(声優一覧!A:A, MATCH(B1592, 声優一覧!B:B, 0)), "該当なし"))</f>
        <v>va_143</v>
      </c>
      <c r="B1592" s="1" t="str">
        <f ca="1">IFERROR(__xludf.DUMMYFUNCTION("""COMPUTED_VALUE"""),"野島健児")</f>
        <v>野島健児</v>
      </c>
      <c r="C1592" s="1" t="s">
        <v>103</v>
      </c>
      <c r="D1592" s="1" t="str">
        <f>IF(C1592="", "", IFERROR(VLOOKUP(C1592, 作品一覧!A:B, 2, FALSE), "該当なし"))</f>
        <v>原神</v>
      </c>
      <c r="E1592" s="1" t="str">
        <f ca="1">IFERROR(__xludf.DUMMYFUNCTION("""COMPUTED_VALUE"""),"アルベド")</f>
        <v>アルベド</v>
      </c>
      <c r="F1592" s="10" t="s">
        <v>2410</v>
      </c>
    </row>
    <row r="1593" spans="1:6" ht="13.8">
      <c r="A1593" s="1" t="str">
        <f t="array" aca="1" ref="A1593" ca="1">IF(B1593="", "", IFERROR(INDEX(声優一覧!A:A, MATCH(B1593, 声優一覧!B:B, 0)), "該当なし"))</f>
        <v>va_195</v>
      </c>
      <c r="B1593" s="1" t="str">
        <f ca="1">IFERROR(__xludf.DUMMYFUNCTION("""COMPUTED_VALUE"""),"山本和臣")</f>
        <v>山本和臣</v>
      </c>
      <c r="C1593" s="1" t="s">
        <v>103</v>
      </c>
      <c r="D1593" s="1" t="str">
        <f>IF(C1593="", "", IFERROR(VLOOKUP(C1593, 作品一覧!A:B, 2, FALSE), "該当なし"))</f>
        <v>原神</v>
      </c>
      <c r="E1593" s="1" t="str">
        <f ca="1">IFERROR(__xludf.DUMMYFUNCTION("""COMPUTED_VALUE"""),"ダリア")</f>
        <v>ダリア</v>
      </c>
      <c r="F1593" s="10" t="s">
        <v>2411</v>
      </c>
    </row>
    <row r="1594" spans="1:6" ht="13.8">
      <c r="A1594" s="1" t="str">
        <f t="array" aca="1" ref="A1594" ca="1">IF(B1594="", "", IFERROR(INDEX(声優一覧!A:A, MATCH(B1594, 声優一覧!B:B, 0)), "該当なし"))</f>
        <v>va_072</v>
      </c>
      <c r="B1594" s="1" t="str">
        <f ca="1">IFERROR(__xludf.DUMMYFUNCTION("""COMPUTED_VALUE"""),"小林千晃")</f>
        <v>小林千晃</v>
      </c>
      <c r="C1594" s="1" t="s">
        <v>103</v>
      </c>
      <c r="D1594" s="1" t="str">
        <f>IF(C1594="", "", IFERROR(VLOOKUP(C1594, 作品一覧!A:B, 2, FALSE), "該当なし"))</f>
        <v>原神</v>
      </c>
      <c r="E1594" s="1" t="str">
        <f ca="1">IFERROR(__xludf.DUMMYFUNCTION("""COMPUTED_VALUE"""),"ドゥリン")</f>
        <v>ドゥリン</v>
      </c>
      <c r="F1594" s="10" t="s">
        <v>2412</v>
      </c>
    </row>
    <row r="1595" spans="1:6" ht="13.8">
      <c r="A1595" s="1" t="str">
        <f t="array" aca="1" ref="A1595" ca="1">IF(B1595="", "", IFERROR(INDEX(声優一覧!A:A, MATCH(B1595, 声優一覧!B:B, 0)), "該当なし"))</f>
        <v>va_173</v>
      </c>
      <c r="B1595" s="1" t="str">
        <f ca="1">IFERROR(__xludf.DUMMYFUNCTION("""COMPUTED_VALUE"""),"松岡禎丞")</f>
        <v>松岡禎丞</v>
      </c>
      <c r="C1595" s="1" t="s">
        <v>103</v>
      </c>
      <c r="D1595" s="1" t="str">
        <f>IF(C1595="", "", IFERROR(VLOOKUP(C1595, 作品一覧!A:B, 2, FALSE), "該当なし"))</f>
        <v>原神</v>
      </c>
      <c r="E1595" s="1" t="str">
        <f ca="1">IFERROR(__xludf.DUMMYFUNCTION("""COMPUTED_VALUE"""),"魈")</f>
        <v>魈</v>
      </c>
      <c r="F1595" s="10" t="s">
        <v>2413</v>
      </c>
    </row>
    <row r="1596" spans="1:6" ht="13.8">
      <c r="A1596" s="1" t="str">
        <f t="array" aca="1" ref="A1596" ca="1">IF(B1596="", "", IFERROR(INDEX(声優一覧!A:A, MATCH(B1596, 声優一覧!B:B, 0)), "該当なし"))</f>
        <v>va_169</v>
      </c>
      <c r="B1596" s="1" t="str">
        <f ca="1">IFERROR(__xludf.DUMMYFUNCTION("""COMPUTED_VALUE"""),"前野智昭")</f>
        <v>前野智昭</v>
      </c>
      <c r="C1596" s="1" t="s">
        <v>103</v>
      </c>
      <c r="D1596" s="1" t="str">
        <f>IF(C1596="", "", IFERROR(VLOOKUP(C1596, 作品一覧!A:B, 2, FALSE), "該当なし"))</f>
        <v>原神</v>
      </c>
      <c r="E1596" s="1" t="str">
        <f ca="1">IFERROR(__xludf.DUMMYFUNCTION("""COMPUTED_VALUE"""),"鍾離")</f>
        <v>鍾離</v>
      </c>
      <c r="F1596" s="10" t="s">
        <v>2414</v>
      </c>
    </row>
    <row r="1597" spans="1:6" ht="13.8">
      <c r="A1597" s="1" t="str">
        <f t="array" aca="1" ref="A1597" ca="1">IF(B1597="", "", IFERROR(INDEX(声優一覧!A:A, MATCH(B1597, 声優一覧!B:B, 0)), "該当なし"))</f>
        <v>va_083</v>
      </c>
      <c r="B1597" s="1" t="str">
        <f ca="1">IFERROR(__xludf.DUMMYFUNCTION("""COMPUTED_VALUE"""),"斉藤壮馬")</f>
        <v>斉藤壮馬</v>
      </c>
      <c r="C1597" s="1" t="s">
        <v>103</v>
      </c>
      <c r="D1597" s="1" t="str">
        <f>IF(C1597="", "", IFERROR(VLOOKUP(C1597, 作品一覧!A:B, 2, FALSE), "該当なし"))</f>
        <v>原神</v>
      </c>
      <c r="E1597" s="1" t="str">
        <f ca="1">IFERROR(__xludf.DUMMYFUNCTION("""COMPUTED_VALUE"""),"重雲")</f>
        <v>重雲</v>
      </c>
      <c r="F1597" s="10" t="s">
        <v>2415</v>
      </c>
    </row>
    <row r="1598" spans="1:6" ht="13.8">
      <c r="A1598" s="1" t="str">
        <f t="array" aca="1" ref="A1598" ca="1">IF(B1598="", "", IFERROR(INDEX(声優一覧!A:A, MATCH(B1598, 声優一覧!B:B, 0)), "該当なし"))</f>
        <v>va_344</v>
      </c>
      <c r="B1598" s="1" t="str">
        <f ca="1">IFERROR(__xludf.DUMMYFUNCTION("""COMPUTED_VALUE"""),"遊佐浩二")</f>
        <v>遊佐浩二</v>
      </c>
      <c r="C1598" s="1" t="s">
        <v>103</v>
      </c>
      <c r="D1598" s="1" t="str">
        <f>IF(C1598="", "", IFERROR(VLOOKUP(C1598, 作品一覧!A:B, 2, FALSE), "該当なし"))</f>
        <v>原神</v>
      </c>
      <c r="E1598" s="1" t="str">
        <f ca="1">IFERROR(__xludf.DUMMYFUNCTION("""COMPUTED_VALUE"""),"白朮")</f>
        <v>白朮</v>
      </c>
      <c r="F1598" s="10" t="s">
        <v>2416</v>
      </c>
    </row>
    <row r="1599" spans="1:6" ht="13.8">
      <c r="A1599" s="1" t="str">
        <f t="array" aca="1" ref="A1599" ca="1">IF(B1599="", "", IFERROR(INDEX(声優一覧!A:A, MATCH(B1599, 声優一覧!B:B, 0)), "該当なし"))</f>
        <v>va_076</v>
      </c>
      <c r="B1599" s="1" t="str">
        <f ca="1">IFERROR(__xludf.DUMMYFUNCTION("""COMPUTED_VALUE"""),"小松昌平")</f>
        <v>小松昌平</v>
      </c>
      <c r="C1599" s="1" t="s">
        <v>103</v>
      </c>
      <c r="D1599" s="1" t="str">
        <f>IF(C1599="", "", IFERROR(VLOOKUP(C1599, 作品一覧!A:B, 2, FALSE), "該当なし"))</f>
        <v>原神</v>
      </c>
      <c r="E1599" s="1" t="str">
        <f ca="1">IFERROR(__xludf.DUMMYFUNCTION("""COMPUTED_VALUE"""),"嘉明")</f>
        <v>嘉明</v>
      </c>
      <c r="F1599" s="10" t="s">
        <v>2417</v>
      </c>
    </row>
    <row r="1600" spans="1:6" ht="13.8">
      <c r="A1600" s="1" t="str">
        <f t="array" aca="1" ref="A1600" ca="1">IF(B1600="", "", IFERROR(INDEX(声優一覧!A:A, MATCH(B1600, 声優一覧!B:B, 0)), "該当なし"))</f>
        <v>va_094</v>
      </c>
      <c r="B1600" s="1" t="str">
        <f ca="1">IFERROR(__xludf.DUMMYFUNCTION("""COMPUTED_VALUE"""),"島﨑信長")</f>
        <v>島﨑信長</v>
      </c>
      <c r="C1600" s="1" t="s">
        <v>103</v>
      </c>
      <c r="D1600" s="1" t="str">
        <f>IF(C1600="", "", IFERROR(VLOOKUP(C1600, 作品一覧!A:B, 2, FALSE), "該当なし"))</f>
        <v>原神</v>
      </c>
      <c r="E1600" s="1" t="str">
        <f ca="1">IFERROR(__xludf.DUMMYFUNCTION("""COMPUTED_VALUE"""),"楓原万葉")</f>
        <v>楓原万葉</v>
      </c>
      <c r="F1600" s="10" t="s">
        <v>2418</v>
      </c>
    </row>
    <row r="1601" spans="1:6" ht="13.8">
      <c r="A1601" s="1" t="str">
        <f t="array" aca="1" ref="A1601" ca="1">IF(B1601="", "", IFERROR(INDEX(声優一覧!A:A, MATCH(B1601, 声優一覧!B:B, 0)), "該当なし"))</f>
        <v>va_269</v>
      </c>
      <c r="B1601" s="1" t="str">
        <f ca="1">IFERROR(__xludf.DUMMYFUNCTION("""COMPUTED_VALUE"""),"森田成一")</f>
        <v>森田成一</v>
      </c>
      <c r="C1601" s="1" t="s">
        <v>103</v>
      </c>
      <c r="D1601" s="1" t="str">
        <f>IF(C1601="", "", IFERROR(VLOOKUP(C1601, 作品一覧!A:B, 2, FALSE), "該当なし"))</f>
        <v>原神</v>
      </c>
      <c r="E1601" s="1" t="str">
        <f ca="1">IFERROR(__xludf.DUMMYFUNCTION("""COMPUTED_VALUE"""),"トーマ")</f>
        <v>トーマ</v>
      </c>
      <c r="F1601" s="10" t="s">
        <v>2419</v>
      </c>
    </row>
    <row r="1602" spans="1:6" ht="13.8">
      <c r="A1602" s="1" t="str">
        <f t="array" aca="1" ref="A1602" ca="1">IF(B1602="", "", IFERROR(INDEX(声優一覧!A:A, MATCH(B1602, 声優一覧!B:B, 0)), "該当なし"))</f>
        <v>va_377</v>
      </c>
      <c r="B1602" s="1" t="str">
        <f ca="1">IFERROR(__xludf.DUMMYFUNCTION("""COMPUTED_VALUE"""),"西川貴教")</f>
        <v>西川貴教</v>
      </c>
      <c r="C1602" s="1" t="s">
        <v>103</v>
      </c>
      <c r="D1602" s="1" t="str">
        <f>IF(C1602="", "", IFERROR(VLOOKUP(C1602, 作品一覧!A:B, 2, FALSE), "該当なし"))</f>
        <v>原神</v>
      </c>
      <c r="E1602" s="1" t="str">
        <f ca="1">IFERROR(__xludf.DUMMYFUNCTION("""COMPUTED_VALUE"""),"荒瀧一斗")</f>
        <v>荒瀧一斗</v>
      </c>
      <c r="F1602" s="10" t="s">
        <v>2420</v>
      </c>
    </row>
    <row r="1603" spans="1:6" ht="13.8">
      <c r="A1603" s="1" t="str">
        <f t="array" aca="1" ref="A1603" ca="1">IF(B1603="", "", IFERROR(INDEX(声優一覧!A:A, MATCH(B1603, 声優一覧!B:B, 0)), "該当なし"))</f>
        <v>va_147</v>
      </c>
      <c r="B1603" s="1" t="str">
        <f ca="1">IFERROR(__xludf.DUMMYFUNCTION("""COMPUTED_VALUE"""),"畠中祐")</f>
        <v>畠中祐</v>
      </c>
      <c r="C1603" s="1" t="s">
        <v>103</v>
      </c>
      <c r="D1603" s="1" t="str">
        <f>IF(C1603="", "", IFERROR(VLOOKUP(C1603, 作品一覧!A:B, 2, FALSE), "該当なし"))</f>
        <v>原神</v>
      </c>
      <c r="E1603" s="1" t="str">
        <f ca="1">IFERROR(__xludf.DUMMYFUNCTION("""COMPUTED_VALUE"""),"ゴロー")</f>
        <v>ゴロー</v>
      </c>
      <c r="F1603" s="10" t="s">
        <v>2421</v>
      </c>
    </row>
    <row r="1604" spans="1:6" ht="13.8">
      <c r="A1604" s="1" t="str">
        <f t="array" aca="1" ref="A1604" ca="1">IF(B1604="", "", IFERROR(INDEX(声優一覧!A:A, MATCH(B1604, 声優一覧!B:B, 0)), "該当なし"))</f>
        <v>va_265</v>
      </c>
      <c r="B1604" s="1" t="str">
        <f ca="1">IFERROR(__xludf.DUMMYFUNCTION("""COMPUTED_VALUE"""),"石田彰")</f>
        <v>石田彰</v>
      </c>
      <c r="C1604" s="1" t="s">
        <v>103</v>
      </c>
      <c r="D1604" s="1" t="str">
        <f>IF(C1604="", "", IFERROR(VLOOKUP(C1604, 作品一覧!A:B, 2, FALSE), "該当なし"))</f>
        <v>原神</v>
      </c>
      <c r="E1604" s="1" t="str">
        <f ca="1">IFERROR(__xludf.DUMMYFUNCTION("""COMPUTED_VALUE"""),"神里綾人")</f>
        <v>神里綾人</v>
      </c>
      <c r="F1604" s="10" t="s">
        <v>2422</v>
      </c>
    </row>
    <row r="1605" spans="1:6" ht="13.8">
      <c r="A1605" s="1" t="str">
        <f t="array" aca="1" ref="A1605" ca="1">IF(B1605="", "", IFERROR(INDEX(声優一覧!A:A, MATCH(B1605, 声優一覧!B:B, 0)), "該当なし"))</f>
        <v>va_012</v>
      </c>
      <c r="B1605" s="1" t="str">
        <f ca="1">IFERROR(__xludf.DUMMYFUNCTION("""COMPUTED_VALUE"""),"井口祐一")</f>
        <v>井口祐一</v>
      </c>
      <c r="C1605" s="1" t="s">
        <v>103</v>
      </c>
      <c r="D1605" s="1" t="str">
        <f>IF(C1605="", "", IFERROR(VLOOKUP(C1605, 作品一覧!A:B, 2, FALSE), "該当なし"))</f>
        <v>原神</v>
      </c>
      <c r="E1605" s="1" t="str">
        <f ca="1">IFERROR(__xludf.DUMMYFUNCTION("""COMPUTED_VALUE"""),"鹿野院平蔵")</f>
        <v>鹿野院平蔵</v>
      </c>
      <c r="F1605" s="10" t="s">
        <v>2423</v>
      </c>
    </row>
    <row r="1606" spans="1:6" ht="13.8">
      <c r="A1606" s="1" t="str">
        <f t="array" aca="1" ref="A1606" ca="1">IF(B1606="", "", IFERROR(INDEX(声優一覧!A:A, MATCH(B1606, 声優一覧!B:B, 0)), "該当なし"))</f>
        <v>va_025</v>
      </c>
      <c r="B1606" s="1" t="str">
        <f ca="1">IFERROR(__xludf.DUMMYFUNCTION("""COMPUTED_VALUE"""),"入野自由")</f>
        <v>入野自由</v>
      </c>
      <c r="C1606" s="1" t="s">
        <v>103</v>
      </c>
      <c r="D1606" s="1" t="str">
        <f>IF(C1606="", "", IFERROR(VLOOKUP(C1606, 作品一覧!A:B, 2, FALSE), "該当なし"))</f>
        <v>原神</v>
      </c>
      <c r="E1606" s="1" t="str">
        <f ca="1">IFERROR(__xludf.DUMMYFUNCTION("""COMPUTED_VALUE"""),"セノ")</f>
        <v>セノ</v>
      </c>
      <c r="F1606" s="10" t="s">
        <v>2424</v>
      </c>
    </row>
    <row r="1607" spans="1:6" ht="13.8">
      <c r="A1607" s="1" t="str">
        <f t="array" aca="1" ref="A1607" ca="1">IF(B1607="", "", IFERROR(INDEX(声優一覧!A:A, MATCH(B1607, 声優一覧!B:B, 0)), "該当なし"))</f>
        <v>va_048</v>
      </c>
      <c r="B1607" s="1" t="str">
        <f ca="1">IFERROR(__xludf.DUMMYFUNCTION("""COMPUTED_VALUE"""),"柿原徹也")</f>
        <v>柿原徹也</v>
      </c>
      <c r="C1607" s="1" t="s">
        <v>103</v>
      </c>
      <c r="D1607" s="1" t="str">
        <f>IF(C1607="", "", IFERROR(VLOOKUP(C1607, 作品一覧!A:B, 2, FALSE), "該当なし"))</f>
        <v>原神</v>
      </c>
      <c r="E1607" s="1" t="str">
        <f ca="1">IFERROR(__xludf.DUMMYFUNCTION("""COMPUTED_VALUE"""),"放浪者")</f>
        <v>放浪者</v>
      </c>
      <c r="F1607" s="10" t="s">
        <v>2425</v>
      </c>
    </row>
    <row r="1608" spans="1:6" ht="13.8">
      <c r="A1608" s="1" t="str">
        <f t="array" aca="1" ref="A1608" ca="1">IF(B1608="", "", IFERROR(INDEX(声優一覧!A:A, MATCH(B1608, 声優一覧!B:B, 0)), "該当なし"))</f>
        <v>va_033</v>
      </c>
      <c r="B1608" s="1" t="str">
        <f ca="1">IFERROR(__xludf.DUMMYFUNCTION("""COMPUTED_VALUE"""),"梅原裕一郎")</f>
        <v>梅原裕一郎</v>
      </c>
      <c r="C1608" s="1" t="s">
        <v>103</v>
      </c>
      <c r="D1608" s="1" t="str">
        <f>IF(C1608="", "", IFERROR(VLOOKUP(C1608, 作品一覧!A:B, 2, FALSE), "該当なし"))</f>
        <v>原神</v>
      </c>
      <c r="E1608" s="1" t="str">
        <f ca="1">IFERROR(__xludf.DUMMYFUNCTION("""COMPUTED_VALUE"""),"アルハイゼン")</f>
        <v>アルハイゼン</v>
      </c>
      <c r="F1608" s="10" t="s">
        <v>2426</v>
      </c>
    </row>
    <row r="1609" spans="1:6" ht="13.8">
      <c r="A1609" s="1" t="str">
        <f t="array" aca="1" ref="A1609" ca="1">IF(B1609="", "", IFERROR(INDEX(声優一覧!A:A, MATCH(B1609, 声優一覧!B:B, 0)), "該当なし"))</f>
        <v>va_030</v>
      </c>
      <c r="B1609" s="1" t="str">
        <f ca="1">IFERROR(__xludf.DUMMYFUNCTION("""COMPUTED_VALUE"""),"内田雄馬")</f>
        <v>内田雄馬</v>
      </c>
      <c r="C1609" s="1" t="s">
        <v>103</v>
      </c>
      <c r="D1609" s="1" t="str">
        <f>IF(C1609="", "", IFERROR(VLOOKUP(C1609, 作品一覧!A:B, 2, FALSE), "該当なし"))</f>
        <v>原神</v>
      </c>
      <c r="E1609" s="1" t="str">
        <f ca="1">IFERROR(__xludf.DUMMYFUNCTION("""COMPUTED_VALUE"""),"カーヴェ")</f>
        <v>カーヴェ</v>
      </c>
      <c r="F1609" s="10" t="s">
        <v>2427</v>
      </c>
    </row>
    <row r="1610" spans="1:6" ht="13.8">
      <c r="A1610" s="1" t="str">
        <f t="array" aca="1" ref="A1610" ca="1">IF(B1610="", "", IFERROR(INDEX(声優一覧!A:A, MATCH(B1610, 声優一覧!B:B, 0)), "該当なし"))</f>
        <v>va_119</v>
      </c>
      <c r="B1610" s="1" t="str">
        <f ca="1">IFERROR(__xludf.DUMMYFUNCTION("""COMPUTED_VALUE"""),"千葉翔也")</f>
        <v>千葉翔也</v>
      </c>
      <c r="C1610" s="1" t="s">
        <v>103</v>
      </c>
      <c r="D1610" s="1" t="str">
        <f>IF(C1610="", "", IFERROR(VLOOKUP(C1610, 作品一覧!A:B, 2, FALSE), "該当なし"))</f>
        <v>原神</v>
      </c>
      <c r="E1610" s="1" t="str">
        <f ca="1">IFERROR(__xludf.DUMMYFUNCTION("""COMPUTED_VALUE"""),"セトス")</f>
        <v>セトス</v>
      </c>
      <c r="F1610" s="10" t="s">
        <v>2428</v>
      </c>
    </row>
    <row r="1611" spans="1:6" ht="13.8">
      <c r="A1611" s="1" t="str">
        <f t="array" aca="1" ref="A1611" ca="1">IF(B1611="", "", IFERROR(INDEX(声優一覧!A:A, MATCH(B1611, 声優一覧!B:B, 0)), "該当なし"))</f>
        <v>va_095</v>
      </c>
      <c r="B1611" s="1" t="str">
        <f ca="1">IFERROR(__xludf.DUMMYFUNCTION("""COMPUTED_VALUE"""),"下野紘")</f>
        <v>下野紘</v>
      </c>
      <c r="C1611" s="1" t="s">
        <v>103</v>
      </c>
      <c r="D1611" s="1" t="str">
        <f>IF(C1611="", "", IFERROR(VLOOKUP(C1611, 作品一覧!A:B, 2, FALSE), "該当なし"))</f>
        <v>原神</v>
      </c>
      <c r="E1611" s="1" t="str">
        <f ca="1">IFERROR(__xludf.DUMMYFUNCTION("""COMPUTED_VALUE"""),"リネ")</f>
        <v>リネ</v>
      </c>
      <c r="F1611" s="10" t="s">
        <v>2429</v>
      </c>
    </row>
    <row r="1612" spans="1:6" ht="13.8">
      <c r="A1612" s="1" t="str">
        <f t="array" aca="1" ref="A1612" ca="1">IF(B1612="", "", IFERROR(INDEX(声優一覧!A:A, MATCH(B1612, 声優一覧!B:B, 0)), "該当なし"))</f>
        <v>va_129</v>
      </c>
      <c r="B1612" s="1" t="str">
        <f ca="1">IFERROR(__xludf.DUMMYFUNCTION("""COMPUTED_VALUE"""),"土岐隼一")</f>
        <v>土岐隼一</v>
      </c>
      <c r="C1612" s="1" t="s">
        <v>103</v>
      </c>
      <c r="D1612" s="1" t="str">
        <f>IF(C1612="", "", IFERROR(VLOOKUP(C1612, 作品一覧!A:B, 2, FALSE), "該当なし"))</f>
        <v>原神</v>
      </c>
      <c r="E1612" s="1" t="str">
        <f ca="1">IFERROR(__xludf.DUMMYFUNCTION("""COMPUTED_VALUE"""),"フレミネ")</f>
        <v>フレミネ</v>
      </c>
      <c r="F1612" s="10" t="s">
        <v>2430</v>
      </c>
    </row>
    <row r="1613" spans="1:6" ht="13.8">
      <c r="A1613" s="1" t="str">
        <f t="array" aca="1" ref="A1613" ca="1">IF(B1613="", "", IFERROR(INDEX(声優一覧!A:A, MATCH(B1613, 声優一覧!B:B, 0)), "該当なし"))</f>
        <v>va_298</v>
      </c>
      <c r="B1613" s="1" t="str">
        <f ca="1">IFERROR(__xludf.DUMMYFUNCTION("""COMPUTED_VALUE"""),"神谷浩史")</f>
        <v>神谷浩史</v>
      </c>
      <c r="C1613" s="1" t="s">
        <v>103</v>
      </c>
      <c r="D1613" s="1" t="str">
        <f>IF(C1613="", "", IFERROR(VLOOKUP(C1613, 作品一覧!A:B, 2, FALSE), "該当なし"))</f>
        <v>原神</v>
      </c>
      <c r="E1613" s="1" t="str">
        <f ca="1">IFERROR(__xludf.DUMMYFUNCTION("""COMPUTED_VALUE"""),"ヌヴィレット")</f>
        <v>ヌヴィレット</v>
      </c>
      <c r="F1613" s="10" t="s">
        <v>2431</v>
      </c>
    </row>
    <row r="1614" spans="1:6" ht="13.8">
      <c r="A1614" s="1" t="str">
        <f t="array" aca="1" ref="A1614" ca="1">IF(B1614="", "", IFERROR(INDEX(声優一覧!A:A, MATCH(B1614, 声優一覧!B:B, 0)), "該当なし"))</f>
        <v>va_238</v>
      </c>
      <c r="B1614" s="1" t="str">
        <f ca="1">IFERROR(__xludf.DUMMYFUNCTION("""COMPUTED_VALUE"""),"小野大輔")</f>
        <v>小野大輔</v>
      </c>
      <c r="C1614" s="1" t="s">
        <v>103</v>
      </c>
      <c r="D1614" s="1" t="str">
        <f>IF(C1614="", "", IFERROR(VLOOKUP(C1614, 作品一覧!A:B, 2, FALSE), "該当なし"))</f>
        <v>原神</v>
      </c>
      <c r="E1614" s="1" t="str">
        <f ca="1">IFERROR(__xludf.DUMMYFUNCTION("""COMPUTED_VALUE"""),"リオセスリ")</f>
        <v>リオセスリ</v>
      </c>
      <c r="F1614" s="10" t="s">
        <v>2432</v>
      </c>
    </row>
    <row r="1615" spans="1:6" ht="13.8">
      <c r="A1615" s="1" t="str">
        <f t="array" aca="1" ref="A1615" ca="1">IF(B1615="", "", IFERROR(INDEX(声優一覧!A:A, MATCH(B1615, 声優一覧!B:B, 0)), "該当なし"))</f>
        <v>va_098</v>
      </c>
      <c r="B1615" s="1" t="str">
        <f ca="1">IFERROR(__xludf.DUMMYFUNCTION("""COMPUTED_VALUE"""),"杉山紀彰")</f>
        <v>杉山紀彰</v>
      </c>
      <c r="C1615" s="1" t="s">
        <v>103</v>
      </c>
      <c r="D1615" s="1" t="str">
        <f>IF(C1615="", "", IFERROR(VLOOKUP(C1615, 作品一覧!A:B, 2, FALSE), "該当なし"))</f>
        <v>原神</v>
      </c>
      <c r="E1615" s="1" t="str">
        <f ca="1">IFERROR(__xludf.DUMMYFUNCTION("""COMPUTED_VALUE"""),"キィニチ")</f>
        <v>キィニチ</v>
      </c>
      <c r="F1615" s="10" t="s">
        <v>2433</v>
      </c>
    </row>
    <row r="1616" spans="1:6" ht="13.8">
      <c r="A1616" s="1" t="str">
        <f t="array" aca="1" ref="A1616" ca="1">IF(B1616="", "", IFERROR(INDEX(声優一覧!A:A, MATCH(B1616, 声優一覧!B:B, 0)), "該当なし"))</f>
        <v>va_081</v>
      </c>
      <c r="B1616" s="1" t="str">
        <f ca="1">IFERROR(__xludf.DUMMYFUNCTION("""COMPUTED_VALUE"""),"近藤隆")</f>
        <v>近藤隆</v>
      </c>
      <c r="C1616" s="1" t="s">
        <v>103</v>
      </c>
      <c r="D1616" s="1" t="str">
        <f>IF(C1616="", "", IFERROR(VLOOKUP(C1616, 作品一覧!A:B, 2, FALSE), "該当なし"))</f>
        <v>原神</v>
      </c>
      <c r="E1616" s="1" t="str">
        <f ca="1">IFERROR(__xludf.DUMMYFUNCTION("""COMPUTED_VALUE"""),"オロルン")</f>
        <v>オロルン</v>
      </c>
      <c r="F1616" s="10" t="s">
        <v>2434</v>
      </c>
    </row>
    <row r="1617" spans="1:6" ht="13.8">
      <c r="A1617" s="1" t="str">
        <f t="array" aca="1" ref="A1617" ca="1">IF(B1617="", "", IFERROR(INDEX(声優一覧!A:A, MATCH(B1617, 声優一覧!B:B, 0)), "該当なし"))</f>
        <v>va_124</v>
      </c>
      <c r="B1617" s="1" t="str">
        <f ca="1">IFERROR(__xludf.DUMMYFUNCTION("""COMPUTED_VALUE"""),"寺島惇太")</f>
        <v>寺島惇太</v>
      </c>
      <c r="C1617" s="1" t="s">
        <v>103</v>
      </c>
      <c r="D1617" s="1" t="str">
        <f>IF(C1617="", "", IFERROR(VLOOKUP(C1617, 作品一覧!A:B, 2, FALSE), "該当なし"))</f>
        <v>原神</v>
      </c>
      <c r="E1617" s="1" t="str">
        <f ca="1">IFERROR(__xludf.DUMMYFUNCTION("""COMPUTED_VALUE"""),"イファ")</f>
        <v>イファ</v>
      </c>
      <c r="F1617" s="10" t="s">
        <v>2435</v>
      </c>
    </row>
    <row r="1618" spans="1:6" ht="13.8">
      <c r="A1618" s="1" t="str">
        <f t="array" aca="1" ref="A1618" ca="1">IF(B1618="", "", IFERROR(INDEX(声優一覧!A:A, MATCH(B1618, 声優一覧!B:B, 0)), "該当なし"))</f>
        <v>va_066</v>
      </c>
      <c r="B1618" s="1" t="str">
        <f ca="1">IFERROR(__xludf.DUMMYFUNCTION("""COMPUTED_VALUE"""),"木村良平")</f>
        <v>木村良平</v>
      </c>
      <c r="C1618" s="1" t="s">
        <v>103</v>
      </c>
      <c r="D1618" s="1" t="str">
        <f>IF(C1618="", "", IFERROR(VLOOKUP(C1618, 作品一覧!A:B, 2, FALSE), "該当なし"))</f>
        <v>原神</v>
      </c>
      <c r="E1618" s="1" t="str">
        <f ca="1">IFERROR(__xludf.DUMMYFUNCTION("""COMPUTED_VALUE"""),"タルタリヤ")</f>
        <v>タルタリヤ</v>
      </c>
      <c r="F1618" s="10" t="s">
        <v>2436</v>
      </c>
    </row>
    <row r="1619" spans="1:6" ht="13.8">
      <c r="A1619" s="1" t="str">
        <f t="array" aca="1" ref="A1619" ca="1">IF(B1619="", "", IFERROR(INDEX(声優一覧!A:A, MATCH(B1619, 声優一覧!B:B, 0)), "該当なし"))</f>
        <v>va_137</v>
      </c>
      <c r="B1619" s="1" t="str">
        <f ca="1">IFERROR(__xludf.DUMMYFUNCTION("""COMPUTED_VALUE"""),"中村悠一")</f>
        <v>中村悠一</v>
      </c>
      <c r="C1619" s="1" t="s">
        <v>103</v>
      </c>
      <c r="D1619" s="1" t="str">
        <f>IF(C1619="", "", IFERROR(VLOOKUP(C1619, 作品一覧!A:B, 2, FALSE), "該当なし"))</f>
        <v>原神</v>
      </c>
      <c r="E1619" s="1" t="str">
        <f ca="1">IFERROR(__xludf.DUMMYFUNCTION("""COMPUTED_VALUE"""),"フリンズ")</f>
        <v>フリンズ</v>
      </c>
      <c r="F1619" s="10" t="s">
        <v>2437</v>
      </c>
    </row>
    <row r="1620" spans="1:6" ht="13.8">
      <c r="A1620" s="1" t="str">
        <f t="array" aca="1" ref="A1620" ca="1">IF(B1620="", "", IFERROR(INDEX(声優一覧!A:A, MATCH(B1620, 声優一覧!B:B, 0)), "該当なし"))</f>
        <v>va_032</v>
      </c>
      <c r="B1620" s="1" t="str">
        <f ca="1">IFERROR(__xludf.DUMMYFUNCTION("""COMPUTED_VALUE"""),"梅田修一朗")</f>
        <v>梅田修一朗</v>
      </c>
      <c r="C1620" s="1" t="s">
        <v>103</v>
      </c>
      <c r="D1620" s="1" t="str">
        <f>IF(C1620="", "", IFERROR(VLOOKUP(C1620, 作品一覧!A:B, 2, FALSE), "該当なし"))</f>
        <v>原神</v>
      </c>
      <c r="E1620" s="1" t="str">
        <f ca="1">IFERROR(__xludf.DUMMYFUNCTION("""COMPUTED_VALUE"""),"イルーガ")</f>
        <v>イルーガ</v>
      </c>
      <c r="F1620" s="10" t="s">
        <v>2438</v>
      </c>
    </row>
    <row r="1621" spans="1:6" ht="13.8">
      <c r="A1621" s="1" t="str">
        <f t="array" aca="1" ref="A1621" ca="1">IF(B1621="", "", IFERROR(INDEX(声優一覧!A:A, MATCH(B1621, 声優一覧!B:B, 0)), "該当なし"))</f>
        <v>va_310</v>
      </c>
      <c r="B1621" s="1" t="str">
        <f ca="1">IFERROR(__xludf.DUMMYFUNCTION("""COMPUTED_VALUE"""),"佐藤元")</f>
        <v>佐藤元</v>
      </c>
      <c r="C1621" s="1" t="s">
        <v>103</v>
      </c>
      <c r="D1621" s="1" t="str">
        <f>IF(C1621="", "", IFERROR(VLOOKUP(C1621, 作品一覧!A:B, 2, FALSE), "該当なし"))</f>
        <v>原神</v>
      </c>
      <c r="E1621" s="1" t="str">
        <f ca="1">IFERROR(__xludf.DUMMYFUNCTION("""COMPUTED_VALUE"""),"アリョーシャ")</f>
        <v>アリョーシャ</v>
      </c>
      <c r="F1621" s="10" t="s">
        <v>2439</v>
      </c>
    </row>
    <row r="1622" spans="1:6" ht="13.8">
      <c r="A1622" s="1" t="str">
        <f t="array" aca="1" ref="A1622" ca="1">IF(B1622="", "", IFERROR(INDEX(声優一覧!A:A, MATCH(B1622, 声優一覧!B:B, 0)), "該当なし"))</f>
        <v>va_019</v>
      </c>
      <c r="B1622" s="1" t="str">
        <f ca="1">IFERROR(__xludf.DUMMYFUNCTION("""COMPUTED_VALUE"""),"伊東健人")</f>
        <v>伊東健人</v>
      </c>
      <c r="C1622" s="1" t="s">
        <v>96</v>
      </c>
      <c r="D1622" s="1" t="str">
        <f>IF(C1622="", "", IFERROR(VLOOKUP(C1622, 作品一覧!A:B, 2, FALSE), "該当なし"))</f>
        <v>結合男子</v>
      </c>
      <c r="E1622" s="1" t="str">
        <f ca="1">IFERROR(__xludf.DUMMYFUNCTION("""COMPUTED_VALUE"""),"源朔")</f>
        <v>源朔</v>
      </c>
      <c r="F1622" s="10" t="s">
        <v>2440</v>
      </c>
    </row>
    <row r="1623" spans="1:6" ht="13.8">
      <c r="A1623" s="1" t="str">
        <f t="array" aca="1" ref="A1623" ca="1">IF(B1623="", "", IFERROR(INDEX(声優一覧!A:A, MATCH(B1623, 声優一覧!B:B, 0)), "該当なし"))</f>
        <v>va_036</v>
      </c>
      <c r="B1623" s="1" t="str">
        <f ca="1">IFERROR(__xludf.DUMMYFUNCTION("""COMPUTED_VALUE"""),"榎木淳弥")</f>
        <v>榎木淳弥</v>
      </c>
      <c r="C1623" s="1" t="s">
        <v>96</v>
      </c>
      <c r="D1623" s="1" t="str">
        <f>IF(C1623="", "", IFERROR(VLOOKUP(C1623, 作品一覧!A:B, 2, FALSE), "該当なし"))</f>
        <v>結合男子</v>
      </c>
      <c r="E1623" s="1" t="str">
        <f ca="1">IFERROR(__xludf.DUMMYFUNCTION("""COMPUTED_VALUE"""),"安酸栄都")</f>
        <v>安酸栄都</v>
      </c>
      <c r="F1623" s="10" t="s">
        <v>2441</v>
      </c>
    </row>
    <row r="1624" spans="1:6" ht="13.8">
      <c r="A1624" s="1" t="str">
        <f t="array" aca="1" ref="A1624" ca="1">IF(B1624="", "", IFERROR(INDEX(声優一覧!A:A, MATCH(B1624, 声優一覧!B:B, 0)), "該当なし"))</f>
        <v>va_117</v>
      </c>
      <c r="B1624" s="1" t="str">
        <f ca="1">IFERROR(__xludf.DUMMYFUNCTION("""COMPUTED_VALUE"""),"田丸篤志")</f>
        <v>田丸篤志</v>
      </c>
      <c r="C1624" s="1" t="s">
        <v>96</v>
      </c>
      <c r="D1624" s="1" t="str">
        <f>IF(C1624="", "", IFERROR(VLOOKUP(C1624, 作品一覧!A:B, 2, FALSE), "該当なし"))</f>
        <v>結合男子</v>
      </c>
      <c r="E1624" s="1" t="str">
        <f ca="1">IFERROR(__xludf.DUMMYFUNCTION("""COMPUTED_VALUE"""),"鍛炭六花")</f>
        <v>鍛炭六花</v>
      </c>
      <c r="F1624" s="10" t="s">
        <v>2442</v>
      </c>
    </row>
    <row r="1625" spans="1:6" ht="13.8">
      <c r="A1625" s="1" t="str">
        <f t="array" aca="1" ref="A1625" ca="1">IF(B1625="", "", IFERROR(INDEX(声優一覧!A:A, MATCH(B1625, 声優一覧!B:B, 0)), "該当なし"))</f>
        <v>va_161</v>
      </c>
      <c r="B1625" s="1" t="str">
        <f ca="1">IFERROR(__xludf.DUMMYFUNCTION("""COMPUTED_VALUE"""),"古川慎")</f>
        <v>古川慎</v>
      </c>
      <c r="C1625" s="1" t="s">
        <v>96</v>
      </c>
      <c r="D1625" s="1" t="str">
        <f>IF(C1625="", "", IFERROR(VLOOKUP(C1625, 作品一覧!A:B, 2, FALSE), "該当なし"))</f>
        <v>結合男子</v>
      </c>
      <c r="E1625" s="1" t="str">
        <f ca="1">IFERROR(__xludf.DUMMYFUNCTION("""COMPUTED_VALUE"""),"宇緑四季")</f>
        <v>宇緑四季</v>
      </c>
      <c r="F1625" s="10" t="s">
        <v>2443</v>
      </c>
    </row>
    <row r="1626" spans="1:6" ht="13.8">
      <c r="A1626" s="1" t="str">
        <f t="array" aca="1" ref="A1626" ca="1">IF(B1626="", "", IFERROR(INDEX(声優一覧!A:A, MATCH(B1626, 声優一覧!B:B, 0)), "該当なし"))</f>
        <v>va_166</v>
      </c>
      <c r="B1626" s="1" t="str">
        <f ca="1">IFERROR(__xludf.DUMMYFUNCTION("""COMPUTED_VALUE"""),"堀江瞬")</f>
        <v>堀江瞬</v>
      </c>
      <c r="C1626" s="1" t="s">
        <v>96</v>
      </c>
      <c r="D1626" s="1" t="str">
        <f>IF(C1626="", "", IFERROR(VLOOKUP(C1626, 作品一覧!A:B, 2, FALSE), "該当なし"))</f>
        <v>結合男子</v>
      </c>
      <c r="E1626" s="1" t="str">
        <f ca="1">IFERROR(__xludf.DUMMYFUNCTION("""COMPUTED_VALUE"""),"凍硝七瀬")</f>
        <v>凍硝七瀬</v>
      </c>
      <c r="F1626" s="10" t="s">
        <v>2444</v>
      </c>
    </row>
    <row r="1627" spans="1:6" ht="13.8">
      <c r="A1627" s="1" t="str">
        <f t="array" aca="1" ref="A1627" ca="1">IF(B1627="", "", IFERROR(INDEX(声優一覧!A:A, MATCH(B1627, 声優一覧!B:B, 0)), "該当なし"))</f>
        <v>va_141</v>
      </c>
      <c r="B1627" s="1" t="str">
        <f ca="1">IFERROR(__xludf.DUMMYFUNCTION("""COMPUTED_VALUE"""),"西山宏太朗")</f>
        <v>西山宏太朗</v>
      </c>
      <c r="C1627" s="1" t="s">
        <v>96</v>
      </c>
      <c r="D1627" s="1" t="str">
        <f>IF(C1627="", "", IFERROR(VLOOKUP(C1627, 作品一覧!A:B, 2, FALSE), "該当なし"))</f>
        <v>結合男子</v>
      </c>
      <c r="E1627" s="1" t="str">
        <f ca="1">IFERROR(__xludf.DUMMYFUNCTION("""COMPUTED_VALUE"""),"浮石三宙")</f>
        <v>浮石三宙</v>
      </c>
      <c r="F1627" s="10" t="s">
        <v>2445</v>
      </c>
    </row>
    <row r="1628" spans="1:6" ht="13.8">
      <c r="A1628" s="1" t="str">
        <f t="array" aca="1" ref="A1628" ca="1">IF(B1628="", "", IFERROR(INDEX(声優一覧!A:A, MATCH(B1628, 声優一覧!B:B, 0)), "該当なし"))</f>
        <v>va_210</v>
      </c>
      <c r="B1628" s="1" t="str">
        <f ca="1">IFERROR(__xludf.DUMMYFUNCTION("""COMPUTED_VALUE"""),"濱野大輝")</f>
        <v>濱野大輝</v>
      </c>
      <c r="C1628" s="1" t="s">
        <v>96</v>
      </c>
      <c r="D1628" s="1" t="str">
        <f>IF(C1628="", "", IFERROR(VLOOKUP(C1628, 作品一覧!A:B, 2, FALSE), "該当なし"))</f>
        <v>結合男子</v>
      </c>
      <c r="E1628" s="1" t="str">
        <f ca="1">IFERROR(__xludf.DUMMYFUNCTION("""COMPUTED_VALUE"""),"鐵仁武")</f>
        <v>鐵仁武</v>
      </c>
      <c r="F1628" s="10" t="s">
        <v>2446</v>
      </c>
    </row>
    <row r="1629" spans="1:6" ht="13.8">
      <c r="A1629" s="1" t="str">
        <f t="array" aca="1" ref="A1629" ca="1">IF(B1629="", "", IFERROR(INDEX(声優一覧!A:A, MATCH(B1629, 声優一覧!B:B, 0)), "該当なし"))</f>
        <v>va_037</v>
      </c>
      <c r="B1629" s="1" t="str">
        <f ca="1">IFERROR(__xludf.DUMMYFUNCTION("""COMPUTED_VALUE"""),"逢坂良太")</f>
        <v>逢坂良太</v>
      </c>
      <c r="C1629" s="1" t="s">
        <v>96</v>
      </c>
      <c r="D1629" s="1" t="str">
        <f>IF(C1629="", "", IFERROR(VLOOKUP(C1629, 作品一覧!A:B, 2, FALSE), "該当なし"))</f>
        <v>結合男子</v>
      </c>
      <c r="E1629" s="1" t="str">
        <f ca="1">IFERROR(__xludf.DUMMYFUNCTION("""COMPUTED_VALUE"""),"舎利弗玖苑")</f>
        <v>舎利弗玖苑</v>
      </c>
      <c r="F1629" s="10" t="s">
        <v>2447</v>
      </c>
    </row>
    <row r="1630" spans="1:6" ht="13.8">
      <c r="A1630" s="1" t="str">
        <f t="array" aca="1" ref="A1630" ca="1">IF(B1630="", "", IFERROR(INDEX(声優一覧!A:A, MATCH(B1630, 声優一覧!B:B, 0)), "該当なし"))</f>
        <v>va_042</v>
      </c>
      <c r="B1630" s="1" t="str">
        <f ca="1">IFERROR(__xludf.DUMMYFUNCTION("""COMPUTED_VALUE"""),"岡本信彦")</f>
        <v>岡本信彦</v>
      </c>
      <c r="C1630" s="1" t="s">
        <v>96</v>
      </c>
      <c r="D1630" s="1" t="str">
        <f>IF(C1630="", "", IFERROR(VLOOKUP(C1630, 作品一覧!A:B, 2, FALSE), "該当なし"))</f>
        <v>結合男子</v>
      </c>
      <c r="E1630" s="1" t="str">
        <f ca="1">IFERROR(__xludf.DUMMYFUNCTION("""COMPUTED_VALUE"""),"塩水流一那")</f>
        <v>塩水流一那</v>
      </c>
      <c r="F1630" s="10" t="s">
        <v>2448</v>
      </c>
    </row>
    <row r="1631" spans="1:6" ht="13.8">
      <c r="A1631" s="1" t="str">
        <f t="array" aca="1" ref="A1631" ca="1">IF(B1631="", "", IFERROR(INDEX(声優一覧!A:A, MATCH(B1631, 声優一覧!B:B, 0)), "該当なし"))</f>
        <v>va_189</v>
      </c>
      <c r="B1631" s="1" t="str">
        <f ca="1">IFERROR(__xludf.DUMMYFUNCTION("""COMPUTED_VALUE"""),"安元洋貴")</f>
        <v>安元洋貴</v>
      </c>
      <c r="C1631" s="1" t="s">
        <v>96</v>
      </c>
      <c r="D1631" s="1" t="str">
        <f>IF(C1631="", "", IFERROR(VLOOKUP(C1631, 作品一覧!A:B, 2, FALSE), "該当なし"))</f>
        <v>結合男子</v>
      </c>
      <c r="E1631" s="1" t="str">
        <f ca="1">IFERROR(__xludf.DUMMYFUNCTION("""COMPUTED_VALUE"""),"清硫十六夜")</f>
        <v>清硫十六夜</v>
      </c>
      <c r="F1631" s="10" t="s">
        <v>2449</v>
      </c>
    </row>
    <row r="1632" spans="1:6" ht="13.8">
      <c r="A1632" s="1" t="str">
        <f t="array" aca="1" ref="A1632" ca="1">IF(B1632="", "", IFERROR(INDEX(声優一覧!A:A, MATCH(B1632, 声優一覧!B:B, 0)), "該当なし"))</f>
        <v>va_378</v>
      </c>
      <c r="B1632" s="1" t="str">
        <f ca="1">IFERROR(__xludf.DUMMYFUNCTION("""COMPUTED_VALUE"""),"安田陸矢")</f>
        <v>安田陸矢</v>
      </c>
      <c r="C1632" s="1" t="s">
        <v>285</v>
      </c>
      <c r="D1632" s="1" t="str">
        <f>IF(C1632="", "", IFERROR(VLOOKUP(C1632, 作品一覧!A:B, 2, FALSE), "該当なし"))</f>
        <v>ライドカメンズ</v>
      </c>
      <c r="E1632" s="1" t="str">
        <f ca="1">IFERROR(__xludf.DUMMYFUNCTION("""COMPUTED_VALUE"""),"魅上才悟")</f>
        <v>魅上才悟</v>
      </c>
      <c r="F1632" s="10" t="s">
        <v>2450</v>
      </c>
    </row>
    <row r="1633" spans="1:6" ht="13.8">
      <c r="A1633" s="1" t="str">
        <f t="array" aca="1" ref="A1633" ca="1">IF(B1633="", "", IFERROR(INDEX(声優一覧!A:A, MATCH(B1633, 声優一覧!B:B, 0)), "該当なし"))</f>
        <v>va_030</v>
      </c>
      <c r="B1633" s="1" t="str">
        <f ca="1">IFERROR(__xludf.DUMMYFUNCTION("""COMPUTED_VALUE"""),"内田雄馬")</f>
        <v>内田雄馬</v>
      </c>
      <c r="C1633" s="1" t="s">
        <v>285</v>
      </c>
      <c r="D1633" s="1" t="str">
        <f>IF(C1633="", "", IFERROR(VLOOKUP(C1633, 作品一覧!A:B, 2, FALSE), "該当なし"))</f>
        <v>ライドカメンズ</v>
      </c>
      <c r="E1633" s="1" t="str">
        <f ca="1">IFERROR(__xludf.DUMMYFUNCTION("""COMPUTED_VALUE"""),"伊織陽真")</f>
        <v>伊織陽真</v>
      </c>
      <c r="F1633" s="10" t="s">
        <v>2451</v>
      </c>
    </row>
    <row r="1634" spans="1:6" ht="13.8">
      <c r="A1634" s="1" t="str">
        <f t="array" aca="1" ref="A1634" ca="1">IF(B1634="", "", IFERROR(INDEX(声優一覧!A:A, MATCH(B1634, 声優一覧!B:B, 0)), "該当なし"))</f>
        <v>va_117</v>
      </c>
      <c r="B1634" s="1" t="str">
        <f ca="1">IFERROR(__xludf.DUMMYFUNCTION("""COMPUTED_VALUE"""),"田丸篤志")</f>
        <v>田丸篤志</v>
      </c>
      <c r="C1634" s="1" t="s">
        <v>285</v>
      </c>
      <c r="D1634" s="1" t="str">
        <f>IF(C1634="", "", IFERROR(VLOOKUP(C1634, 作品一覧!A:B, 2, FALSE), "該当なし"))</f>
        <v>ライドカメンズ</v>
      </c>
      <c r="E1634" s="1" t="str">
        <f ca="1">IFERROR(__xludf.DUMMYFUNCTION("""COMPUTED_VALUE"""),"深水紫苑")</f>
        <v>深水紫苑</v>
      </c>
      <c r="F1634" s="10" t="s">
        <v>2452</v>
      </c>
    </row>
    <row r="1635" spans="1:6" ht="13.8">
      <c r="A1635" s="1" t="str">
        <f t="array" aca="1" ref="A1635" ca="1">IF(B1635="", "", IFERROR(INDEX(声優一覧!A:A, MATCH(B1635, 声優一覧!B:B, 0)), "該当なし"))</f>
        <v>va_042</v>
      </c>
      <c r="B1635" s="1" t="str">
        <f ca="1">IFERROR(__xludf.DUMMYFUNCTION("""COMPUTED_VALUE"""),"岡本信彦")</f>
        <v>岡本信彦</v>
      </c>
      <c r="C1635" s="1" t="s">
        <v>285</v>
      </c>
      <c r="D1635" s="1" t="str">
        <f>IF(C1635="", "", IFERROR(VLOOKUP(C1635, 作品一覧!A:B, 2, FALSE), "該当なし"))</f>
        <v>ライドカメンズ</v>
      </c>
      <c r="E1635" s="1" t="str">
        <f ca="1">IFERROR(__xludf.DUMMYFUNCTION("""COMPUTED_VALUE"""),"蒲生慈玄")</f>
        <v>蒲生慈玄</v>
      </c>
      <c r="F1635" s="10" t="s">
        <v>2453</v>
      </c>
    </row>
    <row r="1636" spans="1:6" ht="13.8">
      <c r="A1636" s="1" t="str">
        <f t="array" aca="1" ref="A1636" ca="1">IF(B1636="", "", IFERROR(INDEX(声優一覧!A:A, MATCH(B1636, 声優一覧!B:B, 0)), "該当なし"))</f>
        <v>va_276</v>
      </c>
      <c r="B1636" s="1" t="str">
        <f ca="1">IFERROR(__xludf.DUMMYFUNCTION("""COMPUTED_VALUE"""),"田邊幸輔")</f>
        <v>田邊幸輔</v>
      </c>
      <c r="C1636" s="1" t="s">
        <v>285</v>
      </c>
      <c r="D1636" s="1" t="str">
        <f>IF(C1636="", "", IFERROR(VLOOKUP(C1636, 作品一覧!A:B, 2, FALSE), "該当なし"))</f>
        <v>ライドカメンズ</v>
      </c>
      <c r="E1636" s="1" t="str">
        <f ca="1">IFERROR(__xludf.DUMMYFUNCTION("""COMPUTED_VALUE"""),"荒鬼狂介")</f>
        <v>荒鬼狂介</v>
      </c>
      <c r="F1636" s="10" t="s">
        <v>2454</v>
      </c>
    </row>
    <row r="1637" spans="1:6" ht="13.8">
      <c r="A1637" s="1" t="str">
        <f t="array" aca="1" ref="A1637" ca="1">IF(B1637="", "", IFERROR(INDEX(声優一覧!A:A, MATCH(B1637, 声優一覧!B:B, 0)), "該当なし"))</f>
        <v>va_058</v>
      </c>
      <c r="B1637" s="1" t="str">
        <f ca="1">IFERROR(__xludf.DUMMYFUNCTION("""COMPUTED_VALUE"""),"河西健吾")</f>
        <v>河西健吾</v>
      </c>
      <c r="C1637" s="1" t="s">
        <v>285</v>
      </c>
      <c r="D1637" s="1" t="str">
        <f>IF(C1637="", "", IFERROR(VLOOKUP(C1637, 作品一覧!A:B, 2, FALSE), "該当なし"))</f>
        <v>ライドカメンズ</v>
      </c>
      <c r="E1637" s="1" t="str">
        <f ca="1">IFERROR(__xludf.DUMMYFUNCTION("""COMPUTED_VALUE"""),"神威為士")</f>
        <v>神威為士</v>
      </c>
      <c r="F1637" s="10" t="s">
        <v>2455</v>
      </c>
    </row>
    <row r="1638" spans="1:6" ht="13.8">
      <c r="A1638" s="1" t="str">
        <f t="array" aca="1" ref="A1638" ca="1">IF(B1638="", "", IFERROR(INDEX(声優一覧!A:A, MATCH(B1638, 声優一覧!B:B, 0)), "該当なし"))</f>
        <v>va_090</v>
      </c>
      <c r="B1638" s="1" t="str">
        <f ca="1">IFERROR(__xludf.DUMMYFUNCTION("""COMPUTED_VALUE"""),"佐藤拓也")</f>
        <v>佐藤拓也</v>
      </c>
      <c r="C1638" s="1" t="s">
        <v>285</v>
      </c>
      <c r="D1638" s="1" t="str">
        <f>IF(C1638="", "", IFERROR(VLOOKUP(C1638, 作品一覧!A:B, 2, FALSE), "該当なし"))</f>
        <v>ライドカメンズ</v>
      </c>
      <c r="E1638" s="1" t="str">
        <f ca="1">IFERROR(__xludf.DUMMYFUNCTION("""COMPUTED_VALUE"""),"阿形松之助")</f>
        <v>阿形松之助</v>
      </c>
      <c r="F1638" s="10" t="s">
        <v>2456</v>
      </c>
    </row>
    <row r="1639" spans="1:6" ht="13.8">
      <c r="A1639" s="1" t="str">
        <f t="array" aca="1" ref="A1639" ca="1">IF(B1639="", "", IFERROR(INDEX(声優一覧!A:A, MATCH(B1639, 声優一覧!B:B, 0)), "該当なし"))</f>
        <v>va_069</v>
      </c>
      <c r="B1639" s="1" t="str">
        <f ca="1">IFERROR(__xludf.DUMMYFUNCTION("""COMPUTED_VALUE"""),"熊谷健太郎")</f>
        <v>熊谷健太郎</v>
      </c>
      <c r="C1639" s="1" t="s">
        <v>285</v>
      </c>
      <c r="D1639" s="1" t="str">
        <f>IF(C1639="", "", IFERROR(VLOOKUP(C1639, 作品一覧!A:B, 2, FALSE), "該当なし"))</f>
        <v>ライドカメンズ</v>
      </c>
      <c r="E1639" s="1" t="str">
        <f ca="1">IFERROR(__xludf.DUMMYFUNCTION("""COMPUTED_VALUE"""),"ルーイ")</f>
        <v>ルーイ</v>
      </c>
      <c r="F1639" s="10" t="s">
        <v>2457</v>
      </c>
    </row>
    <row r="1640" spans="1:6" ht="13.8">
      <c r="A1640" s="1" t="str">
        <f t="array" aca="1" ref="A1640" ca="1">IF(B1640="", "", IFERROR(INDEX(声優一覧!A:A, MATCH(B1640, 声優一覧!B:B, 0)), "該当なし"))</f>
        <v>va_007</v>
      </c>
      <c r="B1640" s="1" t="str">
        <f ca="1">IFERROR(__xludf.DUMMYFUNCTION("""COMPUTED_VALUE"""),"天﨑滉平")</f>
        <v>天﨑滉平</v>
      </c>
      <c r="C1640" s="1" t="s">
        <v>285</v>
      </c>
      <c r="D1640" s="1" t="str">
        <f>IF(C1640="", "", IFERROR(VLOOKUP(C1640, 作品一覧!A:B, 2, FALSE), "該当なし"))</f>
        <v>ライドカメンズ</v>
      </c>
      <c r="E1640" s="1" t="str">
        <f ca="1">IFERROR(__xludf.DUMMYFUNCTION("""COMPUTED_VALUE"""),"ランス天堂")</f>
        <v>ランス天堂</v>
      </c>
      <c r="F1640" s="10" t="s">
        <v>2458</v>
      </c>
    </row>
    <row r="1641" spans="1:6" ht="13.8">
      <c r="A1641" s="1" t="str">
        <f t="array" aca="1" ref="A1641" ca="1">IF(B1641="", "", IFERROR(INDEX(声優一覧!A:A, MATCH(B1641, 声優一覧!B:B, 0)), "該当なし"))</f>
        <v>va_007</v>
      </c>
      <c r="B1641" s="1" t="str">
        <f ca="1">IFERROR(__xludf.DUMMYFUNCTION("""COMPUTED_VALUE"""),"天﨑滉平")</f>
        <v>天﨑滉平</v>
      </c>
      <c r="C1641" s="1" t="s">
        <v>285</v>
      </c>
      <c r="D1641" s="1" t="str">
        <f>IF(C1641="", "", IFERROR(VLOOKUP(C1641, 作品一覧!A:B, 2, FALSE), "該当なし"))</f>
        <v>ライドカメンズ</v>
      </c>
      <c r="E1641" s="1" t="str">
        <f ca="1">IFERROR(__xludf.DUMMYFUNCTION("""COMPUTED_VALUE"""),"Q")</f>
        <v>Q</v>
      </c>
      <c r="F1641" s="10" t="s">
        <v>2459</v>
      </c>
    </row>
    <row r="1642" spans="1:6" ht="13.8">
      <c r="A1642" s="1" t="str">
        <f t="array" aca="1" ref="A1642" ca="1">IF(B1642="", "", IFERROR(INDEX(声優一覧!A:A, MATCH(B1642, 声優一覧!B:B, 0)), "該当なし"))</f>
        <v>va_003</v>
      </c>
      <c r="B1642" s="1" t="str">
        <f ca="1">IFERROR(__xludf.DUMMYFUNCTION("""COMPUTED_VALUE"""),"阿座上洋平")</f>
        <v>阿座上洋平</v>
      </c>
      <c r="C1642" s="1" t="s">
        <v>285</v>
      </c>
      <c r="D1642" s="1" t="str">
        <f>IF(C1642="", "", IFERROR(VLOOKUP(C1642, 作品一覧!A:B, 2, FALSE), "該当なし"))</f>
        <v>ライドカメンズ</v>
      </c>
      <c r="E1642" s="1" t="str">
        <f ca="1">IFERROR(__xludf.DUMMYFUNCTION("""COMPUTED_VALUE"""),"海羽静流")</f>
        <v>海羽静流</v>
      </c>
      <c r="F1642" s="10" t="s">
        <v>2460</v>
      </c>
    </row>
    <row r="1643" spans="1:6" ht="13.8">
      <c r="A1643" s="1" t="str">
        <f t="array" aca="1" ref="A1643" ca="1">IF(B1643="", "", IFERROR(INDEX(声優一覧!A:A, MATCH(B1643, 声優一覧!B:B, 0)), "該当なし"))</f>
        <v>va_114</v>
      </c>
      <c r="B1643" s="1" t="str">
        <f ca="1">IFERROR(__xludf.DUMMYFUNCTION("""COMPUTED_VALUE"""),"立花慎之介")</f>
        <v>立花慎之介</v>
      </c>
      <c r="C1643" s="1" t="s">
        <v>285</v>
      </c>
      <c r="D1643" s="1" t="str">
        <f>IF(C1643="", "", IFERROR(VLOOKUP(C1643, 作品一覧!A:B, 2, FALSE), "該当なし"))</f>
        <v>ライドカメンズ</v>
      </c>
      <c r="E1643" s="1" t="str">
        <f ca="1">IFERROR(__xludf.DUMMYFUNCTION("""COMPUTED_VALUE"""),"宗雲")</f>
        <v>宗雲</v>
      </c>
      <c r="F1643" s="10" t="s">
        <v>2461</v>
      </c>
    </row>
    <row r="1644" spans="1:6" ht="13.8">
      <c r="A1644" s="1" t="str">
        <f t="array" aca="1" ref="A1644" ca="1">IF(B1644="", "", IFERROR(INDEX(声優一覧!A:A, MATCH(B1644, 声優一覧!B:B, 0)), "該当なし"))</f>
        <v>va_200</v>
      </c>
      <c r="B1644" s="1" t="str">
        <f ca="1">IFERROR(__xludf.DUMMYFUNCTION("""COMPUTED_VALUE"""),"KENN")</f>
        <v>KENN</v>
      </c>
      <c r="C1644" s="1" t="s">
        <v>285</v>
      </c>
      <c r="D1644" s="1" t="str">
        <f>IF(C1644="", "", IFERROR(VLOOKUP(C1644, 作品一覧!A:B, 2, FALSE), "該当なし"))</f>
        <v>ライドカメンズ</v>
      </c>
      <c r="E1644" s="1" t="str">
        <f ca="1">IFERROR(__xludf.DUMMYFUNCTION("""COMPUTED_VALUE"""),"颯")</f>
        <v>颯</v>
      </c>
      <c r="F1644" s="10" t="s">
        <v>2462</v>
      </c>
    </row>
    <row r="1645" spans="1:6" ht="13.8">
      <c r="A1645" s="1" t="str">
        <f t="array" aca="1" ref="A1645" ca="1">IF(B1645="", "", IFERROR(INDEX(声優一覧!A:A, MATCH(B1645, 声優一覧!B:B, 0)), "該当なし"))</f>
        <v>va_173</v>
      </c>
      <c r="B1645" s="1" t="str">
        <f ca="1">IFERROR(__xludf.DUMMYFUNCTION("""COMPUTED_VALUE"""),"松岡禎丞")</f>
        <v>松岡禎丞</v>
      </c>
      <c r="C1645" s="1" t="s">
        <v>285</v>
      </c>
      <c r="D1645" s="1" t="str">
        <f>IF(C1645="", "", IFERROR(VLOOKUP(C1645, 作品一覧!A:B, 2, FALSE), "該当なし"))</f>
        <v>ライドカメンズ</v>
      </c>
      <c r="E1645" s="1" t="str">
        <f ca="1">IFERROR(__xludf.DUMMYFUNCTION("""COMPUTED_VALUE"""),"皇紀")</f>
        <v>皇紀</v>
      </c>
      <c r="F1645" s="10" t="s">
        <v>2463</v>
      </c>
    </row>
    <row r="1646" spans="1:6" ht="13.8">
      <c r="A1646" s="1" t="str">
        <f t="array" aca="1" ref="A1646" ca="1">IF(B1646="", "", IFERROR(INDEX(声優一覧!A:A, MATCH(B1646, 声優一覧!B:B, 0)), "該当なし"))</f>
        <v>va_111</v>
      </c>
      <c r="B1646" s="1" t="str">
        <f ca="1">IFERROR(__xludf.DUMMYFUNCTION("""COMPUTED_VALUE"""),"高橋広樹")</f>
        <v>高橋広樹</v>
      </c>
      <c r="C1646" s="1" t="s">
        <v>285</v>
      </c>
      <c r="D1646" s="1" t="str">
        <f>IF(C1646="", "", IFERROR(VLOOKUP(C1646, 作品一覧!A:B, 2, FALSE), "該当なし"))</f>
        <v>ライドカメンズ</v>
      </c>
      <c r="E1646" s="1" t="str">
        <f ca="1">IFERROR(__xludf.DUMMYFUNCTION("""COMPUTED_VALUE"""),"浄")</f>
        <v>浄</v>
      </c>
      <c r="F1646" s="10" t="s">
        <v>2464</v>
      </c>
    </row>
    <row r="1647" spans="1:6" ht="13.8">
      <c r="A1647" s="1" t="str">
        <f t="array" aca="1" ref="A1647" ca="1">IF(B1647="", "", IFERROR(INDEX(声優一覧!A:A, MATCH(B1647, 声優一覧!B:B, 0)), "該当なし"))</f>
        <v>va_160</v>
      </c>
      <c r="B1647" s="1" t="str">
        <f ca="1">IFERROR(__xludf.DUMMYFUNCTION("""COMPUTED_VALUE"""),"福山潤")</f>
        <v>福山潤</v>
      </c>
      <c r="C1647" s="1" t="s">
        <v>285</v>
      </c>
      <c r="D1647" s="1" t="str">
        <f>IF(C1647="", "", IFERROR(VLOOKUP(C1647, 作品一覧!A:B, 2, FALSE), "該当なし"))</f>
        <v>ライドカメンズ</v>
      </c>
      <c r="E1647" s="1" t="str">
        <f ca="1">IFERROR(__xludf.DUMMYFUNCTION("""COMPUTED_VALUE"""),"高塔戴天")</f>
        <v>高塔戴天</v>
      </c>
      <c r="F1647" s="10" t="s">
        <v>2465</v>
      </c>
    </row>
    <row r="1648" spans="1:6" ht="13.8">
      <c r="A1648" s="1" t="str">
        <f t="array" aca="1" ref="A1648" ca="1">IF(B1648="", "", IFERROR(INDEX(声優一覧!A:A, MATCH(B1648, 声優一覧!B:B, 0)), "該当なし"))</f>
        <v>va_083</v>
      </c>
      <c r="B1648" s="1" t="str">
        <f ca="1">IFERROR(__xludf.DUMMYFUNCTION("""COMPUTED_VALUE"""),"斉藤壮馬")</f>
        <v>斉藤壮馬</v>
      </c>
      <c r="C1648" s="1" t="s">
        <v>285</v>
      </c>
      <c r="D1648" s="1" t="str">
        <f>IF(C1648="", "", IFERROR(VLOOKUP(C1648, 作品一覧!A:B, 2, FALSE), "該当なし"))</f>
        <v>ライドカメンズ</v>
      </c>
      <c r="E1648" s="1" t="str">
        <f ca="1">IFERROR(__xludf.DUMMYFUNCTION("""COMPUTED_VALUE"""),"高塔雨竜")</f>
        <v>高塔雨竜</v>
      </c>
      <c r="F1648" s="10" t="s">
        <v>2466</v>
      </c>
    </row>
    <row r="1649" spans="1:6" ht="13.8">
      <c r="A1649" s="1" t="str">
        <f t="array" aca="1" ref="A1649" ca="1">IF(B1649="", "", IFERROR(INDEX(声優一覧!A:A, MATCH(B1649, 声優一覧!B:B, 0)), "該当なし"))</f>
        <v>va_035</v>
      </c>
      <c r="B1649" s="1" t="str">
        <f ca="1">IFERROR(__xludf.DUMMYFUNCTION("""COMPUTED_VALUE"""),"江口拓也")</f>
        <v>江口拓也</v>
      </c>
      <c r="C1649" s="1" t="s">
        <v>285</v>
      </c>
      <c r="D1649" s="1" t="str">
        <f>IF(C1649="", "", IFERROR(VLOOKUP(C1649, 作品一覧!A:B, 2, FALSE), "該当なし"))</f>
        <v>ライドカメンズ</v>
      </c>
      <c r="E1649" s="1" t="str">
        <f ca="1">IFERROR(__xludf.DUMMYFUNCTION("""COMPUTED_VALUE"""),"久城駆")</f>
        <v>久城駆</v>
      </c>
      <c r="F1649" s="10" t="s">
        <v>2467</v>
      </c>
    </row>
    <row r="1650" spans="1:6" ht="13.8">
      <c r="A1650" s="1" t="str">
        <f t="array" aca="1" ref="A1650" ca="1">IF(B1650="", "", IFERROR(INDEX(声優一覧!A:A, MATCH(B1650, 声優一覧!B:B, 0)), "該当なし"))</f>
        <v>va_046</v>
      </c>
      <c r="B1650" s="1" t="str">
        <f ca="1">IFERROR(__xludf.DUMMYFUNCTION("""COMPUTED_VALUE"""),"小野友樹")</f>
        <v>小野友樹</v>
      </c>
      <c r="C1650" s="1" t="s">
        <v>285</v>
      </c>
      <c r="D1650" s="1" t="str">
        <f>IF(C1650="", "", IFERROR(VLOOKUP(C1650, 作品一覧!A:B, 2, FALSE), "該当なし"))</f>
        <v>ライドカメンズ</v>
      </c>
      <c r="E1650" s="1" t="str">
        <f ca="1">IFERROR(__xludf.DUMMYFUNCTION("""COMPUTED_VALUE"""),"フラリオ")</f>
        <v>フラリオ</v>
      </c>
      <c r="F1650" s="10" t="s">
        <v>2468</v>
      </c>
    </row>
    <row r="1651" spans="1:6" ht="13.8">
      <c r="A1651" s="1" t="str">
        <f t="array" aca="1" ref="A1651" ca="1">IF(B1651="", "", IFERROR(INDEX(声優一覧!A:A, MATCH(B1651, 声優一覧!B:B, 0)), "該当なし"))</f>
        <v>va_219</v>
      </c>
      <c r="B1651" s="1" t="str">
        <f ca="1">IFERROR(__xludf.DUMMYFUNCTION("""COMPUTED_VALUE"""),"近藤孝行")</f>
        <v>近藤孝行</v>
      </c>
      <c r="C1651" s="1" t="s">
        <v>118</v>
      </c>
      <c r="D1651" s="1" t="str">
        <f>IF(C1651="", "", IFERROR(VLOOKUP(C1651, 作品一覧!A:B, 2, FALSE), "該当なし"))</f>
        <v>ジャックジャンヌ</v>
      </c>
      <c r="E1651" s="1" t="str">
        <f ca="1">IFERROR(__xludf.DUMMYFUNCTION("""COMPUTED_VALUE"""),"高科更文")</f>
        <v>高科更文</v>
      </c>
      <c r="F1651" s="12" t="s">
        <v>2469</v>
      </c>
    </row>
    <row r="1652" spans="1:6" ht="13.8">
      <c r="A1652" s="1" t="str">
        <f t="array" aca="1" ref="A1652" ca="1">IF(B1652="", "", IFERROR(INDEX(声優一覧!A:A, MATCH(B1652, 声優一覧!B:B, 0)), "該当なし"))</f>
        <v>va_050</v>
      </c>
      <c r="B1652" s="1" t="str">
        <f ca="1">IFERROR(__xludf.DUMMYFUNCTION("""COMPUTED_VALUE"""),"笠間淳")</f>
        <v>笠間淳</v>
      </c>
      <c r="C1652" s="1" t="s">
        <v>118</v>
      </c>
      <c r="D1652" s="1" t="str">
        <f>IF(C1652="", "", IFERROR(VLOOKUP(C1652, 作品一覧!A:B, 2, FALSE), "該当なし"))</f>
        <v>ジャックジャンヌ</v>
      </c>
      <c r="E1652" s="1" t="str">
        <f ca="1">IFERROR(__xludf.DUMMYFUNCTION("""COMPUTED_VALUE"""),"睦実介")</f>
        <v>睦実介</v>
      </c>
      <c r="F1652" s="13" t="s">
        <v>2470</v>
      </c>
    </row>
    <row r="1653" spans="1:6" ht="13.8">
      <c r="A1653" s="1" t="str">
        <f t="array" aca="1" ref="A1653" ca="1">IF(B1653="", "", IFERROR(INDEX(声優一覧!A:A, MATCH(B1653, 声優一覧!B:B, 0)), "該当なし"))</f>
        <v>va_302</v>
      </c>
      <c r="B1653" s="1" t="str">
        <f ca="1">IFERROR(__xludf.DUMMYFUNCTION("""COMPUTED_VALUE"""),"岸尾だいすけ")</f>
        <v>岸尾だいすけ</v>
      </c>
      <c r="C1653" s="1" t="s">
        <v>118</v>
      </c>
      <c r="D1653" s="1" t="str">
        <f>IF(C1653="", "", IFERROR(VLOOKUP(C1653, 作品一覧!A:B, 2, FALSE), "該当なし"))</f>
        <v>ジャックジャンヌ</v>
      </c>
      <c r="E1653" s="1" t="str">
        <f ca="1">IFERROR(__xludf.DUMMYFUNCTION("""COMPUTED_VALUE"""),"根地黒門")</f>
        <v>根地黒門</v>
      </c>
      <c r="F1653" s="12" t="s">
        <v>2471</v>
      </c>
    </row>
    <row r="1654" spans="1:6" ht="13.8">
      <c r="A1654" s="1" t="str">
        <f t="array" aca="1" ref="A1654" ca="1">IF(B1654="", "", IFERROR(INDEX(声優一覧!A:A, MATCH(B1654, 声優一覧!B:B, 0)), "該当なし"))</f>
        <v>va_053</v>
      </c>
      <c r="B1654" s="1" t="str">
        <f ca="1">IFERROR(__xludf.DUMMYFUNCTION("""COMPUTED_VALUE"""),"梶原岳人")</f>
        <v>梶原岳人</v>
      </c>
      <c r="C1654" s="1" t="s">
        <v>118</v>
      </c>
      <c r="D1654" s="1" t="str">
        <f>IF(C1654="", "", IFERROR(VLOOKUP(C1654, 作品一覧!A:B, 2, FALSE), "該当なし"))</f>
        <v>ジャックジャンヌ</v>
      </c>
      <c r="E1654" s="1" t="str">
        <f ca="1">IFERROR(__xludf.DUMMYFUNCTION("""COMPUTED_VALUE"""),"白田美ツ騎")</f>
        <v>白田美ツ騎</v>
      </c>
      <c r="F1654" s="12" t="s">
        <v>2472</v>
      </c>
    </row>
    <row r="1655" spans="1:6" ht="13.8">
      <c r="A1655" s="1" t="str">
        <f t="array" aca="1" ref="A1655" ca="1">IF(B1655="", "", IFERROR(INDEX(声優一覧!A:A, MATCH(B1655, 声優一覧!B:B, 0)), "該当なし"))</f>
        <v>va_030</v>
      </c>
      <c r="B1655" s="1" t="str">
        <f ca="1">IFERROR(__xludf.DUMMYFUNCTION("""COMPUTED_VALUE"""),"内田雄馬")</f>
        <v>内田雄馬</v>
      </c>
      <c r="C1655" s="1" t="s">
        <v>118</v>
      </c>
      <c r="D1655" s="1" t="str">
        <f>IF(C1655="", "", IFERROR(VLOOKUP(C1655, 作品一覧!A:B, 2, FALSE), "該当なし"))</f>
        <v>ジャックジャンヌ</v>
      </c>
      <c r="E1655" s="1" t="str">
        <f ca="1">IFERROR(__xludf.DUMMYFUNCTION("""COMPUTED_VALUE"""),"織巻寿々")</f>
        <v>織巻寿々</v>
      </c>
      <c r="F1655" s="12" t="s">
        <v>2473</v>
      </c>
    </row>
    <row r="1656" spans="1:6" ht="13.8">
      <c r="A1656" s="1" t="str">
        <f t="array" aca="1" ref="A1656" ca="1">IF(B1656="", "", IFERROR(INDEX(声優一覧!A:A, MATCH(B1656, 声優一覧!B:B, 0)), "該当なし"))</f>
        <v>va_310</v>
      </c>
      <c r="B1656" s="1" t="str">
        <f ca="1">IFERROR(__xludf.DUMMYFUNCTION("""COMPUTED_VALUE"""),"佐藤元")</f>
        <v>佐藤元</v>
      </c>
      <c r="C1656" s="1" t="s">
        <v>118</v>
      </c>
      <c r="D1656" s="1" t="str">
        <f>IF(C1656="", "", IFERROR(VLOOKUP(C1656, 作品一覧!A:B, 2, FALSE), "該当なし"))</f>
        <v>ジャックジャンヌ</v>
      </c>
      <c r="E1656" s="1" t="str">
        <f ca="1">IFERROR(__xludf.DUMMYFUNCTION("""COMPUTED_VALUE"""),"世長創司郎")</f>
        <v>世長創司郎</v>
      </c>
      <c r="F1656" s="12" t="s">
        <v>2474</v>
      </c>
    </row>
    <row r="1657" spans="1:6" ht="13.8">
      <c r="A1657" s="1" t="str">
        <f t="array" aca="1" ref="A1657" ca="1">IF(B1657="", "", IFERROR(INDEX(声優一覧!A:A, MATCH(B1657, 声優一覧!B:B, 0)), "該当なし"))</f>
        <v>va_013</v>
      </c>
      <c r="B1657" s="1" t="str">
        <f ca="1">IFERROR(__xludf.DUMMYFUNCTION("""COMPUTED_VALUE"""),"石川界人")</f>
        <v>石川界人</v>
      </c>
      <c r="C1657" s="1" t="s">
        <v>229</v>
      </c>
      <c r="D1657" s="1" t="str">
        <f>IF(C1657="", "", IFERROR(VLOOKUP(C1657, 作品一覧!A:B, 2, FALSE), "該当なし"))</f>
        <v>ピオフィオーレの晩鐘</v>
      </c>
      <c r="E1657" s="1" t="str">
        <f ca="1">IFERROR(__xludf.DUMMYFUNCTION("""COMPUTED_VALUE"""),"ダンテ・ファルツォーネ")</f>
        <v>ダンテ・ファルツォーネ</v>
      </c>
      <c r="F1657" s="10" t="s">
        <v>2475</v>
      </c>
    </row>
    <row r="1658" spans="1:6" ht="13.8">
      <c r="A1658" s="1" t="str">
        <f t="array" aca="1" ref="A1658" ca="1">IF(B1658="", "", IFERROR(INDEX(声優一覧!A:A, MATCH(B1658, 声優一覧!B:B, 0)), "該当なし"))</f>
        <v>va_185</v>
      </c>
      <c r="B1658" s="1" t="str">
        <f ca="1">IFERROR(__xludf.DUMMYFUNCTION("""COMPUTED_VALUE"""),"森久保祥太郎")</f>
        <v>森久保祥太郎</v>
      </c>
      <c r="C1658" s="1" t="s">
        <v>229</v>
      </c>
      <c r="D1658" s="1" t="str">
        <f>IF(C1658="", "", IFERROR(VLOOKUP(C1658, 作品一覧!A:B, 2, FALSE), "該当なし"))</f>
        <v>ピオフィオーレの晩鐘</v>
      </c>
      <c r="E1658" s="1" t="str">
        <f ca="1">IFERROR(__xludf.DUMMYFUNCTION("""COMPUTED_VALUE"""),"ギルバート・レッドフォード")</f>
        <v>ギルバート・レッドフォード</v>
      </c>
      <c r="F1658" s="10" t="s">
        <v>2476</v>
      </c>
    </row>
    <row r="1659" spans="1:6" ht="13.8">
      <c r="A1659" s="1" t="str">
        <f t="array" aca="1" ref="A1659" ca="1">IF(B1659="", "", IFERROR(INDEX(声優一覧!A:A, MATCH(B1659, 声優一覧!B:B, 0)), "該当なし"))</f>
        <v>va_042</v>
      </c>
      <c r="B1659" s="1" t="str">
        <f ca="1">IFERROR(__xludf.DUMMYFUNCTION("""COMPUTED_VALUE"""),"岡本信彦")</f>
        <v>岡本信彦</v>
      </c>
      <c r="C1659" s="1" t="s">
        <v>229</v>
      </c>
      <c r="D1659" s="1" t="str">
        <f>IF(C1659="", "", IFERROR(VLOOKUP(C1659, 作品一覧!A:B, 2, FALSE), "該当なし"))</f>
        <v>ピオフィオーレの晩鐘</v>
      </c>
      <c r="E1659" s="1" t="str">
        <f ca="1">IFERROR(__xludf.DUMMYFUNCTION("""COMPUTED_VALUE"""),"楊")</f>
        <v>楊</v>
      </c>
      <c r="F1659" s="10" t="s">
        <v>2477</v>
      </c>
    </row>
    <row r="1660" spans="1:6" ht="13.8">
      <c r="A1660" s="1" t="str">
        <f t="array" aca="1" ref="A1660" ca="1">IF(B1660="", "", IFERROR(INDEX(声優一覧!A:A, MATCH(B1660, 声優一覧!B:B, 0)), "該当なし"))</f>
        <v>va_066</v>
      </c>
      <c r="B1660" s="1" t="str">
        <f ca="1">IFERROR(__xludf.DUMMYFUNCTION("""COMPUTED_VALUE"""),"木村良平")</f>
        <v>木村良平</v>
      </c>
      <c r="C1660" s="1" t="s">
        <v>229</v>
      </c>
      <c r="D1660" s="1" t="str">
        <f>IF(C1660="", "", IFERROR(VLOOKUP(C1660, 作品一覧!A:B, 2, FALSE), "該当なし"))</f>
        <v>ピオフィオーレの晩鐘</v>
      </c>
      <c r="E1660" s="1" t="str">
        <f ca="1">IFERROR(__xludf.DUMMYFUNCTION("""COMPUTED_VALUE"""),"ニコラ・フランチェスカ")</f>
        <v>ニコラ・フランチェスカ</v>
      </c>
      <c r="F1660" s="10" t="s">
        <v>2478</v>
      </c>
    </row>
    <row r="1661" spans="1:6" ht="13.8">
      <c r="A1661" s="1" t="str">
        <f t="array" aca="1" ref="A1661" ca="1">IF(B1661="", "", IFERROR(INDEX(声優一覧!A:A, MATCH(B1661, 声優一覧!B:B, 0)), "該当なし"))</f>
        <v>va_131</v>
      </c>
      <c r="B1661" s="1" t="str">
        <f ca="1">IFERROR(__xludf.DUMMYFUNCTION("""COMPUTED_VALUE"""),"豊永利行")</f>
        <v>豊永利行</v>
      </c>
      <c r="C1661" s="1" t="s">
        <v>229</v>
      </c>
      <c r="D1661" s="1" t="str">
        <f>IF(C1661="", "", IFERROR(VLOOKUP(C1661, 作品一覧!A:B, 2, FALSE), "該当なし"))</f>
        <v>ピオフィオーレの晩鐘</v>
      </c>
      <c r="E1661" s="1" t="str">
        <f ca="1">IFERROR(__xludf.DUMMYFUNCTION("""COMPUTED_VALUE"""),"オルロック")</f>
        <v>オルロック</v>
      </c>
      <c r="F1661" s="10" t="s">
        <v>2479</v>
      </c>
    </row>
    <row r="1662" spans="1:6" ht="13.8">
      <c r="A1662" s="1" t="str">
        <f t="array" aca="1" ref="A1662" ca="1">IF(B1662="", "", IFERROR(INDEX(声優一覧!A:A, MATCH(B1662, 声優一覧!B:B, 0)), "該当なし"))</f>
        <v>va_114</v>
      </c>
      <c r="B1662" s="1" t="str">
        <f ca="1">IFERROR(__xludf.DUMMYFUNCTION("""COMPUTED_VALUE"""),"立花慎之介")</f>
        <v>立花慎之介</v>
      </c>
      <c r="C1662" s="1" t="s">
        <v>229</v>
      </c>
      <c r="D1662" s="1" t="str">
        <f>IF(C1662="", "", IFERROR(VLOOKUP(C1662, 作品一覧!A:B, 2, FALSE), "該当なし"))</f>
        <v>ピオフィオーレの晩鐘</v>
      </c>
      <c r="E1662" s="1" t="str">
        <f ca="1">IFERROR(__xludf.DUMMYFUNCTION("""COMPUTED_VALUE"""),"アンリ・ランベール")</f>
        <v>アンリ・ランベール</v>
      </c>
      <c r="F1662" s="10" t="s">
        <v>2480</v>
      </c>
    </row>
    <row r="1663" spans="1:6" ht="13.8">
      <c r="A1663" s="1" t="str">
        <f t="array" aca="1" ref="A1663" ca="1">IF(B1663="", "", IFERROR(INDEX(声優一覧!A:A, MATCH(B1663, 声優一覧!B:B, 0)), "該当なし"))</f>
        <v>va_200</v>
      </c>
      <c r="B1663" s="1" t="str">
        <f ca="1">IFERROR(__xludf.DUMMYFUNCTION("""COMPUTED_VALUE"""),"KENN")</f>
        <v>KENN</v>
      </c>
      <c r="C1663" s="1" t="s">
        <v>100</v>
      </c>
      <c r="D1663" s="1" t="str">
        <f>IF(C1663="", "", IFERROR(VLOOKUP(C1663, 作品一覧!A:B, 2, FALSE), "該当なし"))</f>
        <v>喧嘩番長 乙女</v>
      </c>
      <c r="E1663" s="1" t="str">
        <f ca="1">IFERROR(__xludf.DUMMYFUNCTION("""COMPUTED_VALUE"""),"箕輪斗々丸")</f>
        <v>箕輪斗々丸</v>
      </c>
      <c r="F1663" s="10" t="s">
        <v>2481</v>
      </c>
    </row>
    <row r="1664" spans="1:6" ht="13.8">
      <c r="A1664" s="1" t="str">
        <f t="array" aca="1" ref="A1664" ca="1">IF(B1664="", "", IFERROR(INDEX(声優一覧!A:A, MATCH(B1664, 声優一覧!B:B, 0)), "該当なし"))</f>
        <v>va_009</v>
      </c>
      <c r="B1664" s="1" t="str">
        <f ca="1">IFERROR(__xludf.DUMMYFUNCTION("""COMPUTED_VALUE"""),"蒼井翔太")</f>
        <v>蒼井翔太</v>
      </c>
      <c r="C1664" s="1" t="s">
        <v>100</v>
      </c>
      <c r="D1664" s="1" t="str">
        <f>IF(C1664="", "", IFERROR(VLOOKUP(C1664, 作品一覧!A:B, 2, FALSE), "該当なし"))</f>
        <v>喧嘩番長 乙女</v>
      </c>
      <c r="E1664" s="1" t="str">
        <f ca="1">IFERROR(__xludf.DUMMYFUNCTION("""COMPUTED_VALUE"""),"金春貴之")</f>
        <v>金春貴之</v>
      </c>
      <c r="F1664" s="10" t="s">
        <v>2482</v>
      </c>
    </row>
    <row r="1665" spans="1:6" ht="13.8">
      <c r="A1665" s="1" t="str">
        <f t="array" aca="1" ref="A1665" ca="1">IF(B1665="", "", IFERROR(INDEX(声優一覧!A:A, MATCH(B1665, 声優一覧!B:B, 0)), "該当なし"))</f>
        <v>va_013</v>
      </c>
      <c r="B1665" s="1" t="str">
        <f ca="1">IFERROR(__xludf.DUMMYFUNCTION("""COMPUTED_VALUE"""),"石川界人")</f>
        <v>石川界人</v>
      </c>
      <c r="C1665" s="1" t="s">
        <v>100</v>
      </c>
      <c r="D1665" s="1" t="str">
        <f>IF(C1665="", "", IFERROR(VLOOKUP(C1665, 作品一覧!A:B, 2, FALSE), "該当なし"))</f>
        <v>喧嘩番長 乙女</v>
      </c>
      <c r="E1665" s="1" t="str">
        <f ca="1">IFERROR(__xludf.DUMMYFUNCTION("""COMPUTED_VALUE"""),"相楽天馬")</f>
        <v>相楽天馬</v>
      </c>
      <c r="F1665" s="10" t="s">
        <v>2483</v>
      </c>
    </row>
    <row r="1666" spans="1:6" ht="13.8">
      <c r="A1666" s="1" t="str">
        <f t="array" aca="1" ref="A1666" ca="1">IF(B1666="", "", IFERROR(INDEX(声優一覧!A:A, MATCH(B1666, 声優一覧!B:B, 0)), "該当なし"))</f>
        <v>va_164</v>
      </c>
      <c r="B1666" s="1" t="str">
        <f ca="1">IFERROR(__xludf.DUMMYFUNCTION("""COMPUTED_VALUE"""),"細谷佳正")</f>
        <v>細谷佳正</v>
      </c>
      <c r="C1666" s="1" t="s">
        <v>100</v>
      </c>
      <c r="D1666" s="1" t="str">
        <f>IF(C1666="", "", IFERROR(VLOOKUP(C1666, 作品一覧!A:B, 2, FALSE), "該当なし"))</f>
        <v>喧嘩番長 乙女</v>
      </c>
      <c r="E1666" s="1" t="str">
        <f ca="1">IFERROR(__xludf.DUMMYFUNCTION("""COMPUTED_VALUE"""),"吉良麟太郎")</f>
        <v>吉良麟太郎</v>
      </c>
      <c r="F1666" s="10" t="s">
        <v>2484</v>
      </c>
    </row>
    <row r="1667" spans="1:6" ht="13.8">
      <c r="A1667" s="1" t="str">
        <f t="array" aca="1" ref="A1667" ca="1">IF(B1667="", "", IFERROR(INDEX(声優一覧!A:A, MATCH(B1667, 声優一覧!B:B, 0)), "該当なし"))</f>
        <v>va_048</v>
      </c>
      <c r="B1667" s="1" t="str">
        <f ca="1">IFERROR(__xludf.DUMMYFUNCTION("""COMPUTED_VALUE"""),"柿原徹也")</f>
        <v>柿原徹也</v>
      </c>
      <c r="C1667" s="1" t="s">
        <v>100</v>
      </c>
      <c r="D1667" s="1" t="str">
        <f>IF(C1667="", "", IFERROR(VLOOKUP(C1667, 作品一覧!A:B, 2, FALSE), "該当なし"))</f>
        <v>喧嘩番長 乙女</v>
      </c>
      <c r="E1667" s="1" t="str">
        <f ca="1">IFERROR(__xludf.DUMMYFUNCTION("""COMPUTED_VALUE"""),"未良子裕太")</f>
        <v>未良子裕太</v>
      </c>
      <c r="F1667" s="10" t="s">
        <v>2485</v>
      </c>
    </row>
    <row r="1668" spans="1:6" ht="13.8">
      <c r="A1668" s="1" t="str">
        <f t="array" aca="1" ref="A1668" ca="1">IF(B1668="", "", IFERROR(INDEX(声優一覧!A:A, MATCH(B1668, 声優一覧!B:B, 0)), "該当なし"))</f>
        <v>va_169</v>
      </c>
      <c r="B1668" s="1" t="str">
        <f ca="1">IFERROR(__xludf.DUMMYFUNCTION("""COMPUTED_VALUE"""),"前野智昭")</f>
        <v>前野智昭</v>
      </c>
      <c r="C1668" s="1" t="s">
        <v>100</v>
      </c>
      <c r="D1668" s="1" t="str">
        <f>IF(C1668="", "", IFERROR(VLOOKUP(C1668, 作品一覧!A:B, 2, FALSE), "該当なし"))</f>
        <v>喧嘩番長 乙女</v>
      </c>
      <c r="E1668" s="1" t="str">
        <f ca="1">IFERROR(__xludf.DUMMYFUNCTION("""COMPUTED_VALUE"""),"鬼ヶ島鳳凰")</f>
        <v>鬼ヶ島鳳凰</v>
      </c>
      <c r="F1668" s="10" t="s">
        <v>2486</v>
      </c>
    </row>
    <row r="1669" spans="1:6" ht="13.8">
      <c r="A1669" s="1" t="str">
        <f t="array" aca="1" ref="A1669" ca="1">IF(B1669="", "", IFERROR(INDEX(声優一覧!A:A, MATCH(B1669, 声優一覧!B:B, 0)), "該当なし"))</f>
        <v>va_030</v>
      </c>
      <c r="B1669" s="1" t="str">
        <f ca="1">IFERROR(__xludf.DUMMYFUNCTION("""COMPUTED_VALUE"""),"内田雄馬")</f>
        <v>内田雄馬</v>
      </c>
      <c r="C1669" s="1" t="s">
        <v>92</v>
      </c>
      <c r="D1669" s="1" t="str">
        <f>IF(C1669="", "", IFERROR(VLOOKUP(C1669, 作品一覧!A:B, 2, FALSE), "該当なし"))</f>
        <v>CRAZY CHA!N -エルピスの鎖-</v>
      </c>
      <c r="E1669" s="1" t="str">
        <f ca="1">IFERROR(__xludf.DUMMYFUNCTION("""COMPUTED_VALUE"""),"リーズ・ルネ・シャナ")</f>
        <v>リーズ・ルネ・シャナ</v>
      </c>
      <c r="F1669" s="10" t="s">
        <v>2487</v>
      </c>
    </row>
    <row r="1670" spans="1:6" ht="13.8">
      <c r="A1670" s="1" t="str">
        <f t="array" aca="1" ref="A1670" ca="1">IF(B1670="", "", IFERROR(INDEX(声優一覧!A:A, MATCH(B1670, 声優一覧!B:B, 0)), "該当なし"))</f>
        <v>va_034</v>
      </c>
      <c r="B1670" s="1" t="str">
        <f ca="1">IFERROR(__xludf.DUMMYFUNCTION("""COMPUTED_VALUE"""),"浦和希")</f>
        <v>浦和希</v>
      </c>
      <c r="C1670" s="1" t="s">
        <v>92</v>
      </c>
      <c r="D1670" s="1" t="str">
        <f>IF(C1670="", "", IFERROR(VLOOKUP(C1670, 作品一覧!A:B, 2, FALSE), "該当なし"))</f>
        <v>CRAZY CHA!N -エルピスの鎖-</v>
      </c>
      <c r="E1670" s="1" t="str">
        <f ca="1">IFERROR(__xludf.DUMMYFUNCTION("""COMPUTED_VALUE"""),"レクス・ド・クラーシェル")</f>
        <v>レクス・ド・クラーシェル</v>
      </c>
      <c r="F1670" s="10" t="s">
        <v>2488</v>
      </c>
    </row>
    <row r="1671" spans="1:6" ht="13.8">
      <c r="A1671" s="1" t="str">
        <f t="array" aca="1" ref="A1671" ca="1">IF(B1671="", "", IFERROR(INDEX(声優一覧!A:A, MATCH(B1671, 声優一覧!B:B, 0)), "該当なし"))</f>
        <v>va_192</v>
      </c>
      <c r="B1671" s="1" t="str">
        <f ca="1">IFERROR(__xludf.DUMMYFUNCTION("""COMPUTED_VALUE"""),"山下誠一郎")</f>
        <v>山下誠一郎</v>
      </c>
      <c r="C1671" s="1" t="s">
        <v>92</v>
      </c>
      <c r="D1671" s="1" t="str">
        <f>IF(C1671="", "", IFERROR(VLOOKUP(C1671, 作品一覧!A:B, 2, FALSE), "該当なし"))</f>
        <v>CRAZY CHA!N -エルピスの鎖-</v>
      </c>
      <c r="E1671" s="1" t="str">
        <f ca="1">IFERROR(__xludf.DUMMYFUNCTION("""COMPUTED_VALUE"""),"ヴァーデス")</f>
        <v>ヴァーデス</v>
      </c>
      <c r="F1671" s="10" t="s">
        <v>2489</v>
      </c>
    </row>
    <row r="1672" spans="1:6" ht="13.8">
      <c r="A1672" s="1" t="str">
        <f t="array" aca="1" ref="A1672" ca="1">IF(B1672="", "", IFERROR(INDEX(声優一覧!A:A, MATCH(B1672, 声優一覧!B:B, 0)), "該当なし"))</f>
        <v>va_143</v>
      </c>
      <c r="B1672" s="1" t="str">
        <f ca="1">IFERROR(__xludf.DUMMYFUNCTION("""COMPUTED_VALUE"""),"野島健児")</f>
        <v>野島健児</v>
      </c>
      <c r="C1672" s="1" t="s">
        <v>92</v>
      </c>
      <c r="D1672" s="1" t="str">
        <f>IF(C1672="", "", IFERROR(VLOOKUP(C1672, 作品一覧!A:B, 2, FALSE), "該当なし"))</f>
        <v>CRAZY CHA!N -エルピスの鎖-</v>
      </c>
      <c r="E1672" s="1" t="str">
        <f ca="1">IFERROR(__xludf.DUMMYFUNCTION("""COMPUTED_VALUE"""),"フラトニス・ライラプス")</f>
        <v>フラトニス・ライラプス</v>
      </c>
      <c r="F1672" s="10" t="s">
        <v>2490</v>
      </c>
    </row>
    <row r="1673" spans="1:6" ht="13.8">
      <c r="A1673" s="1" t="str">
        <f t="array" aca="1" ref="A1673" ca="1">IF(B1673="", "", IFERROR(INDEX(声優一覧!A:A, MATCH(B1673, 声優一覧!B:B, 0)), "該当なし"))</f>
        <v>va_161</v>
      </c>
      <c r="B1673" s="1" t="str">
        <f ca="1">IFERROR(__xludf.DUMMYFUNCTION("""COMPUTED_VALUE"""),"古川慎")</f>
        <v>古川慎</v>
      </c>
      <c r="C1673" s="1" t="s">
        <v>92</v>
      </c>
      <c r="D1673" s="1" t="str">
        <f>IF(C1673="", "", IFERROR(VLOOKUP(C1673, 作品一覧!A:B, 2, FALSE), "該当なし"))</f>
        <v>CRAZY CHA!N -エルピスの鎖-</v>
      </c>
      <c r="E1673" s="1" t="str">
        <f ca="1">IFERROR(__xludf.DUMMYFUNCTION("""COMPUTED_VALUE"""),"クロノール")</f>
        <v>クロノール</v>
      </c>
      <c r="F1673" s="10" t="s">
        <v>2491</v>
      </c>
    </row>
    <row r="1674" spans="1:6" ht="13.8">
      <c r="A1674" s="1" t="str">
        <f t="array" aca="1" ref="A1674" ca="1">IF(B1674="", "", IFERROR(INDEX(声優一覧!A:A, MATCH(B1674, 声優一覧!B:B, 0)), "該当なし"))</f>
        <v>va_051</v>
      </c>
      <c r="B1674" s="1" t="str">
        <f ca="1">IFERROR(__xludf.DUMMYFUNCTION("""COMPUTED_VALUE"""),"梶裕貴")</f>
        <v>梶裕貴</v>
      </c>
      <c r="C1674" s="1" t="s">
        <v>92</v>
      </c>
      <c r="D1674" s="1" t="str">
        <f>IF(C1674="", "", IFERROR(VLOOKUP(C1674, 作品一覧!A:B, 2, FALSE), "該当なし"))</f>
        <v>CRAZY CHA!N -エルピスの鎖-</v>
      </c>
      <c r="E1674" s="1" t="str">
        <f ca="1">IFERROR(__xludf.DUMMYFUNCTION("""COMPUTED_VALUE"""),"God")</f>
        <v>God</v>
      </c>
      <c r="F1674" s="10" t="s">
        <v>2492</v>
      </c>
    </row>
    <row r="1675" spans="1:6" ht="13.8">
      <c r="A1675" s="1" t="str">
        <f t="array" aca="1" ref="A1675" ca="1">IF(B1675="", "", IFERROR(INDEX(声優一覧!A:A, MATCH(B1675, 声優一覧!B:B, 0)), "該当なし"))</f>
        <v>va_122</v>
      </c>
      <c r="B1675" s="1" t="str">
        <f ca="1">IFERROR(__xludf.DUMMYFUNCTION("""COMPUTED_VALUE"""),"土田玲央")</f>
        <v>土田玲央</v>
      </c>
      <c r="C1675" s="1" t="s">
        <v>67</v>
      </c>
      <c r="D1675" s="1" t="str">
        <f>IF(C1675="", "", IFERROR(VLOOKUP(C1675, 作品一覧!A:B, 2, FALSE), "該当なし"))</f>
        <v>おんせんし</v>
      </c>
      <c r="E1675" s="1" t="str">
        <f ca="1">IFERROR(__xludf.DUMMYFUNCTION("""COMPUTED_VALUE"""),"シオ")</f>
        <v>シオ</v>
      </c>
      <c r="F1675" s="10" t="s">
        <v>2493</v>
      </c>
    </row>
    <row r="1676" spans="1:6" ht="13.8">
      <c r="A1676" s="1" t="str">
        <f t="array" aca="1" ref="A1676" ca="1">IF(B1676="", "", IFERROR(INDEX(声優一覧!A:A, MATCH(B1676, 声優一覧!B:B, 0)), "該当なし"))</f>
        <v>va_225</v>
      </c>
      <c r="B1676" s="1" t="str">
        <f ca="1">IFERROR(__xludf.DUMMYFUNCTION("""COMPUTED_VALUE"""),"石橋陽彩")</f>
        <v>石橋陽彩</v>
      </c>
      <c r="C1676" s="1" t="s">
        <v>67</v>
      </c>
      <c r="D1676" s="1" t="str">
        <f>IF(C1676="", "", IFERROR(VLOOKUP(C1676, 作品一覧!A:B, 2, FALSE), "該当なし"))</f>
        <v>おんせんし</v>
      </c>
      <c r="E1676" s="1" t="str">
        <f ca="1">IFERROR(__xludf.DUMMYFUNCTION("""COMPUTED_VALUE"""),"リュウ")</f>
        <v>リュウ</v>
      </c>
      <c r="F1676" s="10" t="s">
        <v>2494</v>
      </c>
    </row>
    <row r="1677" spans="1:6" ht="13.8">
      <c r="A1677" s="1" t="str">
        <f t="array" aca="1" ref="A1677" ca="1">IF(B1677="", "", IFERROR(INDEX(声優一覧!A:A, MATCH(B1677, 声優一覧!B:B, 0)), "該当なし"))</f>
        <v>va_148</v>
      </c>
      <c r="B1677" s="1" t="str">
        <f ca="1">IFERROR(__xludf.DUMMYFUNCTION("""COMPUTED_VALUE"""),"羽多野渉")</f>
        <v>羽多野渉</v>
      </c>
      <c r="C1677" s="1" t="s">
        <v>67</v>
      </c>
      <c r="D1677" s="1" t="str">
        <f>IF(C1677="", "", IFERROR(VLOOKUP(C1677, 作品一覧!A:B, 2, FALSE), "該当なし"))</f>
        <v>おんせんし</v>
      </c>
      <c r="E1677" s="1" t="str">
        <f ca="1">IFERROR(__xludf.DUMMYFUNCTION("""COMPUTED_VALUE"""),"ラドン")</f>
        <v>ラドン</v>
      </c>
      <c r="F1677" s="10" t="s">
        <v>2495</v>
      </c>
    </row>
    <row r="1678" spans="1:6" ht="13.8">
      <c r="A1678" s="1" t="str">
        <f t="array" aca="1" ref="A1678" ca="1">IF(B1678="", "", IFERROR(INDEX(声優一覧!A:A, MATCH(B1678, 声優一覧!B:B, 0)), "該当なし"))</f>
        <v>va_172</v>
      </c>
      <c r="B1678" s="1" t="str">
        <f ca="1">IFERROR(__xludf.DUMMYFUNCTION("""COMPUTED_VALUE"""),"増田俊樹")</f>
        <v>増田俊樹</v>
      </c>
      <c r="C1678" s="1" t="s">
        <v>67</v>
      </c>
      <c r="D1678" s="1" t="str">
        <f>IF(C1678="", "", IFERROR(VLOOKUP(C1678, 作品一覧!A:B, 2, FALSE), "該当なし"))</f>
        <v>おんせんし</v>
      </c>
      <c r="E1678" s="1" t="str">
        <f ca="1">IFERROR(__xludf.DUMMYFUNCTION("""COMPUTED_VALUE"""),"タンソ")</f>
        <v>タンソ</v>
      </c>
      <c r="F1678" s="10" t="s">
        <v>2496</v>
      </c>
    </row>
    <row r="1679" spans="1:6" ht="13.8">
      <c r="A1679" s="1" t="str">
        <f t="array" aca="1" ref="A1679" ca="1">IF(B1679="", "", IFERROR(INDEX(声優一覧!A:A, MATCH(B1679, 声優一覧!B:B, 0)), "該当なし"))</f>
        <v>va_043</v>
      </c>
      <c r="B1679" s="1" t="str">
        <f ca="1">IFERROR(__xludf.DUMMYFUNCTION("""COMPUTED_VALUE"""),"置鮎龍太郎")</f>
        <v>置鮎龍太郎</v>
      </c>
      <c r="C1679" s="1" t="s">
        <v>67</v>
      </c>
      <c r="D1679" s="1" t="str">
        <f>IF(C1679="", "", IFERROR(VLOOKUP(C1679, 作品一覧!A:B, 2, FALSE), "該当なし"))</f>
        <v>おんせんし</v>
      </c>
      <c r="E1679" s="1" t="str">
        <f ca="1">IFERROR(__xludf.DUMMYFUNCTION("""COMPUTED_VALUE"""),"テツ")</f>
        <v>テツ</v>
      </c>
      <c r="F1679" s="10" t="s">
        <v>2497</v>
      </c>
    </row>
    <row r="1680" spans="1:6" ht="13.8">
      <c r="A1680" s="1" t="str">
        <f t="array" aca="1" ref="A1680" ca="1">IF(B1680="", "", IFERROR(INDEX(声優一覧!A:A, MATCH(B1680, 声優一覧!B:B, 0)), "該当なし"))</f>
        <v>va_123</v>
      </c>
      <c r="B1680" s="1" t="str">
        <f ca="1">IFERROR(__xludf.DUMMYFUNCTION("""COMPUTED_VALUE"""),"土屋神葉")</f>
        <v>土屋神葉</v>
      </c>
      <c r="C1680" s="1" t="s">
        <v>67</v>
      </c>
      <c r="D1680" s="1" t="str">
        <f>IF(C1680="", "", IFERROR(VLOOKUP(C1680, 作品一覧!A:B, 2, FALSE), "該当なし"))</f>
        <v>おんせんし</v>
      </c>
      <c r="E1680" s="1" t="str">
        <f ca="1">IFERROR(__xludf.DUMMYFUNCTION("""COMPUTED_VALUE"""),"ジュウソウ")</f>
        <v>ジュウソウ</v>
      </c>
      <c r="F1680" s="10" t="s">
        <v>2498</v>
      </c>
    </row>
    <row r="1681" spans="1:6" ht="13.8">
      <c r="A1681" s="1" t="str">
        <f t="array" aca="1" ref="A1681" ca="1">IF(B1681="", "", IFERROR(INDEX(声優一覧!A:A, MATCH(B1681, 声優一覧!B:B, 0)), "該当なし"))</f>
        <v>va_046</v>
      </c>
      <c r="B1681" s="1" t="str">
        <f ca="1">IFERROR(__xludf.DUMMYFUNCTION("""COMPUTED_VALUE"""),"小野友樹")</f>
        <v>小野友樹</v>
      </c>
      <c r="C1681" s="1" t="s">
        <v>67</v>
      </c>
      <c r="D1681" s="1" t="str">
        <f>IF(C1681="", "", IFERROR(VLOOKUP(C1681, 作品一覧!A:B, 2, FALSE), "該当なし"))</f>
        <v>おんせんし</v>
      </c>
      <c r="E1681" s="1" t="str">
        <f ca="1">IFERROR(__xludf.DUMMYFUNCTION("""COMPUTED_VALUE"""),"ガンヨウ")</f>
        <v>ガンヨウ</v>
      </c>
      <c r="F1681" s="10" t="s">
        <v>2499</v>
      </c>
    </row>
    <row r="1682" spans="1:6" ht="13.8">
      <c r="A1682" s="1" t="str">
        <f t="array" aca="1" ref="A1682" ca="1">IF(B1682="", "", IFERROR(INDEX(声優一覧!A:A, MATCH(B1682, 声優一覧!B:B, 0)), "該当なし"))</f>
        <v>va_295</v>
      </c>
      <c r="B1682" s="1" t="str">
        <f ca="1">IFERROR(__xludf.DUMMYFUNCTION("""COMPUTED_VALUE"""),"戸谷菊之介")</f>
        <v>戸谷菊之介</v>
      </c>
      <c r="C1682" s="1" t="s">
        <v>67</v>
      </c>
      <c r="D1682" s="1" t="str">
        <f>IF(C1682="", "", IFERROR(VLOOKUP(C1682, 作品一覧!A:B, 2, FALSE), "該当なし"))</f>
        <v>おんせんし</v>
      </c>
      <c r="E1682" s="1" t="str">
        <f ca="1">IFERROR(__xludf.DUMMYFUNCTION("""COMPUTED_VALUE"""),"サン")</f>
        <v>サン</v>
      </c>
      <c r="F1682" s="10" t="s">
        <v>2500</v>
      </c>
    </row>
    <row r="1683" spans="1:6" ht="13.8">
      <c r="A1683" s="1" t="str">
        <f t="array" aca="1" ref="A1683" ca="1">IF(B1683="", "", IFERROR(INDEX(声優一覧!A:A, MATCH(B1683, 声優一覧!B:B, 0)), "該当なし"))</f>
        <v>va_023</v>
      </c>
      <c r="B1683" s="1" t="str">
        <f ca="1">IFERROR(__xludf.DUMMYFUNCTION("""COMPUTED_VALUE"""),"今井文也")</f>
        <v>今井文也</v>
      </c>
      <c r="C1683" s="1" t="s">
        <v>67</v>
      </c>
      <c r="D1683" s="1" t="str">
        <f>IF(C1683="", "", IFERROR(VLOOKUP(C1683, 作品一覧!A:B, 2, FALSE), "該当なし"))</f>
        <v>おんせんし</v>
      </c>
      <c r="E1683" s="1" t="str">
        <f ca="1">IFERROR(__xludf.DUMMYFUNCTION("""COMPUTED_VALUE"""),"イオウ")</f>
        <v>イオウ</v>
      </c>
      <c r="F1683" s="10" t="s">
        <v>2501</v>
      </c>
    </row>
    <row r="1684" spans="1:6" ht="13.8">
      <c r="A1684" s="1" t="str">
        <f t="array" aca="1" ref="A1684" ca="1">IF(B1684="", "", IFERROR(INDEX(声優一覧!A:A, MATCH(B1684, 声優一覧!B:B, 0)), "該当なし"))</f>
        <v>va_154</v>
      </c>
      <c r="B1684" s="1" t="str">
        <f ca="1">IFERROR(__xludf.DUMMYFUNCTION("""COMPUTED_VALUE"""),"廣瀬大介")</f>
        <v>廣瀬大介</v>
      </c>
      <c r="C1684" s="1" t="s">
        <v>67</v>
      </c>
      <c r="D1684" s="1" t="str">
        <f>IF(C1684="", "", IFERROR(VLOOKUP(C1684, 作品一覧!A:B, 2, FALSE), "該当なし"))</f>
        <v>おんせんし</v>
      </c>
      <c r="E1684" s="1" t="str">
        <f ca="1">IFERROR(__xludf.DUMMYFUNCTION("""COMPUTED_VALUE"""),"ジュン")</f>
        <v>ジュン</v>
      </c>
      <c r="F1684" s="10" t="s">
        <v>2502</v>
      </c>
    </row>
    <row r="1685" spans="1:6" ht="13.8">
      <c r="A1685" s="1" t="str">
        <f t="array" aca="1" ref="A1685" ca="1">IF(B1685="", "", IFERROR(INDEX(声優一覧!A:A, MATCH(B1685, 声優一覧!B:B, 0)), "該当なし"))</f>
        <v>va_161</v>
      </c>
      <c r="B1685" s="1" t="str">
        <f ca="1">IFERROR(__xludf.DUMMYFUNCTION("""COMPUTED_VALUE"""),"古川慎")</f>
        <v>古川慎</v>
      </c>
      <c r="C1685" s="1" t="s">
        <v>23</v>
      </c>
      <c r="D1685" s="1" t="str">
        <f>IF(C1685="", "", IFERROR(VLOOKUP(C1685, 作品一覧!A:B, 2, FALSE), "該当なし"))</f>
        <v>悪魔王子と操り人形</v>
      </c>
      <c r="E1685" s="1" t="str">
        <f ca="1">IFERROR(__xludf.DUMMYFUNCTION("""COMPUTED_VALUE"""),"エスパダ")</f>
        <v>エスパダ</v>
      </c>
      <c r="F1685" s="10" t="s">
        <v>2503</v>
      </c>
    </row>
    <row r="1686" spans="1:6" ht="13.8">
      <c r="A1686" s="1" t="str">
        <f t="array" aca="1" ref="A1686" ca="1">IF(B1686="", "", IFERROR(INDEX(声優一覧!A:A, MATCH(B1686, 声優一覧!B:B, 0)), "該当なし"))</f>
        <v>va_150</v>
      </c>
      <c r="B1686" s="1" t="str">
        <f ca="1">IFERROR(__xludf.DUMMYFUNCTION("""COMPUTED_VALUE"""),"花江夏樹")</f>
        <v>花江夏樹</v>
      </c>
      <c r="C1686" s="1" t="s">
        <v>23</v>
      </c>
      <c r="D1686" s="1" t="str">
        <f>IF(C1686="", "", IFERROR(VLOOKUP(C1686, 作品一覧!A:B, 2, FALSE), "該当なし"))</f>
        <v>悪魔王子と操り人形</v>
      </c>
      <c r="E1686" s="1" t="str">
        <f ca="1">IFERROR(__xludf.DUMMYFUNCTION("""COMPUTED_VALUE"""),"フィオーリ")</f>
        <v>フィオーリ</v>
      </c>
      <c r="F1686" s="10" t="s">
        <v>2504</v>
      </c>
    </row>
    <row r="1687" spans="1:6" ht="13.8">
      <c r="A1687" s="1" t="str">
        <f t="array" aca="1" ref="A1687" ca="1">IF(B1687="", "", IFERROR(INDEX(声優一覧!A:A, MATCH(B1687, 声優一覧!B:B, 0)), "該当なし"))</f>
        <v>va_094</v>
      </c>
      <c r="B1687" s="1" t="str">
        <f ca="1">IFERROR(__xludf.DUMMYFUNCTION("""COMPUTED_VALUE"""),"島﨑信長")</f>
        <v>島﨑信長</v>
      </c>
      <c r="C1687" s="1" t="s">
        <v>23</v>
      </c>
      <c r="D1687" s="1" t="str">
        <f>IF(C1687="", "", IFERROR(VLOOKUP(C1687, 作品一覧!A:B, 2, FALSE), "該当なし"))</f>
        <v>悪魔王子と操り人形</v>
      </c>
      <c r="E1687" s="1" t="str">
        <f ca="1">IFERROR(__xludf.DUMMYFUNCTION("""COMPUTED_VALUE"""),"エリク")</f>
        <v>エリク</v>
      </c>
      <c r="F1687" s="10" t="s">
        <v>2505</v>
      </c>
    </row>
    <row r="1688" spans="1:6" ht="13.8">
      <c r="A1688" s="1" t="str">
        <f t="array" aca="1" ref="A1688" ca="1">IF(B1688="", "", IFERROR(INDEX(声優一覧!A:A, MATCH(B1688, 声優一覧!B:B, 0)), "該当なし"))</f>
        <v>va_169</v>
      </c>
      <c r="B1688" s="1" t="str">
        <f ca="1">IFERROR(__xludf.DUMMYFUNCTION("""COMPUTED_VALUE"""),"前野智昭")</f>
        <v>前野智昭</v>
      </c>
      <c r="C1688" s="1" t="s">
        <v>23</v>
      </c>
      <c r="D1688" s="1" t="str">
        <f>IF(C1688="", "", IFERROR(VLOOKUP(C1688, 作品一覧!A:B, 2, FALSE), "該当なし"))</f>
        <v>悪魔王子と操り人形</v>
      </c>
      <c r="E1688" s="1" t="str">
        <f ca="1">IFERROR(__xludf.DUMMYFUNCTION("""COMPUTED_VALUE"""),"オスカー")</f>
        <v>オスカー</v>
      </c>
      <c r="F1688" s="10" t="s">
        <v>2506</v>
      </c>
    </row>
    <row r="1689" spans="1:6" ht="13.8">
      <c r="A1689" s="1" t="str">
        <f t="array" aca="1" ref="A1689" ca="1">IF(B1689="", "", IFERROR(INDEX(声優一覧!A:A, MATCH(B1689, 声優一覧!B:B, 0)), "該当なし"))</f>
        <v>va_304</v>
      </c>
      <c r="B1689" s="1" t="str">
        <f ca="1">IFERROR(__xludf.DUMMYFUNCTION("""COMPUTED_VALUE"""),"櫻井孝宏")</f>
        <v>櫻井孝宏</v>
      </c>
      <c r="C1689" s="1" t="s">
        <v>23</v>
      </c>
      <c r="D1689" s="1" t="str">
        <f>IF(C1689="", "", IFERROR(VLOOKUP(C1689, 作品一覧!A:B, 2, FALSE), "該当なし"))</f>
        <v>悪魔王子と操り人形</v>
      </c>
      <c r="E1689" s="1" t="str">
        <f ca="1">IFERROR(__xludf.DUMMYFUNCTION("""COMPUTED_VALUE"""),"メーレ")</f>
        <v>メーレ</v>
      </c>
      <c r="F1689" s="10" t="s">
        <v>2507</v>
      </c>
    </row>
    <row r="1690" spans="1:6" ht="13.8">
      <c r="A1690" s="1" t="str">
        <f t="array" aca="1" ref="A1690" ca="1">IF(B1690="", "", IFERROR(INDEX(声優一覧!A:A, MATCH(B1690, 声優一覧!B:B, 0)), "該当なし"))</f>
        <v>va_131</v>
      </c>
      <c r="B1690" s="1" t="str">
        <f ca="1">IFERROR(__xludf.DUMMYFUNCTION("""COMPUTED_VALUE"""),"豊永利行")</f>
        <v>豊永利行</v>
      </c>
      <c r="C1690" s="1" t="s">
        <v>23</v>
      </c>
      <c r="D1690" s="1" t="str">
        <f>IF(C1690="", "", IFERROR(VLOOKUP(C1690, 作品一覧!A:B, 2, FALSE), "該当なし"))</f>
        <v>悪魔王子と操り人形</v>
      </c>
      <c r="E1690" s="1" t="str">
        <f ca="1">IFERROR(__xludf.DUMMYFUNCTION("""COMPUTED_VALUE"""),"カイ")</f>
        <v>カイ</v>
      </c>
      <c r="F1690" s="10" t="s">
        <v>2508</v>
      </c>
    </row>
    <row r="1691" spans="1:6" ht="13.8">
      <c r="A1691" s="1" t="str">
        <f t="array" aca="1" ref="A1691" ca="1">IF(B1691="", "", IFERROR(INDEX(声優一覧!A:A, MATCH(B1691, 声優一覧!B:B, 0)), "該当なし"))</f>
        <v>va_141</v>
      </c>
      <c r="B1691" s="1" t="str">
        <f ca="1">IFERROR(__xludf.DUMMYFUNCTION("""COMPUTED_VALUE"""),"西山宏太朗")</f>
        <v>西山宏太朗</v>
      </c>
      <c r="C1691" s="1" t="s">
        <v>23</v>
      </c>
      <c r="D1691" s="1" t="str">
        <f>IF(C1691="", "", IFERROR(VLOOKUP(C1691, 作品一覧!A:B, 2, FALSE), "該当なし"))</f>
        <v>悪魔王子と操り人形</v>
      </c>
      <c r="E1691" s="1" t="str">
        <f ca="1">IFERROR(__xludf.DUMMYFUNCTION("""COMPUTED_VALUE"""),"ティス")</f>
        <v>ティス</v>
      </c>
      <c r="F1691" s="10" t="s">
        <v>2509</v>
      </c>
    </row>
    <row r="1692" spans="1:6" ht="13.8">
      <c r="A1692" s="1" t="str">
        <f t="array" aca="1" ref="A1692" ca="1">IF(B1692="", "", IFERROR(INDEX(声優一覧!A:A, MATCH(B1692, 声優一覧!B:B, 0)), "該当なし"))</f>
        <v>va_058</v>
      </c>
      <c r="B1692" s="1" t="str">
        <f ca="1">IFERROR(__xludf.DUMMYFUNCTION("""COMPUTED_VALUE"""),"河西健吾")</f>
        <v>河西健吾</v>
      </c>
      <c r="C1692" s="1" t="s">
        <v>23</v>
      </c>
      <c r="D1692" s="1" t="str">
        <f>IF(C1692="", "", IFERROR(VLOOKUP(C1692, 作品一覧!A:B, 2, FALSE), "該当なし"))</f>
        <v>悪魔王子と操り人形</v>
      </c>
      <c r="E1692" s="1" t="str">
        <f ca="1">IFERROR(__xludf.DUMMYFUNCTION("""COMPUTED_VALUE"""),"ローゼ")</f>
        <v>ローゼ</v>
      </c>
      <c r="F1692" s="10" t="s">
        <v>2510</v>
      </c>
    </row>
    <row r="1693" spans="1:6" ht="13.8">
      <c r="A1693" s="1" t="str">
        <f t="array" aca="1" ref="A1693" ca="1">IF(B1693="", "", IFERROR(INDEX(声優一覧!A:A, MATCH(B1693, 声優一覧!B:B, 0)), "該当なし"))</f>
        <v>va_102</v>
      </c>
      <c r="B1693" s="1" t="str">
        <f ca="1">IFERROR(__xludf.DUMMYFUNCTION("""COMPUTED_VALUE"""),"諏訪部順一")</f>
        <v>諏訪部順一</v>
      </c>
      <c r="C1693" s="1" t="s">
        <v>23</v>
      </c>
      <c r="D1693" s="1" t="str">
        <f>IF(C1693="", "", IFERROR(VLOOKUP(C1693, 作品一覧!A:B, 2, FALSE), "該当なし"))</f>
        <v>悪魔王子と操り人形</v>
      </c>
      <c r="E1693" s="1" t="str">
        <f ca="1">IFERROR(__xludf.DUMMYFUNCTION("""COMPUTED_VALUE"""),"アダラ")</f>
        <v>アダラ</v>
      </c>
      <c r="F1693" s="10" t="s">
        <v>2511</v>
      </c>
    </row>
    <row r="1694" spans="1:6" ht="13.8">
      <c r="A1694" s="1" t="str">
        <f t="array" aca="1" ref="A1694" ca="1">IF(B1694="", "", IFERROR(INDEX(声優一覧!A:A, MATCH(B1694, 声優一覧!B:B, 0)), "該当なし"))</f>
        <v>va_037</v>
      </c>
      <c r="B1694" s="1" t="str">
        <f ca="1">IFERROR(__xludf.DUMMYFUNCTION("""COMPUTED_VALUE"""),"逢坂良太")</f>
        <v>逢坂良太</v>
      </c>
      <c r="C1694" s="1" t="s">
        <v>23</v>
      </c>
      <c r="D1694" s="1" t="str">
        <f>IF(C1694="", "", IFERROR(VLOOKUP(C1694, 作品一覧!A:B, 2, FALSE), "該当なし"))</f>
        <v>悪魔王子と操り人形</v>
      </c>
      <c r="E1694" s="1" t="str">
        <f ca="1">IFERROR(__xludf.DUMMYFUNCTION("""COMPUTED_VALUE"""),"ヴァニス")</f>
        <v>ヴァニス</v>
      </c>
      <c r="F1694" s="10" t="s">
        <v>2512</v>
      </c>
    </row>
    <row r="1695" spans="1:6" ht="13.8">
      <c r="A1695" s="1" t="str">
        <f t="array" aca="1" ref="A1695" ca="1">IF(B1695="", "", IFERROR(INDEX(声優一覧!A:A, MATCH(B1695, 声優一覧!B:B, 0)), "該当なし"))</f>
        <v>va_083</v>
      </c>
      <c r="B1695" s="1" t="str">
        <f ca="1">IFERROR(__xludf.DUMMYFUNCTION("""COMPUTED_VALUE"""),"斉藤壮馬")</f>
        <v>斉藤壮馬</v>
      </c>
      <c r="C1695" s="1" t="s">
        <v>121</v>
      </c>
      <c r="D1695" s="1" t="str">
        <f>IF(C1695="", "", IFERROR(VLOOKUP(C1695, 作品一覧!A:B, 2, FALSE), "該当なし"))</f>
        <v>終遠のヴィルシュ</v>
      </c>
      <c r="E1695" s="1" t="str">
        <f ca="1">IFERROR(__xludf.DUMMYFUNCTION("""COMPUTED_VALUE"""),"イヴ")</f>
        <v>イヴ</v>
      </c>
      <c r="F1695" s="10" t="s">
        <v>2513</v>
      </c>
    </row>
    <row r="1696" spans="1:6" ht="13.8">
      <c r="A1696" s="1" t="str">
        <f t="array" aca="1" ref="A1696" ca="1">IF(B1696="", "", IFERROR(INDEX(声優一覧!A:A, MATCH(B1696, 声優一覧!B:B, 0)), "該当なし"))</f>
        <v>va_157</v>
      </c>
      <c r="B1696" s="1" t="str">
        <f ca="1">IFERROR(__xludf.DUMMYFUNCTION("""COMPUTED_VALUE"""),"平川大輔")</f>
        <v>平川大輔</v>
      </c>
      <c r="C1696" s="1" t="s">
        <v>121</v>
      </c>
      <c r="D1696" s="1" t="str">
        <f>IF(C1696="", "", IFERROR(VLOOKUP(C1696, 作品一覧!A:B, 2, FALSE), "該当なし"))</f>
        <v>終遠のヴィルシュ</v>
      </c>
      <c r="E1696" s="1" t="str">
        <f ca="1">IFERROR(__xludf.DUMMYFUNCTION("""COMPUTED_VALUE"""),"リュカ・プルースト")</f>
        <v>リュカ・プルースト</v>
      </c>
      <c r="F1696" s="10" t="s">
        <v>2514</v>
      </c>
    </row>
    <row r="1697" spans="1:6" ht="13.8">
      <c r="A1697" s="1" t="str">
        <f t="array" aca="1" ref="A1697" ca="1">IF(B1697="", "", IFERROR(INDEX(声優一覧!A:A, MATCH(B1697, 声優一覧!B:B, 0)), "該当なし"))</f>
        <v>va_007</v>
      </c>
      <c r="B1697" s="1" t="str">
        <f ca="1">IFERROR(__xludf.DUMMYFUNCTION("""COMPUTED_VALUE"""),"天﨑滉平")</f>
        <v>天﨑滉平</v>
      </c>
      <c r="C1697" s="1" t="s">
        <v>121</v>
      </c>
      <c r="D1697" s="1" t="str">
        <f>IF(C1697="", "", IFERROR(VLOOKUP(C1697, 作品一覧!A:B, 2, FALSE), "該当なし"))</f>
        <v>終遠のヴィルシュ</v>
      </c>
      <c r="E1697" s="1" t="str">
        <f ca="1">IFERROR(__xludf.DUMMYFUNCTION("""COMPUTED_VALUE"""),"マティス・クロード")</f>
        <v>マティス・クロード</v>
      </c>
      <c r="F1697" s="10" t="s">
        <v>2515</v>
      </c>
    </row>
    <row r="1698" spans="1:6" ht="13.8">
      <c r="A1698" s="1" t="str">
        <f t="array" aca="1" ref="A1698" ca="1">IF(B1698="", "", IFERROR(INDEX(声優一覧!A:A, MATCH(B1698, 声優一覧!B:B, 0)), "該当なし"))</f>
        <v>va_164</v>
      </c>
      <c r="B1698" s="1" t="str">
        <f ca="1">IFERROR(__xludf.DUMMYFUNCTION("""COMPUTED_VALUE"""),"細谷佳正")</f>
        <v>細谷佳正</v>
      </c>
      <c r="C1698" s="1" t="s">
        <v>121</v>
      </c>
      <c r="D1698" s="1" t="str">
        <f>IF(C1698="", "", IFERROR(VLOOKUP(C1698, 作品一覧!A:B, 2, FALSE), "該当なし"))</f>
        <v>終遠のヴィルシュ</v>
      </c>
      <c r="E1698" s="1" t="str">
        <f ca="1">IFERROR(__xludf.DUMMYFUNCTION("""COMPUTED_VALUE"""),"シアン・ブロフィワーズ")</f>
        <v>シアン・ブロフィワーズ</v>
      </c>
      <c r="F1698" s="10" t="s">
        <v>2516</v>
      </c>
    </row>
    <row r="1699" spans="1:6" ht="13.8">
      <c r="A1699" s="1" t="str">
        <f t="array" aca="1" ref="A1699" ca="1">IF(B1699="", "", IFERROR(INDEX(声優一覧!A:A, MATCH(B1699, 声優一覧!B:B, 0)), "該当なし"))</f>
        <v>va_188</v>
      </c>
      <c r="B1699" s="1" t="str">
        <f ca="1">IFERROR(__xludf.DUMMYFUNCTION("""COMPUTED_VALUE"""),"八代拓")</f>
        <v>八代拓</v>
      </c>
      <c r="C1699" s="1" t="s">
        <v>121</v>
      </c>
      <c r="D1699" s="1" t="str">
        <f>IF(C1699="", "", IFERROR(VLOOKUP(C1699, 作品一覧!A:B, 2, FALSE), "該当なし"))</f>
        <v>終遠のヴィルシュ</v>
      </c>
      <c r="E1699" s="1" t="str">
        <f ca="1">IFERROR(__xludf.DUMMYFUNCTION("""COMPUTED_VALUE"""),"アドルフ")</f>
        <v>アドルフ</v>
      </c>
      <c r="F1699" s="10" t="s">
        <v>2517</v>
      </c>
    </row>
    <row r="1700" spans="1:6" ht="13.8">
      <c r="A1700" s="1" t="str">
        <f t="array" aca="1" ref="A1700" ca="1">IF(B1700="", "", IFERROR(INDEX(声優一覧!A:A, MATCH(B1700, 声優一覧!B:B, 0)), "該当なし"))</f>
        <v>va_044</v>
      </c>
      <c r="B1700" s="1" t="str">
        <f ca="1">IFERROR(__xludf.DUMMYFUNCTION("""COMPUTED_VALUE"""),"興津和幸")</f>
        <v>興津和幸</v>
      </c>
      <c r="C1700" s="1" t="s">
        <v>121</v>
      </c>
      <c r="D1700" s="1" t="str">
        <f>IF(C1700="", "", IFERROR(VLOOKUP(C1700, 作品一覧!A:B, 2, FALSE), "該当なし"))</f>
        <v>終遠のヴィルシュ</v>
      </c>
      <c r="E1700" s="1" t="str">
        <f ca="1">IFERROR(__xludf.DUMMYFUNCTION("""COMPUTED_VALUE"""),"アンクゥ")</f>
        <v>アンクゥ</v>
      </c>
      <c r="F1700" s="10" t="s">
        <v>2518</v>
      </c>
    </row>
    <row r="1701" spans="1:6" ht="13.8">
      <c r="A1701" s="1" t="str">
        <f t="array" aca="1" ref="A1701" ca="1">IF(B1701="", "", IFERROR(INDEX(声優一覧!A:A, MATCH(B1701, 声優一覧!B:B, 0)), "該当なし"))</f>
        <v>va_072</v>
      </c>
      <c r="B1701" s="1" t="str">
        <f ca="1">IFERROR(__xludf.DUMMYFUNCTION("""COMPUTED_VALUE"""),"小林千晃")</f>
        <v>小林千晃</v>
      </c>
      <c r="C1701" s="1" t="s">
        <v>55</v>
      </c>
      <c r="D1701" s="1" t="str">
        <f>IF(C1701="", "", IFERROR(VLOOKUP(C1701, 作品一覧!A:B, 2, FALSE), "該当なし"))</f>
        <v>泡沫のユークロニア</v>
      </c>
      <c r="E1701" s="1" t="str">
        <f ca="1">IFERROR(__xludf.DUMMYFUNCTION("""COMPUTED_VALUE"""),"矢代")</f>
        <v>矢代</v>
      </c>
      <c r="F1701" s="10" t="s">
        <v>2519</v>
      </c>
    </row>
    <row r="1702" spans="1:6" ht="13.8">
      <c r="A1702" s="1" t="str">
        <f t="array" aca="1" ref="A1702" ca="1">IF(B1702="", "", IFERROR(INDEX(声優一覧!A:A, MATCH(B1702, 声優一覧!B:B, 0)), "該当なし"))</f>
        <v>va_042</v>
      </c>
      <c r="B1702" s="1" t="str">
        <f ca="1">IFERROR(__xludf.DUMMYFUNCTION("""COMPUTED_VALUE"""),"岡本信彦")</f>
        <v>岡本信彦</v>
      </c>
      <c r="C1702" s="1" t="s">
        <v>55</v>
      </c>
      <c r="D1702" s="1" t="str">
        <f>IF(C1702="", "", IFERROR(VLOOKUP(C1702, 作品一覧!A:B, 2, FALSE), "該当なし"))</f>
        <v>泡沫のユークロニア</v>
      </c>
      <c r="E1702" s="1" t="str">
        <f ca="1">IFERROR(__xludf.DUMMYFUNCTION("""COMPUTED_VALUE"""),"帷")</f>
        <v>帷</v>
      </c>
      <c r="F1702" s="10" t="s">
        <v>2520</v>
      </c>
    </row>
    <row r="1703" spans="1:6" ht="13.8">
      <c r="A1703" s="1" t="str">
        <f t="array" aca="1" ref="A1703" ca="1">IF(B1703="", "", IFERROR(INDEX(声優一覧!A:A, MATCH(B1703, 声優一覧!B:B, 0)), "該当なし"))</f>
        <v>va_083</v>
      </c>
      <c r="B1703" s="1" t="str">
        <f ca="1">IFERROR(__xludf.DUMMYFUNCTION("""COMPUTED_VALUE"""),"斉藤壮馬")</f>
        <v>斉藤壮馬</v>
      </c>
      <c r="C1703" s="1" t="s">
        <v>55</v>
      </c>
      <c r="D1703" s="1" t="str">
        <f>IF(C1703="", "", IFERROR(VLOOKUP(C1703, 作品一覧!A:B, 2, FALSE), "該当なし"))</f>
        <v>泡沫のユークロニア</v>
      </c>
      <c r="E1703" s="1" t="str">
        <f ca="1">IFERROR(__xludf.DUMMYFUNCTION("""COMPUTED_VALUE"""),"淡雪")</f>
        <v>淡雪</v>
      </c>
      <c r="F1703" s="10" t="s">
        <v>2521</v>
      </c>
    </row>
    <row r="1704" spans="1:6" ht="13.8">
      <c r="A1704" s="1" t="str">
        <f t="array" aca="1" ref="A1704" ca="1">IF(B1704="", "", IFERROR(INDEX(声優一覧!A:A, MATCH(B1704, 声優一覧!B:B, 0)), "該当なし"))</f>
        <v>va_035</v>
      </c>
      <c r="B1704" s="1" t="str">
        <f ca="1">IFERROR(__xludf.DUMMYFUNCTION("""COMPUTED_VALUE"""),"江口拓也")</f>
        <v>江口拓也</v>
      </c>
      <c r="C1704" s="1" t="s">
        <v>55</v>
      </c>
      <c r="D1704" s="1" t="str">
        <f>IF(C1704="", "", IFERROR(VLOOKUP(C1704, 作品一覧!A:B, 2, FALSE), "該当なし"))</f>
        <v>泡沫のユークロニア</v>
      </c>
      <c r="E1704" s="1" t="str">
        <f ca="1">IFERROR(__xludf.DUMMYFUNCTION("""COMPUTED_VALUE"""),"依")</f>
        <v>依</v>
      </c>
      <c r="F1704" s="10" t="s">
        <v>2522</v>
      </c>
    </row>
    <row r="1705" spans="1:6" ht="13.8">
      <c r="A1705" s="1" t="str">
        <f t="array" aca="1" ref="A1705" ca="1">IF(B1705="", "", IFERROR(INDEX(声優一覧!A:A, MATCH(B1705, 声優一覧!B:B, 0)), "該当なし"))</f>
        <v>va_173</v>
      </c>
      <c r="B1705" s="1" t="str">
        <f ca="1">IFERROR(__xludf.DUMMYFUNCTION("""COMPUTED_VALUE"""),"松岡禎丞")</f>
        <v>松岡禎丞</v>
      </c>
      <c r="C1705" s="1" t="s">
        <v>55</v>
      </c>
      <c r="D1705" s="1" t="str">
        <f>IF(C1705="", "", IFERROR(VLOOKUP(C1705, 作品一覧!A:B, 2, FALSE), "該当なし"))</f>
        <v>泡沫のユークロニア</v>
      </c>
      <c r="E1705" s="1" t="str">
        <f ca="1">IFERROR(__xludf.DUMMYFUNCTION("""COMPUTED_VALUE"""),"露草")</f>
        <v>露草</v>
      </c>
      <c r="F1705" s="10" t="s">
        <v>2523</v>
      </c>
    </row>
    <row r="1706" spans="1:6" ht="13.8">
      <c r="A1706" s="1" t="str">
        <f t="array" aca="1" ref="A1706" ca="1">IF(B1706="", "", IFERROR(INDEX(声優一覧!A:A, MATCH(B1706, 声優一覧!B:B, 0)), "該当なし"))</f>
        <v>va_156</v>
      </c>
      <c r="B1706" s="1" t="str">
        <f ca="1">IFERROR(__xludf.DUMMYFUNCTION("""COMPUTED_VALUE"""),"日野聡")</f>
        <v>日野聡</v>
      </c>
      <c r="C1706" s="1" t="s">
        <v>55</v>
      </c>
      <c r="D1706" s="1" t="str">
        <f>IF(C1706="", "", IFERROR(VLOOKUP(C1706, 作品一覧!A:B, 2, FALSE), "該当なし"))</f>
        <v>泡沫のユークロニア</v>
      </c>
      <c r="E1706" s="1" t="str">
        <f ca="1">IFERROR(__xludf.DUMMYFUNCTION("""COMPUTED_VALUE"""),"鳴神")</f>
        <v>鳴神</v>
      </c>
      <c r="F1706" s="10" t="s">
        <v>2524</v>
      </c>
    </row>
    <row r="1707" spans="1:6" ht="13.8">
      <c r="A1707" s="1" t="str">
        <f t="array" aca="1" ref="A1707" ca="1">IF(B1707="", "", IFERROR(INDEX(声優一覧!A:A, MATCH(B1707, 声優一覧!B:B, 0)), "該当なし"))</f>
        <v>va_131</v>
      </c>
      <c r="B1707" s="1" t="str">
        <f ca="1">IFERROR(__xludf.DUMMYFUNCTION("""COMPUTED_VALUE"""),"豊永利行")</f>
        <v>豊永利行</v>
      </c>
      <c r="C1707" s="1" t="s">
        <v>55</v>
      </c>
      <c r="D1707" s="1" t="str">
        <f>IF(C1707="", "", IFERROR(VLOOKUP(C1707, 作品一覧!A:B, 2, FALSE), "該当なし"))</f>
        <v>泡沫のユークロニア</v>
      </c>
      <c r="E1707" s="1" t="str">
        <f ca="1">IFERROR(__xludf.DUMMYFUNCTION("""COMPUTED_VALUE"""),"大樹")</f>
        <v>大樹</v>
      </c>
      <c r="F1707" s="10" t="s">
        <v>2525</v>
      </c>
    </row>
    <row r="1708" spans="1:6" ht="13.8">
      <c r="A1708" s="1" t="str">
        <f t="array" aca="1" ref="A1708" ca="1">IF(B1708="", "", IFERROR(INDEX(声優一覧!A:A, MATCH(B1708, 声優一覧!B:B, 0)), "該当なし"))</f>
        <v>va_379</v>
      </c>
      <c r="B1708" s="1" t="str">
        <f ca="1">IFERROR(__xludf.DUMMYFUNCTION("""COMPUTED_VALUE"""),"吉村和紘")</f>
        <v>吉村和紘</v>
      </c>
      <c r="C1708" s="1" t="s">
        <v>55</v>
      </c>
      <c r="D1708" s="1" t="str">
        <f>IF(C1708="", "", IFERROR(VLOOKUP(C1708, 作品一覧!A:B, 2, FALSE), "該当なし"))</f>
        <v>泡沫のユークロニア</v>
      </c>
      <c r="E1708" s="1" t="str">
        <f ca="1">IFERROR(__xludf.DUMMYFUNCTION("""COMPUTED_VALUE"""),"潮路")</f>
        <v>潮路</v>
      </c>
      <c r="F1708" s="10" t="s">
        <v>2526</v>
      </c>
    </row>
    <row r="1709" spans="1:6" ht="13.8">
      <c r="A1709" s="1" t="str">
        <f t="array" aca="1" ref="A1709" ca="1">IF(B1709="", "", IFERROR(INDEX(声優一覧!A:A, MATCH(B1709, 声優一覧!B:B, 0)), "該当なし"))</f>
        <v>va_380</v>
      </c>
      <c r="B1709" s="1" t="str">
        <f ca="1">IFERROR(__xludf.DUMMYFUNCTION("""COMPUTED_VALUE"""),"岩崎征実")</f>
        <v>岩崎征実</v>
      </c>
      <c r="C1709" s="1" t="s">
        <v>55</v>
      </c>
      <c r="D1709" s="1" t="str">
        <f>IF(C1709="", "", IFERROR(VLOOKUP(C1709, 作品一覧!A:B, 2, FALSE), "該当なし"))</f>
        <v>泡沫のユークロニア</v>
      </c>
      <c r="E1709" s="1" t="str">
        <f ca="1">IFERROR(__xludf.DUMMYFUNCTION("""COMPUTED_VALUE"""),"松柏")</f>
        <v>松柏</v>
      </c>
      <c r="F1709" s="10" t="s">
        <v>2527</v>
      </c>
    </row>
    <row r="1710" spans="1:6" ht="13.8">
      <c r="A1710" s="1" t="str">
        <f t="array" aca="1" ref="A1710" ca="1">IF(B1710="", "", IFERROR(INDEX(声優一覧!A:A, MATCH(B1710, 声優一覧!B:B, 0)), "該当なし"))</f>
        <v>va_003</v>
      </c>
      <c r="B1710" s="1" t="str">
        <f ca="1">IFERROR(__xludf.DUMMYFUNCTION("""COMPUTED_VALUE"""),"阿座上洋平")</f>
        <v>阿座上洋平</v>
      </c>
      <c r="C1710" s="1" t="s">
        <v>55</v>
      </c>
      <c r="D1710" s="1" t="str">
        <f>IF(C1710="", "", IFERROR(VLOOKUP(C1710, 作品一覧!A:B, 2, FALSE), "該当なし"))</f>
        <v>泡沫のユークロニア</v>
      </c>
      <c r="E1710" s="1" t="str">
        <f ca="1">IFERROR(__xludf.DUMMYFUNCTION("""COMPUTED_VALUE"""),"石蕗")</f>
        <v>石蕗</v>
      </c>
      <c r="F1710" s="10" t="s">
        <v>2528</v>
      </c>
    </row>
    <row r="1711" spans="1:6" ht="13.8">
      <c r="A1711" s="1" t="str">
        <f t="array" aca="1" ref="A1711" ca="1">IF(B1711="", "", IFERROR(INDEX(声優一覧!A:A, MATCH(B1711, 声優一覧!B:B, 0)), "該当なし"))</f>
        <v>va_291</v>
      </c>
      <c r="B1711" s="1" t="str">
        <f ca="1">IFERROR(__xludf.DUMMYFUNCTION("""COMPUTED_VALUE"""),"関智一")</f>
        <v>関智一</v>
      </c>
      <c r="C1711" s="1" t="s">
        <v>25</v>
      </c>
      <c r="D1711" s="1" t="str">
        <f>IF(C1711="", "", IFERROR(VLOOKUP(C1711, 作品一覧!A:B, 2, FALSE), "該当なし"))</f>
        <v>&amp;0</v>
      </c>
      <c r="E1711" s="1" t="str">
        <f ca="1">IFERROR(__xludf.DUMMYFUNCTION("""COMPUTED_VALUE"""),"結城怜二")</f>
        <v>結城怜二</v>
      </c>
      <c r="F1711" s="10" t="s">
        <v>2529</v>
      </c>
    </row>
    <row r="1712" spans="1:6" ht="13.8">
      <c r="A1712" s="1" t="str">
        <f t="array" aca="1" ref="A1712" ca="1">IF(B1712="", "", IFERROR(INDEX(声優一覧!A:A, MATCH(B1712, 声優一覧!B:B, 0)), "該当なし"))</f>
        <v>va_094</v>
      </c>
      <c r="B1712" s="1" t="str">
        <f ca="1">IFERROR(__xludf.DUMMYFUNCTION("""COMPUTED_VALUE"""),"島﨑信長")</f>
        <v>島﨑信長</v>
      </c>
      <c r="C1712" s="1" t="s">
        <v>25</v>
      </c>
      <c r="D1712" s="1" t="str">
        <f>IF(C1712="", "", IFERROR(VLOOKUP(C1712, 作品一覧!A:B, 2, FALSE), "該当なし"))</f>
        <v>&amp;0</v>
      </c>
      <c r="E1712" s="1" t="str">
        <f ca="1">IFERROR(__xludf.DUMMYFUNCTION("""COMPUTED_VALUE"""),"風晴優人")</f>
        <v>風晴優人</v>
      </c>
      <c r="F1712" s="10" t="s">
        <v>2530</v>
      </c>
    </row>
    <row r="1713" spans="1:6" ht="13.8">
      <c r="A1713" s="1" t="str">
        <f t="array" aca="1" ref="A1713" ca="1">IF(B1713="", "", IFERROR(INDEX(声優一覧!A:A, MATCH(B1713, 声優一覧!B:B, 0)), "該当なし"))</f>
        <v>va_066</v>
      </c>
      <c r="B1713" s="1" t="str">
        <f ca="1">IFERROR(__xludf.DUMMYFUNCTION("""COMPUTED_VALUE"""),"木村良平")</f>
        <v>木村良平</v>
      </c>
      <c r="C1713" s="1" t="s">
        <v>25</v>
      </c>
      <c r="D1713" s="1" t="str">
        <f>IF(C1713="", "", IFERROR(VLOOKUP(C1713, 作品一覧!A:B, 2, FALSE), "該当なし"))</f>
        <v>&amp;0</v>
      </c>
      <c r="E1713" s="1" t="str">
        <f ca="1">IFERROR(__xludf.DUMMYFUNCTION("""COMPUTED_VALUE"""),"東海林広樹")</f>
        <v>東海林広樹</v>
      </c>
      <c r="F1713" s="10" t="s">
        <v>2531</v>
      </c>
    </row>
    <row r="1714" spans="1:6" ht="13.8">
      <c r="A1714" s="1" t="str">
        <f t="array" aca="1" ref="A1714" ca="1">IF(B1714="", "", IFERROR(INDEX(声優一覧!A:A, MATCH(B1714, 声優一覧!B:B, 0)), "該当なし"))</f>
        <v>va_148</v>
      </c>
      <c r="B1714" s="1" t="str">
        <f ca="1">IFERROR(__xludf.DUMMYFUNCTION("""COMPUTED_VALUE"""),"羽多野渉")</f>
        <v>羽多野渉</v>
      </c>
      <c r="C1714" s="1" t="s">
        <v>25</v>
      </c>
      <c r="D1714" s="1" t="str">
        <f>IF(C1714="", "", IFERROR(VLOOKUP(C1714, 作品一覧!A:B, 2, FALSE), "該当なし"))</f>
        <v>&amp;0</v>
      </c>
      <c r="E1714" s="1" t="str">
        <f ca="1">IFERROR(__xludf.DUMMYFUNCTION("""COMPUTED_VALUE"""),"花澤聖騎士")</f>
        <v>花澤聖騎士</v>
      </c>
      <c r="F1714" s="10" t="s">
        <v>2532</v>
      </c>
    </row>
    <row r="1715" spans="1:6" ht="13.8">
      <c r="A1715" s="1" t="str">
        <f t="array" aca="1" ref="A1715" ca="1">IF(B1715="", "", IFERROR(INDEX(声優一覧!A:A, MATCH(B1715, 声優一覧!B:B, 0)), "該当なし"))</f>
        <v>va_093</v>
      </c>
      <c r="B1715" s="1" t="str">
        <f ca="1">IFERROR(__xludf.DUMMYFUNCTION("""COMPUTED_VALUE"""),"重松千晴")</f>
        <v>重松千晴</v>
      </c>
      <c r="C1715" s="1" t="s">
        <v>25</v>
      </c>
      <c r="D1715" s="1" t="str">
        <f>IF(C1715="", "", IFERROR(VLOOKUP(C1715, 作品一覧!A:B, 2, FALSE), "該当なし"))</f>
        <v>&amp;0</v>
      </c>
      <c r="E1715" s="1" t="str">
        <f ca="1">IFERROR(__xludf.DUMMYFUNCTION("""COMPUTED_VALUE"""),"輿水直")</f>
        <v>輿水直</v>
      </c>
      <c r="F1715" s="10" t="s">
        <v>2533</v>
      </c>
    </row>
    <row r="1716" spans="1:6" ht="13.8">
      <c r="A1716" s="1" t="str">
        <f t="array" aca="1" ref="A1716" ca="1">IF(B1716="", "", IFERROR(INDEX(声優一覧!A:A, MATCH(B1716, 声優一覧!B:B, 0)), "該当なし"))</f>
        <v>va_075</v>
      </c>
      <c r="B1716" s="1" t="str">
        <f ca="1">IFERROR(__xludf.DUMMYFUNCTION("""COMPUTED_VALUE"""),"小林裕介")</f>
        <v>小林裕介</v>
      </c>
      <c r="C1716" s="1" t="s">
        <v>25</v>
      </c>
      <c r="D1716" s="1" t="str">
        <f>IF(C1716="", "", IFERROR(VLOOKUP(C1716, 作品一覧!A:B, 2, FALSE), "該当なし"))</f>
        <v>&amp;0</v>
      </c>
      <c r="E1716" s="1" t="str">
        <f ca="1">IFERROR(__xludf.DUMMYFUNCTION("""COMPUTED_VALUE"""),"空田圭介")</f>
        <v>空田圭介</v>
      </c>
      <c r="F1716" s="10" t="s">
        <v>2534</v>
      </c>
    </row>
    <row r="1717" spans="1:6" ht="13.8">
      <c r="A1717" s="1" t="str">
        <f t="array" aca="1" ref="A1717" ca="1">IF(B1717="", "", IFERROR(INDEX(声優一覧!A:A, MATCH(B1717, 声優一覧!B:B, 0)), "該当なし"))</f>
        <v>va_003</v>
      </c>
      <c r="B1717" s="1" t="str">
        <f ca="1">IFERROR(__xludf.DUMMYFUNCTION("""COMPUTED_VALUE"""),"阿座上洋平")</f>
        <v>阿座上洋平</v>
      </c>
      <c r="C1717" s="1" t="s">
        <v>25</v>
      </c>
      <c r="D1717" s="1" t="str">
        <f>IF(C1717="", "", IFERROR(VLOOKUP(C1717, 作品一覧!A:B, 2, FALSE), "該当なし"))</f>
        <v>&amp;0</v>
      </c>
      <c r="E1717" s="1" t="str">
        <f ca="1">IFERROR(__xludf.DUMMYFUNCTION("""COMPUTED_VALUE"""),"火村匠")</f>
        <v>火村匠</v>
      </c>
      <c r="F1717" s="10" t="s">
        <v>2535</v>
      </c>
    </row>
    <row r="1718" spans="1:6" ht="13.8">
      <c r="A1718" s="1" t="str">
        <f t="array" aca="1" ref="A1718" ca="1">IF(B1718="", "", IFERROR(INDEX(声優一覧!A:A, MATCH(B1718, 声優一覧!B:B, 0)), "該当なし"))</f>
        <v>va_044</v>
      </c>
      <c r="B1718" s="1" t="str">
        <f ca="1">IFERROR(__xludf.DUMMYFUNCTION("""COMPUTED_VALUE"""),"興津和幸")</f>
        <v>興津和幸</v>
      </c>
      <c r="C1718" s="1" t="s">
        <v>25</v>
      </c>
      <c r="D1718" s="1" t="str">
        <f>IF(C1718="", "", IFERROR(VLOOKUP(C1718, 作品一覧!A:B, 2, FALSE), "該当なし"))</f>
        <v>&amp;0</v>
      </c>
      <c r="E1718" s="1" t="str">
        <f ca="1">IFERROR(__xludf.DUMMYFUNCTION("""COMPUTED_VALUE"""),"山神斗真")</f>
        <v>山神斗真</v>
      </c>
      <c r="F1718" s="10" t="s">
        <v>2536</v>
      </c>
    </row>
    <row r="1719" spans="1:6" ht="13.8">
      <c r="A1719" s="1" t="str">
        <f t="array" aca="1" ref="A1719" ca="1">IF(B1719="", "", IFERROR(INDEX(声優一覧!A:A, MATCH(B1719, 声優一覧!B:B, 0)), "該当なし"))</f>
        <v>va_005</v>
      </c>
      <c r="B1719" s="1" t="str">
        <f ca="1">IFERROR(__xludf.DUMMYFUNCTION("""COMPUTED_VALUE"""),"浅利遼太")</f>
        <v>浅利遼太</v>
      </c>
      <c r="C1719" s="1" t="s">
        <v>25</v>
      </c>
      <c r="D1719" s="1" t="str">
        <f>IF(C1719="", "", IFERROR(VLOOKUP(C1719, 作品一覧!A:B, 2, FALSE), "該当なし"))</f>
        <v>&amp;0</v>
      </c>
      <c r="E1719" s="1" t="str">
        <f ca="1">IFERROR(__xludf.DUMMYFUNCTION("""COMPUTED_VALUE"""),"白鳥譲治")</f>
        <v>白鳥譲治</v>
      </c>
      <c r="F1719" s="10" t="s">
        <v>2537</v>
      </c>
    </row>
    <row r="1720" spans="1:6" ht="13.8">
      <c r="A1720" s="1" t="str">
        <f t="array" aca="1" ref="A1720" ca="1">IF(B1720="", "", IFERROR(INDEX(声優一覧!A:A, MATCH(B1720, 声優一覧!B:B, 0)), "該当なし"))</f>
        <v>va_060</v>
      </c>
      <c r="B1720" s="1" t="str">
        <f ca="1">IFERROR(__xludf.DUMMYFUNCTION("""COMPUTED_VALUE"""),"神尾晋一郎")</f>
        <v>神尾晋一郎</v>
      </c>
      <c r="C1720" s="1" t="s">
        <v>25</v>
      </c>
      <c r="D1720" s="1" t="str">
        <f>IF(C1720="", "", IFERROR(VLOOKUP(C1720, 作品一覧!A:B, 2, FALSE), "該当なし"))</f>
        <v>&amp;0</v>
      </c>
      <c r="E1720" s="1" t="str">
        <f ca="1">IFERROR(__xludf.DUMMYFUNCTION("""COMPUTED_VALUE"""),"春野隆宏")</f>
        <v>春野隆宏</v>
      </c>
      <c r="F1720" s="10" t="s">
        <v>2538</v>
      </c>
    </row>
    <row r="1721" spans="1:6" ht="13.8">
      <c r="A1721" s="1" t="str">
        <f t="array" aca="1" ref="A1721" ca="1">IF(B1721="", "", IFERROR(INDEX(声優一覧!A:A, MATCH(B1721, 声優一覧!B:B, 0)), "該当なし"))</f>
        <v>va_058</v>
      </c>
      <c r="B1721" s="1" t="str">
        <f ca="1">IFERROR(__xludf.DUMMYFUNCTION("""COMPUTED_VALUE"""),"河西健吾")</f>
        <v>河西健吾</v>
      </c>
      <c r="C1721" s="1" t="s">
        <v>25</v>
      </c>
      <c r="D1721" s="1" t="str">
        <f>IF(C1721="", "", IFERROR(VLOOKUP(C1721, 作品一覧!A:B, 2, FALSE), "該当なし"))</f>
        <v>&amp;0</v>
      </c>
      <c r="E1721" s="1" t="str">
        <f ca="1">IFERROR(__xludf.DUMMYFUNCTION("""COMPUTED_VALUE"""),"夏井流星")</f>
        <v>夏井流星</v>
      </c>
      <c r="F1721" s="10" t="s">
        <v>2539</v>
      </c>
    </row>
    <row r="1722" spans="1:6" ht="13.8">
      <c r="A1722" s="1" t="str">
        <f t="array" aca="1" ref="A1722" ca="1">IF(B1722="", "", IFERROR(INDEX(声優一覧!A:A, MATCH(B1722, 声優一覧!B:B, 0)), "該当なし"))</f>
        <v>va_381</v>
      </c>
      <c r="B1722" s="1" t="str">
        <f ca="1">IFERROR(__xludf.DUMMYFUNCTION("""COMPUTED_VALUE"""),"津田拓也")</f>
        <v>津田拓也</v>
      </c>
      <c r="C1722" s="1" t="s">
        <v>25</v>
      </c>
      <c r="D1722" s="1" t="str">
        <f>IF(C1722="", "", IFERROR(VLOOKUP(C1722, 作品一覧!A:B, 2, FALSE), "該当なし"))</f>
        <v>&amp;0</v>
      </c>
      <c r="E1722" s="1" t="str">
        <f ca="1">IFERROR(__xludf.DUMMYFUNCTION("""COMPUTED_VALUE"""),"秋元奏太")</f>
        <v>秋元奏太</v>
      </c>
      <c r="F1722" s="10" t="s">
        <v>2540</v>
      </c>
    </row>
    <row r="1723" spans="1:6" ht="13.8">
      <c r="A1723" s="1" t="str">
        <f t="array" aca="1" ref="A1723" ca="1">IF(B1723="", "", IFERROR(INDEX(声優一覧!A:A, MATCH(B1723, 声優一覧!B:B, 0)), "該当なし"))</f>
        <v>va_382</v>
      </c>
      <c r="B1723" s="1" t="str">
        <f ca="1">IFERROR(__xludf.DUMMYFUNCTION("""COMPUTED_VALUE"""),"北田理道")</f>
        <v>北田理道</v>
      </c>
      <c r="C1723" s="1" t="s">
        <v>25</v>
      </c>
      <c r="D1723" s="1" t="str">
        <f>IF(C1723="", "", IFERROR(VLOOKUP(C1723, 作品一覧!A:B, 2, FALSE), "該当なし"))</f>
        <v>&amp;0</v>
      </c>
      <c r="E1723" s="1" t="str">
        <f ca="1">IFERROR(__xludf.DUMMYFUNCTION("""COMPUTED_VALUE"""),"雪原和哉")</f>
        <v>雪原和哉</v>
      </c>
      <c r="F1723" s="10" t="s">
        <v>2541</v>
      </c>
    </row>
    <row r="1724" spans="1:6" ht="13.8">
      <c r="A1724" s="1" t="str">
        <f t="array" aca="1" ref="A1724" ca="1">IF(B1724="", "", IFERROR(INDEX(声優一覧!A:A, MATCH(B1724, 声優一覧!B:B, 0)), "該当なし"))</f>
        <v>va_157</v>
      </c>
      <c r="B1724" s="1" t="str">
        <f ca="1">IFERROR(__xludf.DUMMYFUNCTION("""COMPUTED_VALUE"""),"平川大輔")</f>
        <v>平川大輔</v>
      </c>
      <c r="C1724" s="1" t="s">
        <v>147</v>
      </c>
      <c r="D1724" s="1" t="str">
        <f>IF(C1724="", "", IFERROR(VLOOKUP(C1724, 作品一覧!A:B, 2, FALSE), "該当なし"))</f>
        <v>スペードの国のアリス ～Wonderful Black World～</v>
      </c>
      <c r="E1724" s="1" t="str">
        <f ca="1">IFERROR(__xludf.DUMMYFUNCTION("""COMPUTED_VALUE"""),"エース")</f>
        <v>エース</v>
      </c>
      <c r="F1724" s="10" t="s">
        <v>2542</v>
      </c>
    </row>
    <row r="1725" spans="1:6" ht="13.8">
      <c r="A1725" s="1" t="str">
        <f t="array" aca="1" ref="A1725" ca="1">IF(B1725="", "", IFERROR(INDEX(声優一覧!A:A, MATCH(B1725, 声優一覧!B:B, 0)), "該当なし"))</f>
        <v>va_098</v>
      </c>
      <c r="B1725" s="1" t="str">
        <f ca="1">IFERROR(__xludf.DUMMYFUNCTION("""COMPUTED_VALUE"""),"杉山紀彰")</f>
        <v>杉山紀彰</v>
      </c>
      <c r="C1725" s="1" t="s">
        <v>147</v>
      </c>
      <c r="D1725" s="1" t="str">
        <f>IF(C1725="", "", IFERROR(VLOOKUP(C1725, 作品一覧!A:B, 2, FALSE), "該当なし"))</f>
        <v>スペードの国のアリス ～Wonderful Black World～</v>
      </c>
      <c r="E1725" s="1" t="str">
        <f ca="1">IFERROR(__xludf.DUMMYFUNCTION("""COMPUTED_VALUE"""),"ボリス＝エレイ")</f>
        <v>ボリス＝エレイ</v>
      </c>
      <c r="F1725" s="10" t="s">
        <v>2543</v>
      </c>
    </row>
    <row r="1726" spans="1:6" ht="15">
      <c r="A1726" s="1" t="str">
        <f t="array" aca="1" ref="A1726" ca="1">IF(B1726="", "", IFERROR(INDEX(声優一覧!A:A, MATCH(B1726, 声優一覧!B:B, 0)), "該当なし"))</f>
        <v>va_046</v>
      </c>
      <c r="B1726" s="1" t="str">
        <f ca="1">IFERROR(__xludf.DUMMYFUNCTION("""COMPUTED_VALUE"""),"小野友樹")</f>
        <v>小野友樹</v>
      </c>
      <c r="C1726" s="1" t="s">
        <v>147</v>
      </c>
      <c r="D1726" s="1" t="str">
        <f>IF(C1726="", "", IFERROR(VLOOKUP(C1726, 作品一覧!A:B, 2, FALSE), "該当なし"))</f>
        <v>スペードの国のアリス ～Wonderful Black World～</v>
      </c>
      <c r="E1726" s="1" t="str">
        <f ca="1">IFERROR(__xludf.DUMMYFUNCTION("""COMPUTED_VALUE"""),"ナイトメア＝ゴットシャルク")</f>
        <v>ナイトメア＝ゴットシャルク</v>
      </c>
      <c r="F1726" s="14" t="s">
        <v>2544</v>
      </c>
    </row>
    <row r="1727" spans="1:6" ht="15">
      <c r="A1727" s="1" t="str">
        <f t="array" aca="1" ref="A1727" ca="1">IF(B1727="", "", IFERROR(INDEX(声優一覧!A:A, MATCH(B1727, 声優一覧!B:B, 0)), "該当なし"))</f>
        <v>va_270</v>
      </c>
      <c r="B1727" s="1" t="str">
        <f ca="1">IFERROR(__xludf.DUMMYFUNCTION("""COMPUTED_VALUE"""),"中井和哉")</f>
        <v>中井和哉</v>
      </c>
      <c r="C1727" s="1" t="s">
        <v>147</v>
      </c>
      <c r="D1727" s="1" t="str">
        <f>IF(C1727="", "", IFERROR(VLOOKUP(C1727, 作品一覧!A:B, 2, FALSE), "該当なし"))</f>
        <v>スペードの国のアリス ～Wonderful Black World～</v>
      </c>
      <c r="E1727" s="1" t="str">
        <f ca="1">IFERROR(__xludf.DUMMYFUNCTION("""COMPUTED_VALUE"""),"グレイ＝リングマーク")</f>
        <v>グレイ＝リングマーク</v>
      </c>
      <c r="F1727" s="14" t="s">
        <v>2545</v>
      </c>
    </row>
    <row r="1728" spans="1:6" ht="15">
      <c r="A1728" s="1" t="str">
        <f t="array" aca="1" ref="A1728" ca="1">IF(B1728="", "", IFERROR(INDEX(声優一覧!A:A, MATCH(B1728, 声優一覧!B:B, 0)), "該当なし"))</f>
        <v>va_044</v>
      </c>
      <c r="B1728" s="1" t="str">
        <f ca="1">IFERROR(__xludf.DUMMYFUNCTION("""COMPUTED_VALUE"""),"興津和幸")</f>
        <v>興津和幸</v>
      </c>
      <c r="C1728" s="1" t="s">
        <v>147</v>
      </c>
      <c r="D1728" s="1" t="str">
        <f>IF(C1728="", "", IFERROR(VLOOKUP(C1728, 作品一覧!A:B, 2, FALSE), "該当なし"))</f>
        <v>スペードの国のアリス ～Wonderful Black World～</v>
      </c>
      <c r="E1728" s="1" t="str">
        <f ca="1">IFERROR(__xludf.DUMMYFUNCTION("""COMPUTED_VALUE"""),"ジョーカー")</f>
        <v>ジョーカー</v>
      </c>
      <c r="F1728" s="14" t="s">
        <v>2546</v>
      </c>
    </row>
    <row r="1729" spans="1:6" ht="15">
      <c r="A1729" s="1" t="str">
        <f t="array" aca="1" ref="A1729" ca="1">IF(B1729="", "", IFERROR(INDEX(声優一覧!A:A, MATCH(B1729, 声優一覧!B:B, 0)), "該当なし"))</f>
        <v>va_013</v>
      </c>
      <c r="B1729" s="1" t="str">
        <f ca="1">IFERROR(__xludf.DUMMYFUNCTION("""COMPUTED_VALUE"""),"石川界人")</f>
        <v>石川界人</v>
      </c>
      <c r="C1729" s="1" t="s">
        <v>147</v>
      </c>
      <c r="D1729" s="1" t="str">
        <f>IF(C1729="", "", IFERROR(VLOOKUP(C1729, 作品一覧!A:B, 2, FALSE), "該当なし"))</f>
        <v>スペードの国のアリス ～Wonderful Black World～</v>
      </c>
      <c r="E1729" s="1" t="str">
        <f ca="1">IFERROR(__xludf.DUMMYFUNCTION("""COMPUTED_VALUE"""),"ハンニバル＝ゴールド")</f>
        <v>ハンニバル＝ゴールド</v>
      </c>
      <c r="F1729" s="14" t="s">
        <v>2547</v>
      </c>
    </row>
    <row r="1730" spans="1:6" ht="15">
      <c r="A1730" s="1" t="str">
        <f t="array" aca="1" ref="A1730" ca="1">IF(B1730="", "", IFERROR(INDEX(声優一覧!A:A, MATCH(B1730, 声優一覧!B:B, 0)), "該当なし"))</f>
        <v>va_078</v>
      </c>
      <c r="B1730" s="1" t="str">
        <f ca="1">IFERROR(__xludf.DUMMYFUNCTION("""COMPUTED_VALUE"""),"小西克幸")</f>
        <v>小西克幸</v>
      </c>
      <c r="C1730" s="1" t="s">
        <v>147</v>
      </c>
      <c r="D1730" s="1" t="str">
        <f>IF(C1730="", "", IFERROR(VLOOKUP(C1730, 作品一覧!A:B, 2, FALSE), "該当なし"))</f>
        <v>スペードの国のアリス ～Wonderful Black World～</v>
      </c>
      <c r="E1730" s="1" t="str">
        <f ca="1">IFERROR(__xludf.DUMMYFUNCTION("""COMPUTED_VALUE"""),"ブラッド＝デュプレ")</f>
        <v>ブラッド＝デュプレ</v>
      </c>
      <c r="F1730" s="14" t="s">
        <v>2548</v>
      </c>
    </row>
    <row r="1731" spans="1:6" ht="15">
      <c r="A1731" s="1" t="str">
        <f t="array" aca="1" ref="A1731" ca="1">IF(B1731="", "", IFERROR(INDEX(声優一覧!A:A, MATCH(B1731, 声優一覧!B:B, 0)), "該当なし"))</f>
        <v>va_383</v>
      </c>
      <c r="B1731" s="1" t="str">
        <f ca="1">IFERROR(__xludf.DUMMYFUNCTION("""COMPUTED_VALUE"""),"最上嗣生")</f>
        <v>最上嗣生</v>
      </c>
      <c r="C1731" s="1" t="s">
        <v>147</v>
      </c>
      <c r="D1731" s="1" t="str">
        <f>IF(C1731="", "", IFERROR(VLOOKUP(C1731, 作品一覧!A:B, 2, FALSE), "該当なし"))</f>
        <v>スペードの国のアリス ～Wonderful Black World～</v>
      </c>
      <c r="E1731" s="1" t="str">
        <f ca="1">IFERROR(__xludf.DUMMYFUNCTION("""COMPUTED_VALUE"""),"エリオット＝マーチ")</f>
        <v>エリオット＝マーチ</v>
      </c>
      <c r="F1731" s="14" t="s">
        <v>2549</v>
      </c>
    </row>
    <row r="1732" spans="1:6" ht="15">
      <c r="A1732" s="1" t="str">
        <f t="array" aca="1" ref="A1732" ca="1">IF(B1732="", "", IFERROR(INDEX(声優一覧!A:A, MATCH(B1732, 声優一覧!B:B, 0)), "該当なし"))</f>
        <v>va_188</v>
      </c>
      <c r="B1732" s="1" t="str">
        <f ca="1">IFERROR(__xludf.DUMMYFUNCTION("""COMPUTED_VALUE"""),"八代拓")</f>
        <v>八代拓</v>
      </c>
      <c r="C1732" s="1" t="s">
        <v>147</v>
      </c>
      <c r="D1732" s="1" t="str">
        <f>IF(C1732="", "", IFERROR(VLOOKUP(C1732, 作品一覧!A:B, 2, FALSE), "該当なし"))</f>
        <v>スペードの国のアリス ～Wonderful Black World～</v>
      </c>
      <c r="E1732" s="1" t="str">
        <f ca="1">IFERROR(__xludf.DUMMYFUNCTION("""COMPUTED_VALUE"""),"トゥイードル＝ディー")</f>
        <v>トゥイードル＝ディー</v>
      </c>
      <c r="F1732" s="14" t="s">
        <v>2550</v>
      </c>
    </row>
    <row r="1733" spans="1:6" ht="15">
      <c r="A1733" s="1" t="str">
        <f t="array" aca="1" ref="A1733" ca="1">IF(B1733="", "", IFERROR(INDEX(声優一覧!A:A, MATCH(B1733, 声優一覧!B:B, 0)), "該当なし"))</f>
        <v>va_007</v>
      </c>
      <c r="B1733" s="1" t="str">
        <f ca="1">IFERROR(__xludf.DUMMYFUNCTION("""COMPUTED_VALUE"""),"天﨑滉平")</f>
        <v>天﨑滉平</v>
      </c>
      <c r="C1733" s="1" t="s">
        <v>147</v>
      </c>
      <c r="D1733" s="1" t="str">
        <f>IF(C1733="", "", IFERROR(VLOOKUP(C1733, 作品一覧!A:B, 2, FALSE), "該当なし"))</f>
        <v>スペードの国のアリス ～Wonderful Black World～</v>
      </c>
      <c r="E1733" s="1" t="str">
        <f ca="1">IFERROR(__xludf.DUMMYFUNCTION("""COMPUTED_VALUE"""),"トゥイードル＝ダム")</f>
        <v>トゥイードル＝ダム</v>
      </c>
      <c r="F1733" s="14" t="s">
        <v>2551</v>
      </c>
    </row>
    <row r="1734" spans="1:6" ht="15">
      <c r="A1734" s="1" t="str">
        <f t="array" aca="1" ref="A1734" ca="1">IF(B1734="", "", IFERROR(INDEX(声優一覧!A:A, MATCH(B1734, 声優一覧!B:B, 0)), "該当なし"))</f>
        <v>va_120</v>
      </c>
      <c r="B1734" s="1" t="str">
        <f ca="1">IFERROR(__xludf.DUMMYFUNCTION("""COMPUTED_VALUE"""),"津田健次郎")</f>
        <v>津田健次郎</v>
      </c>
      <c r="C1734" s="1" t="s">
        <v>147</v>
      </c>
      <c r="D1734" s="1" t="str">
        <f>IF(C1734="", "", IFERROR(VLOOKUP(C1734, 作品一覧!A:B, 2, FALSE), "該当なし"))</f>
        <v>スペードの国のアリス ～Wonderful Black World～</v>
      </c>
      <c r="E1734" s="1" t="str">
        <f ca="1">IFERROR(__xludf.DUMMYFUNCTION("""COMPUTED_VALUE"""),"ルイス＝キャロル")</f>
        <v>ルイス＝キャロル</v>
      </c>
      <c r="F1734" s="14" t="s">
        <v>2552</v>
      </c>
    </row>
    <row r="1735" spans="1:6" ht="15">
      <c r="A1735" s="1" t="str">
        <f t="array" aca="1" ref="A1735" ca="1">IF(B1735="", "", IFERROR(INDEX(声優一覧!A:A, MATCH(B1735, 声優一覧!B:B, 0)), "該当なし"))</f>
        <v>va_004</v>
      </c>
      <c r="B1735" s="1" t="str">
        <f ca="1">IFERROR(__xludf.DUMMYFUNCTION("""COMPUTED_VALUE"""),"浅沼晋太郎")</f>
        <v>浅沼晋太郎</v>
      </c>
      <c r="C1735" s="1" t="s">
        <v>147</v>
      </c>
      <c r="D1735" s="1" t="str">
        <f>IF(C1735="", "", IFERROR(VLOOKUP(C1735, 作品一覧!A:B, 2, FALSE), "該当なし"))</f>
        <v>スペードの国のアリス ～Wonderful Black World～</v>
      </c>
      <c r="E1735" s="1" t="str">
        <f ca="1">IFERROR(__xludf.DUMMYFUNCTION("""COMPUTED_VALUE"""),"クイン＝シルバー")</f>
        <v>クイン＝シルバー</v>
      </c>
      <c r="F1735" s="14" t="s">
        <v>2553</v>
      </c>
    </row>
    <row r="1736" spans="1:6" ht="15">
      <c r="A1736" s="1" t="str">
        <f t="array" aca="1" ref="A1736" ca="1">IF(B1736="", "", IFERROR(INDEX(声優一覧!A:A, MATCH(B1736, 声優一覧!B:B, 0)), "該当なし"))</f>
        <v>va_182</v>
      </c>
      <c r="B1736" s="1" t="str">
        <f ca="1">IFERROR(__xludf.DUMMYFUNCTION("""COMPUTED_VALUE"""),"宮田幸季")</f>
        <v>宮田幸季</v>
      </c>
      <c r="C1736" s="1" t="s">
        <v>147</v>
      </c>
      <c r="D1736" s="1" t="str">
        <f>IF(C1736="", "", IFERROR(VLOOKUP(C1736, 作品一覧!A:B, 2, FALSE), "該当なし"))</f>
        <v>スペードの国のアリス ～Wonderful Black World～</v>
      </c>
      <c r="E1736" s="1" t="str">
        <f ca="1">IFERROR(__xludf.DUMMYFUNCTION("""COMPUTED_VALUE"""),"ペーター＝ホワイト")</f>
        <v>ペーター＝ホワイト</v>
      </c>
      <c r="F1736" s="14" t="s">
        <v>2554</v>
      </c>
    </row>
    <row r="1737" spans="1:6" ht="15">
      <c r="A1737" s="1" t="str">
        <f t="array" aca="1" ref="A1737" ca="1">IF(B1737="", "", IFERROR(INDEX(声優一覧!A:A, MATCH(B1737, 声優一覧!B:B, 0)), "該当なし"))</f>
        <v>va_080</v>
      </c>
      <c r="B1737" s="1" t="str">
        <f ca="1">IFERROR(__xludf.DUMMYFUNCTION("""COMPUTED_VALUE"""),"子安武人")</f>
        <v>子安武人</v>
      </c>
      <c r="C1737" s="1" t="s">
        <v>147</v>
      </c>
      <c r="D1737" s="1" t="str">
        <f>IF(C1737="", "", IFERROR(VLOOKUP(C1737, 作品一覧!A:B, 2, FALSE), "該当なし"))</f>
        <v>スペードの国のアリス ～Wonderful Black World～</v>
      </c>
      <c r="E1737" s="1" t="str">
        <f ca="1">IFERROR(__xludf.DUMMYFUNCTION("""COMPUTED_VALUE"""),"ユリウス＝モンレー")</f>
        <v>ユリウス＝モンレー</v>
      </c>
      <c r="F1737" s="14" t="s">
        <v>2555</v>
      </c>
    </row>
    <row r="1738" spans="1:6" ht="15">
      <c r="A1738" s="1" t="str">
        <f t="array" aca="1" ref="A1738" ca="1">IF(B1738="", "", IFERROR(INDEX(声優一覧!A:A, MATCH(B1738, 声優一覧!B:B, 0)), "該当なし"))</f>
        <v>va_123</v>
      </c>
      <c r="B1738" s="1" t="str">
        <f ca="1">IFERROR(__xludf.DUMMYFUNCTION("""COMPUTED_VALUE"""),"土屋神葉")</f>
        <v>土屋神葉</v>
      </c>
      <c r="C1738" s="1" t="s">
        <v>27</v>
      </c>
      <c r="D1738" s="1" t="str">
        <f>IF(C1738="", "", IFERROR(VLOOKUP(C1738, 作品一覧!A:B, 2, FALSE), "該当なし"))</f>
        <v>アンジェリーク ルミナライズ</v>
      </c>
      <c r="E1738" s="1" t="str">
        <f ca="1">IFERROR(__xludf.DUMMYFUNCTION("""COMPUTED_VALUE"""),"ユエ")</f>
        <v>ユエ</v>
      </c>
      <c r="F1738" s="14" t="s">
        <v>2556</v>
      </c>
    </row>
    <row r="1739" spans="1:6" ht="15">
      <c r="A1739" s="1" t="str">
        <f t="array" aca="1" ref="A1739" ca="1">IF(B1739="", "", IFERROR(INDEX(声優一覧!A:A, MATCH(B1739, 声優一覧!B:B, 0)), "該当なし"))</f>
        <v>va_330</v>
      </c>
      <c r="B1739" s="1" t="str">
        <f ca="1">IFERROR(__xludf.DUMMYFUNCTION("""COMPUTED_VALUE"""),"宮崎遊")</f>
        <v>宮崎遊</v>
      </c>
      <c r="C1739" s="1" t="s">
        <v>27</v>
      </c>
      <c r="D1739" s="1" t="str">
        <f>IF(C1739="", "", IFERROR(VLOOKUP(C1739, 作品一覧!A:B, 2, FALSE), "該当なし"))</f>
        <v>アンジェリーク ルミナライズ</v>
      </c>
      <c r="E1739" s="1" t="str">
        <f ca="1">IFERROR(__xludf.DUMMYFUNCTION("""COMPUTED_VALUE"""),"ヴァージル")</f>
        <v>ヴァージル</v>
      </c>
      <c r="F1739" s="14" t="s">
        <v>2557</v>
      </c>
    </row>
    <row r="1740" spans="1:6" ht="15">
      <c r="A1740" s="1" t="str">
        <f t="array" aca="1" ref="A1740" ca="1">IF(B1740="", "", IFERROR(INDEX(声優一覧!A:A, MATCH(B1740, 声優一覧!B:B, 0)), "該当なし"))</f>
        <v>va_041</v>
      </c>
      <c r="B1740" s="1" t="str">
        <f ca="1">IFERROR(__xludf.DUMMYFUNCTION("""COMPUTED_VALUE"""),"大塚剛央")</f>
        <v>大塚剛央</v>
      </c>
      <c r="C1740" s="1" t="s">
        <v>27</v>
      </c>
      <c r="D1740" s="1" t="str">
        <f>IF(C1740="", "", IFERROR(VLOOKUP(C1740, 作品一覧!A:B, 2, FALSE), "該当なし"))</f>
        <v>アンジェリーク ルミナライズ</v>
      </c>
      <c r="E1740" s="1" t="str">
        <f ca="1">IFERROR(__xludf.DUMMYFUNCTION("""COMPUTED_VALUE"""),"カナタ")</f>
        <v>カナタ</v>
      </c>
      <c r="F1740" s="14" t="s">
        <v>2558</v>
      </c>
    </row>
    <row r="1741" spans="1:6" ht="15">
      <c r="A1741" s="1" t="str">
        <f t="array" aca="1" ref="A1741" ca="1">IF(B1741="", "", IFERROR(INDEX(声優一覧!A:A, MATCH(B1741, 声優一覧!B:B, 0)), "該当なし"))</f>
        <v>va_090</v>
      </c>
      <c r="B1741" s="1" t="str">
        <f ca="1">IFERROR(__xludf.DUMMYFUNCTION("""COMPUTED_VALUE"""),"佐藤拓也")</f>
        <v>佐藤拓也</v>
      </c>
      <c r="C1741" s="1" t="s">
        <v>27</v>
      </c>
      <c r="D1741" s="1" t="str">
        <f>IF(C1741="", "", IFERROR(VLOOKUP(C1741, 作品一覧!A:B, 2, FALSE), "該当なし"))</f>
        <v>アンジェリーク ルミナライズ</v>
      </c>
      <c r="E1741" s="1" t="str">
        <f ca="1">IFERROR(__xludf.DUMMYFUNCTION("""COMPUTED_VALUE"""),"シュリ")</f>
        <v>シュリ</v>
      </c>
      <c r="F1741" s="14" t="s">
        <v>2559</v>
      </c>
    </row>
    <row r="1742" spans="1:6" ht="15">
      <c r="A1742" s="1" t="str">
        <f t="array" aca="1" ref="A1742" ca="1">IF(B1742="", "", IFERROR(INDEX(声優一覧!A:A, MATCH(B1742, 声優一覧!B:B, 0)), "該当なし"))</f>
        <v>va_076</v>
      </c>
      <c r="B1742" s="1" t="str">
        <f ca="1">IFERROR(__xludf.DUMMYFUNCTION("""COMPUTED_VALUE"""),"小松昌平")</f>
        <v>小松昌平</v>
      </c>
      <c r="C1742" s="1" t="s">
        <v>27</v>
      </c>
      <c r="D1742" s="1" t="str">
        <f>IF(C1742="", "", IFERROR(VLOOKUP(C1742, 作品一覧!A:B, 2, FALSE), "該当なし"))</f>
        <v>アンジェリーク ルミナライズ</v>
      </c>
      <c r="E1742" s="1" t="str">
        <f ca="1">IFERROR(__xludf.DUMMYFUNCTION("""COMPUTED_VALUE"""),"ミラン")</f>
        <v>ミラン</v>
      </c>
      <c r="F1742" s="14" t="s">
        <v>2560</v>
      </c>
    </row>
    <row r="1743" spans="1:6" ht="15">
      <c r="A1743" s="1" t="str">
        <f t="array" aca="1" ref="A1743" ca="1">IF(B1743="", "", IFERROR(INDEX(声優一覧!A:A, MATCH(B1743, 声優一覧!B:B, 0)), "該当なし"))</f>
        <v>va_094</v>
      </c>
      <c r="B1743" s="1" t="str">
        <f ca="1">IFERROR(__xludf.DUMMYFUNCTION("""COMPUTED_VALUE"""),"島﨑信長")</f>
        <v>島﨑信長</v>
      </c>
      <c r="C1743" s="1" t="s">
        <v>27</v>
      </c>
      <c r="D1743" s="1" t="str">
        <f>IF(C1743="", "", IFERROR(VLOOKUP(C1743, 作品一覧!A:B, 2, FALSE), "該当なし"))</f>
        <v>アンジェリーク ルミナライズ</v>
      </c>
      <c r="E1743" s="1" t="str">
        <f ca="1">IFERROR(__xludf.DUMMYFUNCTION("""COMPUTED_VALUE"""),"ゼノ")</f>
        <v>ゼノ</v>
      </c>
      <c r="F1743" s="14" t="s">
        <v>2561</v>
      </c>
    </row>
    <row r="1744" spans="1:6" ht="15">
      <c r="A1744" s="1" t="str">
        <f t="array" aca="1" ref="A1744" ca="1">IF(B1744="", "", IFERROR(INDEX(声優一覧!A:A, MATCH(B1744, 声優一覧!B:B, 0)), "該当なし"))</f>
        <v>va_028</v>
      </c>
      <c r="B1744" s="1" t="str">
        <f ca="1">IFERROR(__xludf.DUMMYFUNCTION("""COMPUTED_VALUE"""),"上村祐翔")</f>
        <v>上村祐翔</v>
      </c>
      <c r="C1744" s="1" t="s">
        <v>27</v>
      </c>
      <c r="D1744" s="1" t="str">
        <f>IF(C1744="", "", IFERROR(VLOOKUP(C1744, 作品一覧!A:B, 2, FALSE), "該当なし"))</f>
        <v>アンジェリーク ルミナライズ</v>
      </c>
      <c r="E1744" s="1" t="str">
        <f ca="1">IFERROR(__xludf.DUMMYFUNCTION("""COMPUTED_VALUE"""),"フェリクス")</f>
        <v>フェリクス</v>
      </c>
      <c r="F1744" s="14" t="s">
        <v>2562</v>
      </c>
    </row>
    <row r="1745" spans="1:6" ht="15">
      <c r="A1745" s="1" t="str">
        <f t="array" aca="1" ref="A1745" ca="1">IF(B1745="", "", IFERROR(INDEX(声優一覧!A:A, MATCH(B1745, 声優一覧!B:B, 0)), "該当なし"))</f>
        <v>va_217</v>
      </c>
      <c r="B1745" s="1" t="str">
        <f ca="1">IFERROR(__xludf.DUMMYFUNCTION("""COMPUTED_VALUE"""),"竹内良太")</f>
        <v>竹内良太</v>
      </c>
      <c r="C1745" s="1" t="s">
        <v>27</v>
      </c>
      <c r="D1745" s="1" t="str">
        <f>IF(C1745="", "", IFERROR(VLOOKUP(C1745, 作品一覧!A:B, 2, FALSE), "該当なし"))</f>
        <v>アンジェリーク ルミナライズ</v>
      </c>
      <c r="E1745" s="1" t="str">
        <f ca="1">IFERROR(__xludf.DUMMYFUNCTION("""COMPUTED_VALUE"""),"ロレンツォ")</f>
        <v>ロレンツォ</v>
      </c>
      <c r="F1745" s="14" t="s">
        <v>2563</v>
      </c>
    </row>
    <row r="1746" spans="1:6" ht="15">
      <c r="A1746" s="1" t="str">
        <f t="array" aca="1" ref="A1746" ca="1">IF(B1746="", "", IFERROR(INDEX(声優一覧!A:A, MATCH(B1746, 声優一覧!B:B, 0)), "該当なし"))</f>
        <v>va_046</v>
      </c>
      <c r="B1746" s="1" t="str">
        <f ca="1">IFERROR(__xludf.DUMMYFUNCTION("""COMPUTED_VALUE"""),"小野友樹")</f>
        <v>小野友樹</v>
      </c>
      <c r="C1746" s="1" t="s">
        <v>27</v>
      </c>
      <c r="D1746" s="1" t="str">
        <f>IF(C1746="", "", IFERROR(VLOOKUP(C1746, 作品一覧!A:B, 2, FALSE), "該当なし"))</f>
        <v>アンジェリーク ルミナライズ</v>
      </c>
      <c r="E1746" s="1" t="str">
        <f ca="1">IFERROR(__xludf.DUMMYFUNCTION("""COMPUTED_VALUE"""),"サイラス")</f>
        <v>サイラス</v>
      </c>
      <c r="F1746" s="14" t="s">
        <v>2564</v>
      </c>
    </row>
    <row r="1747" spans="1:6" ht="15">
      <c r="A1747" s="1" t="str">
        <f t="array" aca="1" ref="A1747" ca="1">IF(B1747="", "", IFERROR(INDEX(声優一覧!A:A, MATCH(B1747, 声優一覧!B:B, 0)), "該当なし"))</f>
        <v>va_023</v>
      </c>
      <c r="B1747" s="1" t="str">
        <f ca="1">IFERROR(__xludf.DUMMYFUNCTION("""COMPUTED_VALUE"""),"今井文也")</f>
        <v>今井文也</v>
      </c>
      <c r="C1747" s="1" t="s">
        <v>27</v>
      </c>
      <c r="D1747" s="1" t="str">
        <f>IF(C1747="", "", IFERROR(VLOOKUP(C1747, 作品一覧!A:B, 2, FALSE), "該当なし"))</f>
        <v>アンジェリーク ルミナライズ</v>
      </c>
      <c r="E1747" s="1" t="str">
        <f ca="1">IFERROR(__xludf.DUMMYFUNCTION("""COMPUTED_VALUE"""),"タイラー")</f>
        <v>タイラー</v>
      </c>
      <c r="F1747" s="14" t="s">
        <v>2565</v>
      </c>
    </row>
    <row r="1748" spans="1:6" ht="15">
      <c r="A1748" s="1" t="str">
        <f t="array" aca="1" ref="A1748" ca="1">IF(B1748="", "", IFERROR(INDEX(声優一覧!A:A, MATCH(B1748, 声優一覧!B:B, 0)), "該当なし"))</f>
        <v>va_173</v>
      </c>
      <c r="B1748" s="1" t="str">
        <f ca="1">IFERROR(__xludf.DUMMYFUNCTION("""COMPUTED_VALUE"""),"松岡禎丞")</f>
        <v>松岡禎丞</v>
      </c>
      <c r="C1748" s="1" t="s">
        <v>69</v>
      </c>
      <c r="D1748" s="1" t="str">
        <f>IF(C1748="", "", IFERROR(VLOOKUP(C1748, 作品一覧!A:B, 2, FALSE), "該当なし"))</f>
        <v>オランピアソワレ</v>
      </c>
      <c r="E1748" s="1" t="str">
        <f ca="1">IFERROR(__xludf.DUMMYFUNCTION("""COMPUTED_VALUE"""),"朱砂")</f>
        <v>朱砂</v>
      </c>
      <c r="F1748" s="14" t="s">
        <v>2566</v>
      </c>
    </row>
    <row r="1749" spans="1:6" ht="15">
      <c r="A1749" s="1" t="str">
        <f t="array" aca="1" ref="A1749" ca="1">IF(B1749="", "", IFERROR(INDEX(声優一覧!A:A, MATCH(B1749, 声優一覧!B:B, 0)), "該当なし"))</f>
        <v>va_097</v>
      </c>
      <c r="B1749" s="1" t="str">
        <f ca="1">IFERROR(__xludf.DUMMYFUNCTION("""COMPUTED_VALUE"""),"杉田智和")</f>
        <v>杉田智和</v>
      </c>
      <c r="C1749" s="1" t="s">
        <v>69</v>
      </c>
      <c r="D1749" s="1" t="str">
        <f>IF(C1749="", "", IFERROR(VLOOKUP(C1749, 作品一覧!A:B, 2, FALSE), "該当なし"))</f>
        <v>オランピアソワレ</v>
      </c>
      <c r="E1749" s="1" t="str">
        <f ca="1">IFERROR(__xludf.DUMMYFUNCTION("""COMPUTED_VALUE"""),"玄葉")</f>
        <v>玄葉</v>
      </c>
      <c r="F1749" s="14" t="s">
        <v>2567</v>
      </c>
    </row>
    <row r="1750" spans="1:6" ht="15">
      <c r="A1750" s="1" t="str">
        <f t="array" aca="1" ref="A1750" ca="1">IF(B1750="", "", IFERROR(INDEX(声優一覧!A:A, MATCH(B1750, 声優一覧!B:B, 0)), "該当なし"))</f>
        <v>va_094</v>
      </c>
      <c r="B1750" s="1" t="str">
        <f ca="1">IFERROR(__xludf.DUMMYFUNCTION("""COMPUTED_VALUE"""),"島﨑信長")</f>
        <v>島﨑信長</v>
      </c>
      <c r="C1750" s="1" t="s">
        <v>69</v>
      </c>
      <c r="D1750" s="1" t="str">
        <f>IF(C1750="", "", IFERROR(VLOOKUP(C1750, 作品一覧!A:B, 2, FALSE), "該当なし"))</f>
        <v>オランピアソワレ</v>
      </c>
      <c r="E1750" s="1" t="str">
        <f ca="1">IFERROR(__xludf.DUMMYFUNCTION("""COMPUTED_VALUE"""),"璃空")</f>
        <v>璃空</v>
      </c>
      <c r="F1750" s="14" t="s">
        <v>2568</v>
      </c>
    </row>
    <row r="1751" spans="1:6" ht="15">
      <c r="A1751" s="1" t="str">
        <f t="array" aca="1" ref="A1751" ca="1">IF(B1751="", "", IFERROR(INDEX(声優一覧!A:A, MATCH(B1751, 声優一覧!B:B, 0)), "該当なし"))</f>
        <v>va_028</v>
      </c>
      <c r="B1751" s="1" t="str">
        <f ca="1">IFERROR(__xludf.DUMMYFUNCTION("""COMPUTED_VALUE"""),"上村祐翔")</f>
        <v>上村祐翔</v>
      </c>
      <c r="C1751" s="1" t="s">
        <v>69</v>
      </c>
      <c r="D1751" s="1" t="str">
        <f>IF(C1751="", "", IFERROR(VLOOKUP(C1751, 作品一覧!A:B, 2, FALSE), "該当なし"))</f>
        <v>オランピアソワレ</v>
      </c>
      <c r="E1751" s="1" t="str">
        <f ca="1">IFERROR(__xludf.DUMMYFUNCTION("""COMPUTED_VALUE"""),"天草四郎時貞")</f>
        <v>天草四郎時貞</v>
      </c>
      <c r="F1751" s="14" t="s">
        <v>2569</v>
      </c>
    </row>
    <row r="1752" spans="1:6" ht="15">
      <c r="A1752" s="1" t="str">
        <f t="array" aca="1" ref="A1752" ca="1">IF(B1752="", "", IFERROR(INDEX(声優一覧!A:A, MATCH(B1752, 声優一覧!B:B, 0)), "該当なし"))</f>
        <v>va_030</v>
      </c>
      <c r="B1752" s="1" t="str">
        <f ca="1">IFERROR(__xludf.DUMMYFUNCTION("""COMPUTED_VALUE"""),"内田雄馬")</f>
        <v>内田雄馬</v>
      </c>
      <c r="C1752" s="1" t="s">
        <v>69</v>
      </c>
      <c r="D1752" s="1" t="str">
        <f>IF(C1752="", "", IFERROR(VLOOKUP(C1752, 作品一覧!A:B, 2, FALSE), "該当なし"))</f>
        <v>オランピアソワレ</v>
      </c>
      <c r="E1752" s="1" t="str">
        <f ca="1">IFERROR(__xludf.DUMMYFUNCTION("""COMPUTED_VALUE"""),"縁")</f>
        <v>縁</v>
      </c>
      <c r="F1752" s="14" t="s">
        <v>2570</v>
      </c>
    </row>
    <row r="1753" spans="1:6" ht="15">
      <c r="A1753" s="1" t="str">
        <f t="array" aca="1" ref="A1753" ca="1">IF(B1753="", "", IFERROR(INDEX(声優一覧!A:A, MATCH(B1753, 声優一覧!B:B, 0)), "該当なし"))</f>
        <v>va_166</v>
      </c>
      <c r="B1753" s="1" t="str">
        <f ca="1">IFERROR(__xludf.DUMMYFUNCTION("""COMPUTED_VALUE"""),"堀江瞬")</f>
        <v>堀江瞬</v>
      </c>
      <c r="C1753" s="1" t="s">
        <v>69</v>
      </c>
      <c r="D1753" s="1" t="str">
        <f>IF(C1753="", "", IFERROR(VLOOKUP(C1753, 作品一覧!A:B, 2, FALSE), "該当なし"))</f>
        <v>オランピアソワレ</v>
      </c>
      <c r="E1753" s="1" t="str">
        <f ca="1">IFERROR(__xludf.DUMMYFUNCTION("""COMPUTED_VALUE"""),"ヒムカ")</f>
        <v>ヒムカ</v>
      </c>
      <c r="F1753" s="14" t="s">
        <v>2571</v>
      </c>
    </row>
    <row r="1754" spans="1:6" ht="15">
      <c r="A1754" s="1" t="str">
        <f t="array" aca="1" ref="A1754" ca="1">IF(B1754="", "", IFERROR(INDEX(声優一覧!A:A, MATCH(B1754, 声優一覧!B:B, 0)), "該当なし"))</f>
        <v>va_269</v>
      </c>
      <c r="B1754" s="1" t="str">
        <f ca="1">IFERROR(__xludf.DUMMYFUNCTION("""COMPUTED_VALUE"""),"森田成一")</f>
        <v>森田成一</v>
      </c>
      <c r="C1754" s="1" t="s">
        <v>80</v>
      </c>
      <c r="D1754" s="1" t="str">
        <f>IF(C1754="", "", IFERROR(VLOOKUP(C1754, 作品一覧!A:B, 2, FALSE), "該当なし"))</f>
        <v>Collar×Malice</v>
      </c>
      <c r="E1754" s="1" t="str">
        <f ca="1">IFERROR(__xludf.DUMMYFUNCTION("""COMPUTED_VALUE"""),"柳愛時")</f>
        <v>柳愛時</v>
      </c>
      <c r="F1754" s="14" t="s">
        <v>2572</v>
      </c>
    </row>
    <row r="1755" spans="1:6" ht="15">
      <c r="A1755" s="1" t="str">
        <f t="array" aca="1" ref="A1755" ca="1">IF(B1755="", "", IFERROR(INDEX(声優一覧!A:A, MATCH(B1755, 声優一覧!B:B, 0)), "該当なし"))</f>
        <v>va_051</v>
      </c>
      <c r="B1755" s="1" t="str">
        <f ca="1">IFERROR(__xludf.DUMMYFUNCTION("""COMPUTED_VALUE"""),"梶裕貴")</f>
        <v>梶裕貴</v>
      </c>
      <c r="C1755" s="1" t="s">
        <v>80</v>
      </c>
      <c r="D1755" s="1" t="str">
        <f>IF(C1755="", "", IFERROR(VLOOKUP(C1755, 作品一覧!A:B, 2, FALSE), "該当なし"))</f>
        <v>Collar×Malice</v>
      </c>
      <c r="E1755" s="1" t="str">
        <f ca="1">IFERROR(__xludf.DUMMYFUNCTION("""COMPUTED_VALUE"""),"岡崎契")</f>
        <v>岡崎契</v>
      </c>
      <c r="F1755" s="14" t="s">
        <v>2573</v>
      </c>
    </row>
    <row r="1756" spans="1:6" ht="15">
      <c r="A1756" s="1" t="str">
        <f t="array" aca="1" ref="A1756" ca="1">IF(B1756="", "", IFERROR(INDEX(声優一覧!A:A, MATCH(B1756, 声優一覧!B:B, 0)), "該当なし"))</f>
        <v>va_083</v>
      </c>
      <c r="B1756" s="1" t="str">
        <f ca="1">IFERROR(__xludf.DUMMYFUNCTION("""COMPUTED_VALUE"""),"斉藤壮馬")</f>
        <v>斉藤壮馬</v>
      </c>
      <c r="C1756" s="1" t="s">
        <v>80</v>
      </c>
      <c r="D1756" s="1" t="str">
        <f>IF(C1756="", "", IFERROR(VLOOKUP(C1756, 作品一覧!A:B, 2, FALSE), "該当なし"))</f>
        <v>Collar×Malice</v>
      </c>
      <c r="E1756" s="1" t="str">
        <f ca="1">IFERROR(__xludf.DUMMYFUNCTION("""COMPUTED_VALUE"""),"榎本峰雄")</f>
        <v>榎本峰雄</v>
      </c>
      <c r="F1756" s="14" t="s">
        <v>2574</v>
      </c>
    </row>
    <row r="1757" spans="1:6" ht="15">
      <c r="A1757" s="1" t="str">
        <f t="array" aca="1" ref="A1757" ca="1">IF(B1757="", "", IFERROR(INDEX(声優一覧!A:A, MATCH(B1757, 声優一覧!B:B, 0)), "該当なし"))</f>
        <v>va_138</v>
      </c>
      <c r="B1757" s="1" t="str">
        <f ca="1">IFERROR(__xludf.DUMMYFUNCTION("""COMPUTED_VALUE"""),"浪川大輔")</f>
        <v>浪川大輔</v>
      </c>
      <c r="C1757" s="1" t="s">
        <v>80</v>
      </c>
      <c r="D1757" s="1" t="str">
        <f>IF(C1757="", "", IFERROR(VLOOKUP(C1757, 作品一覧!A:B, 2, FALSE), "該当なし"))</f>
        <v>Collar×Malice</v>
      </c>
      <c r="E1757" s="1" t="str">
        <f ca="1">IFERROR(__xludf.DUMMYFUNCTION("""COMPUTED_VALUE"""),"笹塚尊")</f>
        <v>笹塚尊</v>
      </c>
      <c r="F1757" s="14" t="s">
        <v>2575</v>
      </c>
    </row>
    <row r="1758" spans="1:6" ht="15">
      <c r="A1758" s="1" t="str">
        <f t="array" aca="1" ref="A1758" ca="1">IF(B1758="", "", IFERROR(INDEX(声優一覧!A:A, MATCH(B1758, 声優一覧!B:B, 0)), "該当なし"))</f>
        <v>va_066</v>
      </c>
      <c r="B1758" s="1" t="str">
        <f ca="1">IFERROR(__xludf.DUMMYFUNCTION("""COMPUTED_VALUE"""),"木村良平")</f>
        <v>木村良平</v>
      </c>
      <c r="C1758" s="1" t="s">
        <v>80</v>
      </c>
      <c r="D1758" s="1" t="str">
        <f>IF(C1758="", "", IFERROR(VLOOKUP(C1758, 作品一覧!A:B, 2, FALSE), "該当なし"))</f>
        <v>Collar×Malice</v>
      </c>
      <c r="E1758" s="1" t="str">
        <f ca="1">IFERROR(__xludf.DUMMYFUNCTION("""COMPUTED_VALUE"""),"白石景之")</f>
        <v>白石景之</v>
      </c>
      <c r="F1758" s="14" t="s">
        <v>2576</v>
      </c>
    </row>
    <row r="1759" spans="1:6" ht="15">
      <c r="A1759" s="1" t="str">
        <f t="array" aca="1" ref="A1759" ca="1">IF(B1759="", "", IFERROR(INDEX(声優一覧!A:A, MATCH(B1759, 声優一覧!B:B, 0)), "該当なし"))</f>
        <v>va_302</v>
      </c>
      <c r="B1759" s="1" t="str">
        <f ca="1">IFERROR(__xludf.DUMMYFUNCTION("""COMPUTED_VALUE"""),"岸尾だいすけ")</f>
        <v>岸尾だいすけ</v>
      </c>
      <c r="C1759" s="1" t="s">
        <v>193</v>
      </c>
      <c r="D1759" s="1" t="str">
        <f>IF(C1759="", "", IFERROR(VLOOKUP(C1759, 作品一覧!A:B, 2, FALSE), "該当なし"))</f>
        <v>ときめきレストラン☆☆☆</v>
      </c>
      <c r="E1759" s="1" t="str">
        <f ca="1">IFERROR(__xludf.DUMMYFUNCTION("""COMPUTED_VALUE"""),"音羽慎之介")</f>
        <v>音羽慎之介</v>
      </c>
      <c r="F1759" s="14" t="s">
        <v>2577</v>
      </c>
    </row>
    <row r="1760" spans="1:6" ht="15">
      <c r="A1760" s="1" t="str">
        <f t="array" aca="1" ref="A1760" ca="1">IF(B1760="", "", IFERROR(INDEX(声優一覧!A:A, MATCH(B1760, 声優一覧!B:B, 0)), "該当なし"))</f>
        <v>va_138</v>
      </c>
      <c r="B1760" s="1" t="str">
        <f ca="1">IFERROR(__xludf.DUMMYFUNCTION("""COMPUTED_VALUE"""),"浪川大輔")</f>
        <v>浪川大輔</v>
      </c>
      <c r="C1760" s="1" t="s">
        <v>193</v>
      </c>
      <c r="D1760" s="1" t="str">
        <f>IF(C1760="", "", IFERROR(VLOOKUP(C1760, 作品一覧!A:B, 2, FALSE), "該当なし"))</f>
        <v>ときめきレストラン☆☆☆</v>
      </c>
      <c r="E1760" s="1" t="str">
        <f ca="1">IFERROR(__xludf.DUMMYFUNCTION("""COMPUTED_VALUE"""),"霧島司")</f>
        <v>霧島司</v>
      </c>
      <c r="F1760" s="14" t="s">
        <v>2578</v>
      </c>
    </row>
    <row r="1761" spans="1:6" ht="15">
      <c r="A1761" s="1" t="str">
        <f t="array" aca="1" ref="A1761" ca="1">IF(B1761="", "", IFERROR(INDEX(声優一覧!A:A, MATCH(B1761, 声優一覧!B:B, 0)), "該当なし"))</f>
        <v>va_048</v>
      </c>
      <c r="B1761" s="1" t="str">
        <f ca="1">IFERROR(__xludf.DUMMYFUNCTION("""COMPUTED_VALUE"""),"柿原徹也")</f>
        <v>柿原徹也</v>
      </c>
      <c r="C1761" s="1" t="s">
        <v>193</v>
      </c>
      <c r="D1761" s="1" t="str">
        <f>IF(C1761="", "", IFERROR(VLOOKUP(C1761, 作品一覧!A:B, 2, FALSE), "該当なし"))</f>
        <v>ときめきレストラン☆☆☆</v>
      </c>
      <c r="E1761" s="1" t="str">
        <f ca="1">IFERROR(__xludf.DUMMYFUNCTION("""COMPUTED_VALUE"""),"辻魁斗")</f>
        <v>辻魁斗</v>
      </c>
      <c r="F1761" s="14" t="s">
        <v>2579</v>
      </c>
    </row>
    <row r="1762" spans="1:6" ht="15">
      <c r="A1762" s="1" t="str">
        <f t="array" aca="1" ref="A1762" ca="1">IF(B1762="", "", IFERROR(INDEX(声優一覧!A:A, MATCH(B1762, 声優一覧!B:B, 0)), "該当なし"))</f>
        <v>va_156</v>
      </c>
      <c r="B1762" s="1" t="str">
        <f ca="1">IFERROR(__xludf.DUMMYFUNCTION("""COMPUTED_VALUE"""),"日野聡")</f>
        <v>日野聡</v>
      </c>
      <c r="C1762" s="1" t="s">
        <v>193</v>
      </c>
      <c r="D1762" s="1" t="str">
        <f>IF(C1762="", "", IFERROR(VLOOKUP(C1762, 作品一覧!A:B, 2, FALSE), "該当なし"))</f>
        <v>ときめきレストラン☆☆☆</v>
      </c>
      <c r="E1762" s="1" t="str">
        <f ca="1">IFERROR(__xludf.DUMMYFUNCTION("""COMPUTED_VALUE"""),"不破剣人")</f>
        <v>不破剣人</v>
      </c>
      <c r="F1762" s="14" t="s">
        <v>2580</v>
      </c>
    </row>
    <row r="1763" spans="1:6" ht="15">
      <c r="A1763" s="1" t="str">
        <f t="array" aca="1" ref="A1763" ca="1">IF(B1763="", "", IFERROR(INDEX(声優一覧!A:A, MATCH(B1763, 声優一覧!B:B, 0)), "該当なし"))</f>
        <v>va_132</v>
      </c>
      <c r="B1763" s="1" t="str">
        <f ca="1">IFERROR(__xludf.DUMMYFUNCTION("""COMPUTED_VALUE"""),"鳥海浩輔")</f>
        <v>鳥海浩輔</v>
      </c>
      <c r="C1763" s="1" t="s">
        <v>193</v>
      </c>
      <c r="D1763" s="1" t="str">
        <f>IF(C1763="", "", IFERROR(VLOOKUP(C1763, 作品一覧!A:B, 2, FALSE), "該当なし"))</f>
        <v>ときめきレストラン☆☆☆</v>
      </c>
      <c r="E1763" s="1" t="str">
        <f ca="1">IFERROR(__xludf.DUMMYFUNCTION("""COMPUTED_VALUE"""),"伊達京也")</f>
        <v>伊達京也</v>
      </c>
      <c r="F1763" s="14" t="s">
        <v>2581</v>
      </c>
    </row>
    <row r="1764" spans="1:6" ht="15">
      <c r="A1764" s="1" t="str">
        <f t="array" aca="1" ref="A1764" ca="1">IF(B1764="", "", IFERROR(INDEX(声優一覧!A:A, MATCH(B1764, 声優一覧!B:B, 0)), "該当なし"))</f>
        <v>va_035</v>
      </c>
      <c r="B1764" s="1" t="str">
        <f ca="1">IFERROR(__xludf.DUMMYFUNCTION("""COMPUTED_VALUE"""),"江口拓也")</f>
        <v>江口拓也</v>
      </c>
      <c r="C1764" s="1" t="s">
        <v>193</v>
      </c>
      <c r="D1764" s="1" t="str">
        <f>IF(C1764="", "", IFERROR(VLOOKUP(C1764, 作品一覧!A:B, 2, FALSE), "該当なし"))</f>
        <v>ときめきレストラン☆☆☆</v>
      </c>
      <c r="E1764" s="1" t="str">
        <f ca="1">IFERROR(__xludf.DUMMYFUNCTION("""COMPUTED_VALUE"""),"神崎透")</f>
        <v>神崎透</v>
      </c>
      <c r="F1764" s="14" t="s">
        <v>2582</v>
      </c>
    </row>
    <row r="1765" spans="1:6" ht="15">
      <c r="A1765" s="1" t="str">
        <f t="array" aca="1" ref="A1765" ca="1">IF(B1765="", "", IFERROR(INDEX(声優一覧!A:A, MATCH(B1765, 声優一覧!B:B, 0)), "該当なし"))</f>
        <v>va_090</v>
      </c>
      <c r="B1765" s="1" t="str">
        <f ca="1">IFERROR(__xludf.DUMMYFUNCTION("""COMPUTED_VALUE"""),"佐藤拓也")</f>
        <v>佐藤拓也</v>
      </c>
      <c r="C1765" s="1" t="s">
        <v>71</v>
      </c>
      <c r="D1765" s="1" t="str">
        <f>IF(C1765="", "", IFERROR(VLOOKUP(C1765, 作品一覧!A:B, 2, FALSE), "該当なし"))</f>
        <v>オンエア！</v>
      </c>
      <c r="E1765" s="1" t="str">
        <f ca="1">IFERROR(__xludf.DUMMYFUNCTION("""COMPUTED_VALUE"""),"輝崎千紘")</f>
        <v>輝崎千紘</v>
      </c>
      <c r="F1765" s="14" t="s">
        <v>2583</v>
      </c>
    </row>
    <row r="1766" spans="1:6" ht="15">
      <c r="A1766" s="1" t="str">
        <f t="array" aca="1" ref="A1766" ca="1">IF(B1766="", "", IFERROR(INDEX(声優一覧!A:A, MATCH(B1766, 声優一覧!B:B, 0)), "該当なし"))</f>
        <v>va_170</v>
      </c>
      <c r="B1766" s="1" t="str">
        <f ca="1">IFERROR(__xludf.DUMMYFUNCTION("""COMPUTED_VALUE"""),"益山武明")</f>
        <v>益山武明</v>
      </c>
      <c r="C1766" s="1" t="s">
        <v>71</v>
      </c>
      <c r="D1766" s="1" t="str">
        <f>IF(C1766="", "", IFERROR(VLOOKUP(C1766, 作品一覧!A:B, 2, FALSE), "該当なし"))</f>
        <v>オンエア！</v>
      </c>
      <c r="E1766" s="1" t="str">
        <f ca="1">IFERROR(__xludf.DUMMYFUNCTION("""COMPUTED_VALUE"""),"一色葵")</f>
        <v>一色葵</v>
      </c>
      <c r="F1766" s="14" t="s">
        <v>2584</v>
      </c>
    </row>
    <row r="1767" spans="1:6" ht="15">
      <c r="A1767" s="1" t="str">
        <f t="array" aca="1" ref="A1767" ca="1">IF(B1767="", "", IFERROR(INDEX(声優一覧!A:A, MATCH(B1767, 声優一覧!B:B, 0)), "該当なし"))</f>
        <v>va_066</v>
      </c>
      <c r="B1767" s="1" t="str">
        <f ca="1">IFERROR(__xludf.DUMMYFUNCTION("""COMPUTED_VALUE"""),"木村良平")</f>
        <v>木村良平</v>
      </c>
      <c r="C1767" s="1" t="s">
        <v>71</v>
      </c>
      <c r="D1767" s="1" t="str">
        <f>IF(C1767="", "", IFERROR(VLOOKUP(C1767, 作品一覧!A:B, 2, FALSE), "該当なし"))</f>
        <v>オンエア！</v>
      </c>
      <c r="E1767" s="1" t="str">
        <f ca="1">IFERROR(__xludf.DUMMYFUNCTION("""COMPUTED_VALUE"""),"櫻井百瀬")</f>
        <v>櫻井百瀬</v>
      </c>
      <c r="F1767" s="14" t="s">
        <v>2585</v>
      </c>
    </row>
    <row r="1768" spans="1:6" ht="15">
      <c r="A1768" s="1" t="str">
        <f t="array" aca="1" ref="A1768" ca="1">IF(B1768="", "", IFERROR(INDEX(声優一覧!A:A, MATCH(B1768, 声優一覧!B:B, 0)), "該当なし"))</f>
        <v>va_053</v>
      </c>
      <c r="B1768" s="1" t="str">
        <f ca="1">IFERROR(__xludf.DUMMYFUNCTION("""COMPUTED_VALUE"""),"梶原岳人")</f>
        <v>梶原岳人</v>
      </c>
      <c r="C1768" s="1" t="s">
        <v>71</v>
      </c>
      <c r="D1768" s="1" t="str">
        <f>IF(C1768="", "", IFERROR(VLOOKUP(C1768, 作品一覧!A:B, 2, FALSE), "該当なし"))</f>
        <v>オンエア！</v>
      </c>
      <c r="E1768" s="1" t="str">
        <f ca="1">IFERROR(__xludf.DUMMYFUNCTION("""COMPUTED_VALUE"""),"吉條七緒")</f>
        <v>吉條七緒</v>
      </c>
      <c r="F1768" s="14" t="s">
        <v>2586</v>
      </c>
    </row>
    <row r="1769" spans="1:6" ht="15">
      <c r="A1769" s="1" t="str">
        <f t="array" aca="1" ref="A1769" ca="1">IF(B1769="", "", IFERROR(INDEX(声優一覧!A:A, MATCH(B1769, 声優一覧!B:B, 0)), "該当なし"))</f>
        <v>va_131</v>
      </c>
      <c r="B1769" s="1" t="str">
        <f ca="1">IFERROR(__xludf.DUMMYFUNCTION("""COMPUTED_VALUE"""),"豊永利行")</f>
        <v>豊永利行</v>
      </c>
      <c r="C1769" s="1" t="s">
        <v>71</v>
      </c>
      <c r="D1769" s="1" t="str">
        <f>IF(C1769="", "", IFERROR(VLOOKUP(C1769, 作品一覧!A:B, 2, FALSE), "該当なし"))</f>
        <v>オンエア！</v>
      </c>
      <c r="E1769" s="1" t="str">
        <f ca="1">IFERROR(__xludf.DUMMYFUNCTION("""COMPUTED_VALUE"""),"輝崎蛍")</f>
        <v>輝崎蛍</v>
      </c>
      <c r="F1769" s="14" t="s">
        <v>2587</v>
      </c>
    </row>
    <row r="1770" spans="1:6" ht="15">
      <c r="A1770" s="1" t="str">
        <f t="array" aca="1" ref="A1770" ca="1">IF(B1770="", "", IFERROR(INDEX(声優一覧!A:A, MATCH(B1770, 声優一覧!B:B, 0)), "該当なし"))</f>
        <v>va_250</v>
      </c>
      <c r="B1770" s="1" t="str">
        <f ca="1">IFERROR(__xludf.DUMMYFUNCTION("""COMPUTED_VALUE"""),"永塚拓馬")</f>
        <v>永塚拓馬</v>
      </c>
      <c r="C1770" s="1" t="s">
        <v>71</v>
      </c>
      <c r="D1770" s="1" t="str">
        <f>IF(C1770="", "", IFERROR(VLOOKUP(C1770, 作品一覧!A:B, 2, FALSE), "該当なし"))</f>
        <v>オンエア！</v>
      </c>
      <c r="E1770" s="1" t="str">
        <f ca="1">IFERROR(__xludf.DUMMYFUNCTION("""COMPUTED_VALUE"""),"雅野椿")</f>
        <v>雅野椿</v>
      </c>
      <c r="F1770" s="14" t="s">
        <v>2588</v>
      </c>
    </row>
    <row r="1771" spans="1:6" ht="15">
      <c r="A1771" s="1" t="str">
        <f t="array" aca="1" ref="A1771" ca="1">IF(B1771="", "", IFERROR(INDEX(声優一覧!A:A, MATCH(B1771, 声優一覧!B:B, 0)), "該当なし"))</f>
        <v>va_046</v>
      </c>
      <c r="B1771" s="1" t="str">
        <f ca="1">IFERROR(__xludf.DUMMYFUNCTION("""COMPUTED_VALUE"""),"小野友樹")</f>
        <v>小野友樹</v>
      </c>
      <c r="C1771" s="1" t="s">
        <v>71</v>
      </c>
      <c r="D1771" s="1" t="str">
        <f>IF(C1771="", "", IFERROR(VLOOKUP(C1771, 作品一覧!A:B, 2, FALSE), "該当なし"))</f>
        <v>オンエア！</v>
      </c>
      <c r="E1771" s="1" t="str">
        <f ca="1">IFERROR(__xludf.DUMMYFUNCTION("""COMPUTED_VALUE"""),"加賀谷蓮")</f>
        <v>加賀谷蓮</v>
      </c>
      <c r="F1771" s="14" t="s">
        <v>2589</v>
      </c>
    </row>
    <row r="1772" spans="1:6" ht="15">
      <c r="A1772" s="1" t="str">
        <f t="array" aca="1" ref="A1772" ca="1">IF(B1772="", "", IFERROR(INDEX(声優一覧!A:A, MATCH(B1772, 声優一覧!B:B, 0)), "該当なし"))</f>
        <v>va_173</v>
      </c>
      <c r="B1772" s="1" t="str">
        <f ca="1">IFERROR(__xludf.DUMMYFUNCTION("""COMPUTED_VALUE"""),"松岡禎丞")</f>
        <v>松岡禎丞</v>
      </c>
      <c r="C1772" s="1" t="s">
        <v>71</v>
      </c>
      <c r="D1772" s="1" t="str">
        <f>IF(C1772="", "", IFERROR(VLOOKUP(C1772, 作品一覧!A:B, 2, FALSE), "該当なし"))</f>
        <v>オンエア！</v>
      </c>
      <c r="E1772" s="1" t="str">
        <f ca="1">IFERROR(__xludf.DUMMYFUNCTION("""COMPUTED_VALUE"""),"鳥羽霞")</f>
        <v>鳥羽霞</v>
      </c>
      <c r="F1772" s="14" t="s">
        <v>2590</v>
      </c>
    </row>
    <row r="1773" spans="1:6" ht="15">
      <c r="A1773" s="1" t="str">
        <f t="array" aca="1" ref="A1773" ca="1">IF(B1773="", "", IFERROR(INDEX(声優一覧!A:A, MATCH(B1773, 声優一覧!B:B, 0)), "該当なし"))</f>
        <v>va_045</v>
      </c>
      <c r="B1773" s="1" t="str">
        <f ca="1">IFERROR(__xludf.DUMMYFUNCTION("""COMPUTED_VALUE"""),"小野賢章")</f>
        <v>小野賢章</v>
      </c>
      <c r="C1773" s="1" t="s">
        <v>71</v>
      </c>
      <c r="D1773" s="1" t="str">
        <f>IF(C1773="", "", IFERROR(VLOOKUP(C1773, 作品一覧!A:B, 2, FALSE), "該当なし"))</f>
        <v>オンエア！</v>
      </c>
      <c r="E1773" s="1" t="str">
        <f ca="1">IFERROR(__xludf.DUMMYFUNCTION("""COMPUTED_VALUE"""),"橘央太")</f>
        <v>橘央太</v>
      </c>
      <c r="F1773" s="14" t="s">
        <v>2591</v>
      </c>
    </row>
    <row r="1774" spans="1:6" ht="15">
      <c r="A1774" s="1" t="str">
        <f t="array" aca="1" ref="A1774" ca="1">IF(B1774="", "", IFERROR(INDEX(声優一覧!A:A, MATCH(B1774, 声優一覧!B:B, 0)), "該当なし"))</f>
        <v>va_308</v>
      </c>
      <c r="B1774" s="1" t="str">
        <f ca="1">IFERROR(__xludf.DUMMYFUNCTION("""COMPUTED_VALUE"""),"三浦祥朗")</f>
        <v>三浦祥朗</v>
      </c>
      <c r="C1774" s="1" t="s">
        <v>71</v>
      </c>
      <c r="D1774" s="1" t="str">
        <f>IF(C1774="", "", IFERROR(VLOOKUP(C1774, 作品一覧!A:B, 2, FALSE), "該当なし"))</f>
        <v>オンエア！</v>
      </c>
      <c r="E1774" s="1" t="str">
        <f ca="1">IFERROR(__xludf.DUMMYFUNCTION("""COMPUTED_VALUE"""),"藤間鈴")</f>
        <v>藤間鈴</v>
      </c>
      <c r="F1774" s="14" t="s">
        <v>2592</v>
      </c>
    </row>
    <row r="1775" spans="1:6" ht="15">
      <c r="A1775" s="1" t="str">
        <f t="array" aca="1" ref="A1775" ca="1">IF(B1775="", "", IFERROR(INDEX(声優一覧!A:A, MATCH(B1775, 声優一覧!B:B, 0)), "該当なし"))</f>
        <v>va_014</v>
      </c>
      <c r="B1775" s="1" t="str">
        <f ca="1">IFERROR(__xludf.DUMMYFUNCTION("""COMPUTED_VALUE"""),"石谷春貴")</f>
        <v>石谷春貴</v>
      </c>
      <c r="C1775" s="1" t="s">
        <v>71</v>
      </c>
      <c r="D1775" s="1" t="str">
        <f>IF(C1775="", "", IFERROR(VLOOKUP(C1775, 作品一覧!A:B, 2, FALSE), "該当なし"))</f>
        <v>オンエア！</v>
      </c>
      <c r="E1775" s="1" t="str">
        <f ca="1">IFERROR(__xludf.DUMMYFUNCTION("""COMPUTED_VALUE"""),"青柳帝")</f>
        <v>青柳帝</v>
      </c>
      <c r="F1775" s="14" t="s">
        <v>2593</v>
      </c>
    </row>
    <row r="1776" spans="1:6" ht="15">
      <c r="A1776" s="1" t="str">
        <f t="array" aca="1" ref="A1776" ca="1">IF(B1776="", "", IFERROR(INDEX(声優一覧!A:A, MATCH(B1776, 声優一覧!B:B, 0)), "該当なし"))</f>
        <v>va_013</v>
      </c>
      <c r="B1776" s="1" t="str">
        <f ca="1">IFERROR(__xludf.DUMMYFUNCTION("""COMPUTED_VALUE"""),"石川界人")</f>
        <v>石川界人</v>
      </c>
      <c r="C1776" s="1" t="s">
        <v>71</v>
      </c>
      <c r="D1776" s="1" t="str">
        <f>IF(C1776="", "", IFERROR(VLOOKUP(C1776, 作品一覧!A:B, 2, FALSE), "該当なし"))</f>
        <v>オンエア！</v>
      </c>
      <c r="E1776" s="1" t="str">
        <f ca="1">IFERROR(__xludf.DUMMYFUNCTION("""COMPUTED_VALUE"""),"夜来立夏")</f>
        <v>夜来立夏</v>
      </c>
      <c r="F1776" s="14" t="s">
        <v>2594</v>
      </c>
    </row>
    <row r="1777" spans="1:6" ht="15">
      <c r="A1777" s="1" t="str">
        <f t="array" aca="1" ref="A1777" ca="1">IF(B1777="", "", IFERROR(INDEX(声優一覧!A:A, MATCH(B1777, 声優一覧!B:B, 0)), "該当なし"))</f>
        <v>va_119</v>
      </c>
      <c r="B1777" s="1" t="str">
        <f ca="1">IFERROR(__xludf.DUMMYFUNCTION("""COMPUTED_VALUE"""),"千葉翔也")</f>
        <v>千葉翔也</v>
      </c>
      <c r="C1777" s="1" t="s">
        <v>71</v>
      </c>
      <c r="D1777" s="1" t="str">
        <f>IF(C1777="", "", IFERROR(VLOOKUP(C1777, 作品一覧!A:B, 2, FALSE), "該当なし"))</f>
        <v>オンエア！</v>
      </c>
      <c r="E1777" s="1" t="str">
        <f ca="1">IFERROR(__xludf.DUMMYFUNCTION("""COMPUTED_VALUE"""),"浮間志朗")</f>
        <v>浮間志朗</v>
      </c>
      <c r="F1777" s="14" t="s">
        <v>2595</v>
      </c>
    </row>
    <row r="1778" spans="1:6" ht="15">
      <c r="A1778" s="1" t="str">
        <f t="array" aca="1" ref="A1778" ca="1">IF(B1778="", "", IFERROR(INDEX(声優一覧!A:A, MATCH(B1778, 声優一覧!B:B, 0)), "該当なし"))</f>
        <v>va_037</v>
      </c>
      <c r="B1778" s="1" t="str">
        <f ca="1">IFERROR(__xludf.DUMMYFUNCTION("""COMPUTED_VALUE"""),"逢坂良太")</f>
        <v>逢坂良太</v>
      </c>
      <c r="C1778" s="1" t="s">
        <v>71</v>
      </c>
      <c r="D1778" s="1" t="str">
        <f>IF(C1778="", "", IFERROR(VLOOKUP(C1778, 作品一覧!A:B, 2, FALSE), "該当なし"))</f>
        <v>オンエア！</v>
      </c>
      <c r="E1778" s="1" t="str">
        <f ca="1">IFERROR(__xludf.DUMMYFUNCTION("""COMPUTED_VALUE"""),"辺見宙")</f>
        <v>辺見宙</v>
      </c>
      <c r="F1778" s="14" t="s">
        <v>2596</v>
      </c>
    </row>
    <row r="1779" spans="1:6" ht="15">
      <c r="A1779" s="1" t="str">
        <f t="array" aca="1" ref="A1779" ca="1">IF(B1779="", "", IFERROR(INDEX(声優一覧!A:A, MATCH(B1779, 声優一覧!B:B, 0)), "該当なし"))</f>
        <v>va_158</v>
      </c>
      <c r="B1779" s="1" t="str">
        <f ca="1">IFERROR(__xludf.DUMMYFUNCTION("""COMPUTED_VALUE"""),"深町寿成")</f>
        <v>深町寿成</v>
      </c>
      <c r="C1779" s="1" t="s">
        <v>71</v>
      </c>
      <c r="D1779" s="1" t="str">
        <f>IF(C1779="", "", IFERROR(VLOOKUP(C1779, 作品一覧!A:B, 2, FALSE), "該当なし"))</f>
        <v>オンエア！</v>
      </c>
      <c r="E1779" s="1" t="str">
        <f ca="1">IFERROR(__xludf.DUMMYFUNCTION("""COMPUTED_VALUE"""),"天橋幸弥")</f>
        <v>天橋幸弥</v>
      </c>
      <c r="F1779" s="14" t="s">
        <v>2597</v>
      </c>
    </row>
    <row r="1780" spans="1:6" ht="15">
      <c r="A1780" s="1" t="str">
        <f t="array" aca="1" ref="A1780" ca="1">IF(B1780="", "", IFERROR(INDEX(声優一覧!A:A, MATCH(B1780, 声優一覧!B:B, 0)), "該当なし"))</f>
        <v>va_161</v>
      </c>
      <c r="B1780" s="1" t="str">
        <f ca="1">IFERROR(__xludf.DUMMYFUNCTION("""COMPUTED_VALUE"""),"古川慎")</f>
        <v>古川慎</v>
      </c>
      <c r="C1780" s="1" t="s">
        <v>71</v>
      </c>
      <c r="D1780" s="1" t="str">
        <f>IF(C1780="", "", IFERROR(VLOOKUP(C1780, 作品一覧!A:B, 2, FALSE), "該当なし"))</f>
        <v>オンエア！</v>
      </c>
      <c r="E1780" s="1" t="str">
        <f ca="1">IFERROR(__xludf.DUMMYFUNCTION("""COMPUTED_VALUE"""),"雛瀬碧鳥")</f>
        <v>雛瀬碧鳥</v>
      </c>
      <c r="F1780" s="14" t="s">
        <v>2598</v>
      </c>
    </row>
    <row r="1781" spans="1:6" ht="15">
      <c r="A1781" s="1" t="str">
        <f t="array" aca="1" ref="A1781" ca="1">IF(B1781="", "", IFERROR(INDEX(声優一覧!A:A, MATCH(B1781, 声優一覧!B:B, 0)), "該当なし"))</f>
        <v>va_044</v>
      </c>
      <c r="B1781" s="1" t="str">
        <f ca="1">IFERROR(__xludf.DUMMYFUNCTION("""COMPUTED_VALUE"""),"興津和幸")</f>
        <v>興津和幸</v>
      </c>
      <c r="C1781" s="1" t="s">
        <v>71</v>
      </c>
      <c r="D1781" s="1" t="str">
        <f>IF(C1781="", "", IFERROR(VLOOKUP(C1781, 作品一覧!A:B, 2, FALSE), "該当なし"))</f>
        <v>オンエア！</v>
      </c>
      <c r="E1781" s="1" t="str">
        <f ca="1">IFERROR(__xludf.DUMMYFUNCTION("""COMPUTED_VALUE"""),"見明佐和")</f>
        <v>見明佐和</v>
      </c>
      <c r="F1781" s="14" t="s">
        <v>2599</v>
      </c>
    </row>
    <row r="1782" spans="1:6" ht="15">
      <c r="A1782" s="1" t="str">
        <f t="array" aca="1" ref="A1782" ca="1">IF(B1782="", "", IFERROR(INDEX(声優一覧!A:A, MATCH(B1782, 声優一覧!B:B, 0)), "該当なし"))</f>
        <v>va_166</v>
      </c>
      <c r="B1782" s="1" t="str">
        <f ca="1">IFERROR(__xludf.DUMMYFUNCTION("""COMPUTED_VALUE"""),"堀江瞬")</f>
        <v>堀江瞬</v>
      </c>
      <c r="C1782" s="1" t="s">
        <v>71</v>
      </c>
      <c r="D1782" s="1" t="str">
        <f>IF(C1782="", "", IFERROR(VLOOKUP(C1782, 作品一覧!A:B, 2, FALSE), "該当なし"))</f>
        <v>オンエア！</v>
      </c>
      <c r="E1782" s="1" t="str">
        <f ca="1">IFERROR(__xludf.DUMMYFUNCTION("""COMPUTED_VALUE"""),"小野屋あずき")</f>
        <v>小野屋あずき</v>
      </c>
      <c r="F1782" s="14" t="s">
        <v>2600</v>
      </c>
    </row>
    <row r="1783" spans="1:6" ht="15">
      <c r="A1783" s="1" t="str">
        <f t="array" aca="1" ref="A1783" ca="1">IF(B1783="", "", IFERROR(INDEX(声優一覧!A:A, MATCH(B1783, 声優一覧!B:B, 0)), "該当なし"))</f>
        <v>va_135</v>
      </c>
      <c r="B1783" s="1" t="str">
        <f ca="1">IFERROR(__xludf.DUMMYFUNCTION("""COMPUTED_VALUE"""),"仲村宗悟")</f>
        <v>仲村宗悟</v>
      </c>
      <c r="C1783" s="1" t="s">
        <v>71</v>
      </c>
      <c r="D1783" s="1" t="str">
        <f>IF(C1783="", "", IFERROR(VLOOKUP(C1783, 作品一覧!A:B, 2, FALSE), "該当なし"))</f>
        <v>オンエア！</v>
      </c>
      <c r="E1783" s="1" t="str">
        <f ca="1">IFERROR(__xludf.DUMMYFUNCTION("""COMPUTED_VALUE"""),"天神陽人")</f>
        <v>天神陽人</v>
      </c>
      <c r="F1783" s="14" t="s">
        <v>2601</v>
      </c>
    </row>
    <row r="1784" spans="1:6" ht="15">
      <c r="A1784" s="1" t="str">
        <f t="array" aca="1" ref="A1784" ca="1">IF(B1784="", "", IFERROR(INDEX(声優一覧!A:A, MATCH(B1784, 声優一覧!B:B, 0)), "該当なし"))</f>
        <v>va_154</v>
      </c>
      <c r="B1784" s="1" t="str">
        <f ca="1">IFERROR(__xludf.DUMMYFUNCTION("""COMPUTED_VALUE"""),"廣瀬大介")</f>
        <v>廣瀬大介</v>
      </c>
      <c r="C1784" s="1" t="s">
        <v>71</v>
      </c>
      <c r="D1784" s="1" t="str">
        <f>IF(C1784="", "", IFERROR(VLOOKUP(C1784, 作品一覧!A:B, 2, FALSE), "該当なし"))</f>
        <v>オンエア！</v>
      </c>
      <c r="E1784" s="1" t="str">
        <f ca="1">IFERROR(__xludf.DUMMYFUNCTION("""COMPUTED_VALUE"""),"冠嵐真")</f>
        <v>冠嵐真</v>
      </c>
      <c r="F1784" s="14" t="s">
        <v>2602</v>
      </c>
    </row>
    <row r="1785" spans="1:6" ht="15">
      <c r="A1785" s="1" t="str">
        <f t="array" aca="1" ref="A1785" ca="1">IF(B1785="", "", IFERROR(INDEX(声優一覧!A:A, MATCH(B1785, 声優一覧!B:B, 0)), "該当なし"))</f>
        <v>va_036</v>
      </c>
      <c r="B1785" s="1" t="str">
        <f ca="1">IFERROR(__xludf.DUMMYFUNCTION("""COMPUTED_VALUE"""),"榎木淳弥")</f>
        <v>榎木淳弥</v>
      </c>
      <c r="C1785" s="1" t="s">
        <v>71</v>
      </c>
      <c r="D1785" s="1" t="str">
        <f>IF(C1785="", "", IFERROR(VLOOKUP(C1785, 作品一覧!A:B, 2, FALSE), "該当なし"))</f>
        <v>オンエア！</v>
      </c>
      <c r="E1785" s="1" t="str">
        <f ca="1">IFERROR(__xludf.DUMMYFUNCTION("""COMPUTED_VALUE"""),"光城新多")</f>
        <v>光城新多</v>
      </c>
      <c r="F1785" s="14" t="s">
        <v>2603</v>
      </c>
    </row>
    <row r="1786" spans="1:6" ht="15">
      <c r="A1786" s="1" t="str">
        <f t="array" aca="1" ref="A1786" ca="1">IF(B1786="", "", IFERROR(INDEX(声優一覧!A:A, MATCH(B1786, 声優一覧!B:B, 0)), "該当なし"))</f>
        <v>va_147</v>
      </c>
      <c r="B1786" s="1" t="str">
        <f ca="1">IFERROR(__xludf.DUMMYFUNCTION("""COMPUTED_VALUE"""),"畠中祐")</f>
        <v>畠中祐</v>
      </c>
      <c r="C1786" s="1" t="s">
        <v>71</v>
      </c>
      <c r="D1786" s="1" t="str">
        <f>IF(C1786="", "", IFERROR(VLOOKUP(C1786, 作品一覧!A:B, 2, FALSE), "該当なし"))</f>
        <v>オンエア！</v>
      </c>
      <c r="E1786" s="1" t="str">
        <f ca="1">IFERROR(__xludf.DUMMYFUNCTION("""COMPUTED_VALUE"""),"森重優那")</f>
        <v>森重優那</v>
      </c>
      <c r="F1786" s="14" t="s">
        <v>2604</v>
      </c>
    </row>
    <row r="1787" spans="1:6" ht="15">
      <c r="A1787" s="1" t="str">
        <f t="array" aca="1" ref="A1787" ca="1">IF(B1787="", "", IFERROR(INDEX(声優一覧!A:A, MATCH(B1787, 声優一覧!B:B, 0)), "該当なし"))</f>
        <v>va_002</v>
      </c>
      <c r="B1787" s="1" t="str">
        <f ca="1">IFERROR(__xludf.DUMMYFUNCTION("""COMPUTED_VALUE"""),"赤羽根健治")</f>
        <v>赤羽根健治</v>
      </c>
      <c r="C1787" s="1" t="s">
        <v>71</v>
      </c>
      <c r="D1787" s="1" t="str">
        <f>IF(C1787="", "", IFERROR(VLOOKUP(C1787, 作品一覧!A:B, 2, FALSE), "該当なし"))</f>
        <v>オンエア！</v>
      </c>
      <c r="E1787" s="1" t="str">
        <f ca="1">IFERROR(__xludf.DUMMYFUNCTION("""COMPUTED_VALUE"""),"愛澤心")</f>
        <v>愛澤心</v>
      </c>
      <c r="F1787" s="14" t="s">
        <v>2605</v>
      </c>
    </row>
    <row r="1788" spans="1:6" ht="15">
      <c r="A1788" s="1" t="str">
        <f t="array" aca="1" ref="A1788" ca="1">IF(B1788="", "", IFERROR(INDEX(声優一覧!A:A, MATCH(B1788, 声優一覧!B:B, 0)), "該当なし"))</f>
        <v>va_155</v>
      </c>
      <c r="B1788" s="1" t="str">
        <f ca="1">IFERROR(__xludf.DUMMYFUNCTION("""COMPUTED_VALUE"""),"広瀬裕也")</f>
        <v>広瀬裕也</v>
      </c>
      <c r="C1788" s="1" t="s">
        <v>71</v>
      </c>
      <c r="D1788" s="1" t="str">
        <f>IF(C1788="", "", IFERROR(VLOOKUP(C1788, 作品一覧!A:B, 2, FALSE), "該当なし"))</f>
        <v>オンエア！</v>
      </c>
      <c r="E1788" s="1" t="str">
        <f ca="1">IFERROR(__xludf.DUMMYFUNCTION("""COMPUTED_VALUE"""),"黒曜護")</f>
        <v>黒曜護</v>
      </c>
      <c r="F1788" s="14" t="s">
        <v>2606</v>
      </c>
    </row>
    <row r="1789" spans="1:6" ht="15">
      <c r="A1789" s="1" t="str">
        <f t="array" aca="1" ref="A1789" ca="1">IF(B1789="", "", IFERROR(INDEX(声優一覧!A:A, MATCH(B1789, 声優一覧!B:B, 0)), "該当なし"))</f>
        <v>va_210</v>
      </c>
      <c r="B1789" s="1" t="str">
        <f ca="1">IFERROR(__xludf.DUMMYFUNCTION("""COMPUTED_VALUE"""),"濱野大輝")</f>
        <v>濱野大輝</v>
      </c>
      <c r="C1789" s="1" t="s">
        <v>71</v>
      </c>
      <c r="D1789" s="1" t="str">
        <f>IF(C1789="", "", IFERROR(VLOOKUP(C1789, 作品一覧!A:B, 2, FALSE), "該当なし"))</f>
        <v>オンエア！</v>
      </c>
      <c r="E1789" s="1" t="str">
        <f ca="1">IFERROR(__xludf.DUMMYFUNCTION("""COMPUTED_VALUE"""),"神谷祈")</f>
        <v>神谷祈</v>
      </c>
      <c r="F1789" s="14" t="s">
        <v>2607</v>
      </c>
    </row>
    <row r="1790" spans="1:6" ht="15">
      <c r="A1790" s="1" t="str">
        <f t="array" aca="1" ref="A1790" ca="1">IF(B1790="", "", IFERROR(INDEX(声優一覧!A:A, MATCH(B1790, 声優一覧!B:B, 0)), "該当なし"))</f>
        <v>va_198</v>
      </c>
      <c r="B1790" s="1" t="str">
        <f ca="1">IFERROR(__xludf.DUMMYFUNCTION("""COMPUTED_VALUE"""),"代永翼")</f>
        <v>代永翼</v>
      </c>
      <c r="C1790" s="1" t="s">
        <v>71</v>
      </c>
      <c r="D1790" s="1" t="str">
        <f>IF(C1790="", "", IFERROR(VLOOKUP(C1790, 作品一覧!A:B, 2, FALSE), "該当なし"))</f>
        <v>オンエア！</v>
      </c>
      <c r="E1790" s="1" t="str">
        <f ca="1">IFERROR(__xludf.DUMMYFUNCTION("""COMPUTED_VALUE"""),"橋倉杏")</f>
        <v>橋倉杏</v>
      </c>
      <c r="F1790" s="14" t="s">
        <v>2608</v>
      </c>
    </row>
    <row r="1791" spans="1:6" ht="15">
      <c r="A1791" s="1" t="str">
        <f t="array" aca="1" ref="A1791" ca="1">IF(B1791="", "", IFERROR(INDEX(声優一覧!A:A, MATCH(B1791, 声優一覧!B:B, 0)), "該当なし"))</f>
        <v>va_157</v>
      </c>
      <c r="B1791" s="1" t="str">
        <f ca="1">IFERROR(__xludf.DUMMYFUNCTION("""COMPUTED_VALUE"""),"平川大輔")</f>
        <v>平川大輔</v>
      </c>
      <c r="C1791" s="1" t="s">
        <v>71</v>
      </c>
      <c r="D1791" s="1" t="str">
        <f>IF(C1791="", "", IFERROR(VLOOKUP(C1791, 作品一覧!A:B, 2, FALSE), "該当なし"))</f>
        <v>オンエア！</v>
      </c>
      <c r="E1791" s="1" t="str">
        <f ca="1">IFERROR(__xludf.DUMMYFUNCTION("""COMPUTED_VALUE"""),"白雪零")</f>
        <v>白雪零</v>
      </c>
      <c r="F1791" s="14" t="s">
        <v>2609</v>
      </c>
    </row>
    <row r="1792" spans="1:6" ht="15">
      <c r="A1792" s="1" t="str">
        <f t="array" aca="1" ref="A1792" ca="1">IF(B1792="", "", IFERROR(INDEX(声優一覧!A:A, MATCH(B1792, 声優一覧!B:B, 0)), "該当なし"))</f>
        <v>va_006</v>
      </c>
      <c r="B1792" s="1" t="str">
        <f ca="1">IFERROR(__xludf.DUMMYFUNCTION("""COMPUTED_VALUE"""),"阿部敦")</f>
        <v>阿部敦</v>
      </c>
      <c r="C1792" s="1" t="s">
        <v>71</v>
      </c>
      <c r="D1792" s="1" t="str">
        <f>IF(C1792="", "", IFERROR(VLOOKUP(C1792, 作品一覧!A:B, 2, FALSE), "該当なし"))</f>
        <v>オンエア！</v>
      </c>
      <c r="E1792" s="1" t="str">
        <f ca="1">IFERROR(__xludf.DUMMYFUNCTION("""COMPUTED_VALUE"""),"雨知祭利")</f>
        <v>雨知祭利</v>
      </c>
      <c r="F1792" s="14" t="s">
        <v>2610</v>
      </c>
    </row>
    <row r="1793" spans="1:6" ht="15">
      <c r="A1793" s="1" t="str">
        <f t="array" aca="1" ref="A1793" ca="1">IF(B1793="", "", IFERROR(INDEX(声優一覧!A:A, MATCH(B1793, 声優一覧!B:B, 0)), "該当なし"))</f>
        <v>va_028</v>
      </c>
      <c r="B1793" s="1" t="str">
        <f ca="1">IFERROR(__xludf.DUMMYFUNCTION("""COMPUTED_VALUE"""),"上村祐翔")</f>
        <v>上村祐翔</v>
      </c>
      <c r="C1793" s="1" t="s">
        <v>71</v>
      </c>
      <c r="D1793" s="1" t="str">
        <f>IF(C1793="", "", IFERROR(VLOOKUP(C1793, 作品一覧!A:B, 2, FALSE), "該当なし"))</f>
        <v>オンエア！</v>
      </c>
      <c r="E1793" s="1" t="str">
        <f ca="1">IFERROR(__xludf.DUMMYFUNCTION("""COMPUTED_VALUE"""),"美和巴")</f>
        <v>美和巴</v>
      </c>
      <c r="F1793" s="14" t="s">
        <v>2611</v>
      </c>
    </row>
    <row r="1794" spans="1:6" ht="15">
      <c r="A1794" s="1" t="str">
        <f t="array" aca="1" ref="A1794" ca="1">IF(B1794="", "", IFERROR(INDEX(声優一覧!A:A, MATCH(B1794, 声優一覧!B:B, 0)), "該当なし"))</f>
        <v>va_201</v>
      </c>
      <c r="B1794" s="1" t="str">
        <f ca="1">IFERROR(__xludf.DUMMYFUNCTION("""COMPUTED_VALUE"""),"新垣樽助")</f>
        <v>新垣樽助</v>
      </c>
      <c r="C1794" s="1" t="s">
        <v>71</v>
      </c>
      <c r="D1794" s="1" t="str">
        <f>IF(C1794="", "", IFERROR(VLOOKUP(C1794, 作品一覧!A:B, 2, FALSE), "該当なし"))</f>
        <v>オンエア！</v>
      </c>
      <c r="E1794" s="1" t="str">
        <f ca="1">IFERROR(__xludf.DUMMYFUNCTION("""COMPUTED_VALUE"""),"荒木冴")</f>
        <v>荒木冴</v>
      </c>
      <c r="F1794" s="14" t="s">
        <v>2612</v>
      </c>
    </row>
    <row r="1795" spans="1:6" ht="15">
      <c r="A1795" s="1" t="str">
        <f t="array" aca="1" ref="A1795" ca="1">IF(B1795="", "", IFERROR(INDEX(声優一覧!A:A, MATCH(B1795, 声優一覧!B:B, 0)), "該当なし"))</f>
        <v>va_384</v>
      </c>
      <c r="B1795" s="1" t="str">
        <f ca="1">IFERROR(__xludf.DUMMYFUNCTION("""COMPUTED_VALUE"""),"室元気")</f>
        <v>室元気</v>
      </c>
      <c r="C1795" s="1" t="s">
        <v>160</v>
      </c>
      <c r="D1795" s="1" t="str">
        <f>IF(C1795="", "", IFERROR(VLOOKUP(C1795, 作品一覧!A:B, 2, FALSE), "該当なし"))</f>
        <v>ダンキラ!!! - Boys, be DANCING! -</v>
      </c>
      <c r="E1795" s="1" t="str">
        <f ca="1">IFERROR(__xludf.DUMMYFUNCTION("""COMPUTED_VALUE"""),"夜野零士")</f>
        <v>夜野零士</v>
      </c>
      <c r="F1795" s="14" t="s">
        <v>2613</v>
      </c>
    </row>
    <row r="1796" spans="1:6" ht="15">
      <c r="A1796" s="1" t="str">
        <f t="array" aca="1" ref="A1796" ca="1">IF(B1796="", "", IFERROR(INDEX(声優一覧!A:A, MATCH(B1796, 声優一覧!B:B, 0)), "該当なし"))</f>
        <v>va_053</v>
      </c>
      <c r="B1796" s="1" t="str">
        <f ca="1">IFERROR(__xludf.DUMMYFUNCTION("""COMPUTED_VALUE"""),"梶原岳人")</f>
        <v>梶原岳人</v>
      </c>
      <c r="C1796" s="1" t="s">
        <v>160</v>
      </c>
      <c r="D1796" s="1" t="str">
        <f>IF(C1796="", "", IFERROR(VLOOKUP(C1796, 作品一覧!A:B, 2, FALSE), "該当なし"))</f>
        <v>ダンキラ!!! - Boys, be DANCING! -</v>
      </c>
      <c r="E1796" s="1" t="str">
        <f ca="1">IFERROR(__xludf.DUMMYFUNCTION("""COMPUTED_VALUE"""),"朝日ソラ")</f>
        <v>朝日ソラ</v>
      </c>
      <c r="F1796" s="14" t="s">
        <v>2614</v>
      </c>
    </row>
    <row r="1797" spans="1:6" ht="15">
      <c r="A1797" s="1" t="str">
        <f t="array" aca="1" ref="A1797" ca="1">IF(B1797="", "", IFERROR(INDEX(声優一覧!A:A, MATCH(B1797, 声優一覧!B:B, 0)), "該当なし"))</f>
        <v>va_255</v>
      </c>
      <c r="B1797" s="1" t="str">
        <f ca="1">IFERROR(__xludf.DUMMYFUNCTION("""COMPUTED_VALUE"""),"児玉卓也")</f>
        <v>児玉卓也</v>
      </c>
      <c r="C1797" s="1" t="s">
        <v>160</v>
      </c>
      <c r="D1797" s="1" t="str">
        <f>IF(C1797="", "", IFERROR(VLOOKUP(C1797, 作品一覧!A:B, 2, FALSE), "該当なし"))</f>
        <v>ダンキラ!!! - Boys, be DANCING! -</v>
      </c>
      <c r="E1797" s="1" t="str">
        <f ca="1">IFERROR(__xludf.DUMMYFUNCTION("""COMPUTED_VALUE"""),"日向まひる")</f>
        <v>日向まひる</v>
      </c>
      <c r="F1797" s="14" t="s">
        <v>2615</v>
      </c>
    </row>
    <row r="1798" spans="1:6" ht="15">
      <c r="A1798" s="1" t="str">
        <f t="array" aca="1" ref="A1798" ca="1">IF(B1798="", "", IFERROR(INDEX(声優一覧!A:A, MATCH(B1798, 声優一覧!B:B, 0)), "該当なし"))</f>
        <v>va_173</v>
      </c>
      <c r="B1798" s="1" t="str">
        <f ca="1">IFERROR(__xludf.DUMMYFUNCTION("""COMPUTED_VALUE"""),"松岡禎丞")</f>
        <v>松岡禎丞</v>
      </c>
      <c r="C1798" s="1" t="s">
        <v>160</v>
      </c>
      <c r="D1798" s="1" t="str">
        <f>IF(C1798="", "", IFERROR(VLOOKUP(C1798, 作品一覧!A:B, 2, FALSE), "該当なし"))</f>
        <v>ダンキラ!!! - Boys, be DANCING! -</v>
      </c>
      <c r="E1798" s="1" t="str">
        <f ca="1">IFERROR(__xludf.DUMMYFUNCTION("""COMPUTED_VALUE"""),"月光院ノエル")</f>
        <v>月光院ノエル</v>
      </c>
      <c r="F1798" s="14" t="s">
        <v>2616</v>
      </c>
    </row>
    <row r="1799" spans="1:6" ht="15">
      <c r="A1799" s="1" t="str">
        <f t="array" aca="1" ref="A1799" ca="1">IF(B1799="", "", IFERROR(INDEX(声優一覧!A:A, MATCH(B1799, 声優一覧!B:B, 0)), "該当なし"))</f>
        <v>va_114</v>
      </c>
      <c r="B1799" s="1" t="str">
        <f ca="1">IFERROR(__xludf.DUMMYFUNCTION("""COMPUTED_VALUE"""),"立花慎之介")</f>
        <v>立花慎之介</v>
      </c>
      <c r="C1799" s="1" t="s">
        <v>160</v>
      </c>
      <c r="D1799" s="1" t="str">
        <f>IF(C1799="", "", IFERROR(VLOOKUP(C1799, 作品一覧!A:B, 2, FALSE), "該当なし"))</f>
        <v>ダンキラ!!! - Boys, be DANCING! -</v>
      </c>
      <c r="E1799" s="1" t="str">
        <f ca="1">IFERROR(__xludf.DUMMYFUNCTION("""COMPUTED_VALUE"""),"紫藤晶")</f>
        <v>紫藤晶</v>
      </c>
      <c r="F1799" s="14" t="s">
        <v>2617</v>
      </c>
    </row>
    <row r="1800" spans="1:6" ht="15">
      <c r="A1800" s="1" t="str">
        <f t="array" aca="1" ref="A1800" ca="1">IF(B1800="", "", IFERROR(INDEX(声優一覧!A:A, MATCH(B1800, 声優一覧!B:B, 0)), "該当なし"))</f>
        <v>va_131</v>
      </c>
      <c r="B1800" s="1" t="str">
        <f ca="1">IFERROR(__xludf.DUMMYFUNCTION("""COMPUTED_VALUE"""),"豊永利行")</f>
        <v>豊永利行</v>
      </c>
      <c r="C1800" s="1" t="s">
        <v>160</v>
      </c>
      <c r="D1800" s="1" t="str">
        <f>IF(C1800="", "", IFERROR(VLOOKUP(C1800, 作品一覧!A:B, 2, FALSE), "該当なし"))</f>
        <v>ダンキラ!!! - Boys, be DANCING! -</v>
      </c>
      <c r="E1800" s="1" t="str">
        <f ca="1">IFERROR(__xludf.DUMMYFUNCTION("""COMPUTED_VALUE"""),"影宮蛍")</f>
        <v>影宮蛍</v>
      </c>
      <c r="F1800" s="14" t="s">
        <v>2618</v>
      </c>
    </row>
    <row r="1801" spans="1:6" ht="15">
      <c r="A1801" s="1" t="str">
        <f t="array" aca="1" ref="A1801" ca="1">IF(B1801="", "", IFERROR(INDEX(声優一覧!A:A, MATCH(B1801, 声優一覧!B:B, 0)), "該当なし"))</f>
        <v>va_098</v>
      </c>
      <c r="B1801" s="1" t="str">
        <f ca="1">IFERROR(__xludf.DUMMYFUNCTION("""COMPUTED_VALUE"""),"杉山紀彰")</f>
        <v>杉山紀彰</v>
      </c>
      <c r="C1801" s="1" t="s">
        <v>160</v>
      </c>
      <c r="D1801" s="1" t="str">
        <f>IF(C1801="", "", IFERROR(VLOOKUP(C1801, 作品一覧!A:B, 2, FALSE), "該当なし"))</f>
        <v>ダンキラ!!! - Boys, be DANCING! -</v>
      </c>
      <c r="E1801" s="1" t="str">
        <f ca="1">IFERROR(__xludf.DUMMYFUNCTION("""COMPUTED_VALUE"""),"椿聖人")</f>
        <v>椿聖人</v>
      </c>
      <c r="F1801" s="14" t="s">
        <v>2619</v>
      </c>
    </row>
    <row r="1802" spans="1:6" ht="15">
      <c r="A1802" s="1" t="str">
        <f t="array" aca="1" ref="A1802" ca="1">IF(B1802="", "", IFERROR(INDEX(声優一覧!A:A, MATCH(B1802, 声優一覧!B:B, 0)), "該当なし"))</f>
        <v>va_138</v>
      </c>
      <c r="B1802" s="1" t="str">
        <f ca="1">IFERROR(__xludf.DUMMYFUNCTION("""COMPUTED_VALUE"""),"浪川大輔")</f>
        <v>浪川大輔</v>
      </c>
      <c r="C1802" s="1" t="s">
        <v>160</v>
      </c>
      <c r="D1802" s="1" t="str">
        <f>IF(C1802="", "", IFERROR(VLOOKUP(C1802, 作品一覧!A:B, 2, FALSE), "該当なし"))</f>
        <v>ダンキラ!!! - Boys, be DANCING! -</v>
      </c>
      <c r="E1802" s="1" t="str">
        <f ca="1">IFERROR(__xludf.DUMMYFUNCTION("""COMPUTED_VALUE"""),"八神創真")</f>
        <v>八神創真</v>
      </c>
      <c r="F1802" s="14" t="s">
        <v>2620</v>
      </c>
    </row>
    <row r="1803" spans="1:6" ht="15">
      <c r="A1803" s="1" t="str">
        <f t="array" aca="1" ref="A1803" ca="1">IF(B1803="", "", IFERROR(INDEX(声優一覧!A:A, MATCH(B1803, 声優一覧!B:B, 0)), "該当なし"))</f>
        <v>va_036</v>
      </c>
      <c r="B1803" s="1" t="str">
        <f ca="1">IFERROR(__xludf.DUMMYFUNCTION("""COMPUTED_VALUE"""),"榎木淳弥")</f>
        <v>榎木淳弥</v>
      </c>
      <c r="C1803" s="1" t="s">
        <v>160</v>
      </c>
      <c r="D1803" s="1" t="str">
        <f>IF(C1803="", "", IFERROR(VLOOKUP(C1803, 作品一覧!A:B, 2, FALSE), "該当なし"))</f>
        <v>ダンキラ!!! - Boys, be DANCING! -</v>
      </c>
      <c r="E1803" s="1" t="str">
        <f ca="1">IFERROR(__xludf.DUMMYFUNCTION("""COMPUTED_VALUE"""),"三木望")</f>
        <v>三木望</v>
      </c>
      <c r="F1803" s="14" t="s">
        <v>2621</v>
      </c>
    </row>
    <row r="1804" spans="1:6" ht="15">
      <c r="A1804" s="1" t="str">
        <f t="array" aca="1" ref="A1804" ca="1">IF(B1804="", "", IFERROR(INDEX(声優一覧!A:A, MATCH(B1804, 声優一覧!B:B, 0)), "該当なし"))</f>
        <v>va_250</v>
      </c>
      <c r="B1804" s="1" t="str">
        <f ca="1">IFERROR(__xludf.DUMMYFUNCTION("""COMPUTED_VALUE"""),"永塚拓馬")</f>
        <v>永塚拓馬</v>
      </c>
      <c r="C1804" s="1" t="s">
        <v>160</v>
      </c>
      <c r="D1804" s="1" t="str">
        <f>IF(C1804="", "", IFERROR(VLOOKUP(C1804, 作品一覧!A:B, 2, FALSE), "該当なし"))</f>
        <v>ダンキラ!!! - Boys, be DANCING! -</v>
      </c>
      <c r="E1804" s="1" t="str">
        <f ca="1">IFERROR(__xludf.DUMMYFUNCTION("""COMPUTED_VALUE"""),"若草ゆかり")</f>
        <v>若草ゆかり</v>
      </c>
      <c r="F1804" s="14" t="s">
        <v>2622</v>
      </c>
    </row>
    <row r="1805" spans="1:6" ht="15">
      <c r="A1805" s="1" t="str">
        <f t="array" aca="1" ref="A1805" ca="1">IF(B1805="", "", IFERROR(INDEX(声優一覧!A:A, MATCH(B1805, 声優一覧!B:B, 0)), "該当なし"))</f>
        <v>va_161</v>
      </c>
      <c r="B1805" s="1" t="str">
        <f ca="1">IFERROR(__xludf.DUMMYFUNCTION("""COMPUTED_VALUE"""),"古川慎")</f>
        <v>古川慎</v>
      </c>
      <c r="C1805" s="1" t="s">
        <v>160</v>
      </c>
      <c r="D1805" s="1" t="str">
        <f>IF(C1805="", "", IFERROR(VLOOKUP(C1805, 作品一覧!A:B, 2, FALSE), "該当なし"))</f>
        <v>ダンキラ!!! - Boys, be DANCING! -</v>
      </c>
      <c r="E1805" s="1" t="str">
        <f ca="1">IFERROR(__xludf.DUMMYFUNCTION("""COMPUTED_VALUE"""),"源光国")</f>
        <v>源光国</v>
      </c>
      <c r="F1805" s="14" t="s">
        <v>2623</v>
      </c>
    </row>
    <row r="1806" spans="1:6" ht="15">
      <c r="A1806" s="1" t="str">
        <f t="array" aca="1" ref="A1806" ca="1">IF(B1806="", "", IFERROR(INDEX(声優一覧!A:A, MATCH(B1806, 声優一覧!B:B, 0)), "該当なし"))</f>
        <v>va_172</v>
      </c>
      <c r="B1806" s="1" t="str">
        <f ca="1">IFERROR(__xludf.DUMMYFUNCTION("""COMPUTED_VALUE"""),"増田俊樹")</f>
        <v>増田俊樹</v>
      </c>
      <c r="C1806" s="1" t="s">
        <v>160</v>
      </c>
      <c r="D1806" s="1" t="str">
        <f>IF(C1806="", "", IFERROR(VLOOKUP(C1806, 作品一覧!A:B, 2, FALSE), "該当なし"))</f>
        <v>ダンキラ!!! - Boys, be DANCING! -</v>
      </c>
      <c r="E1806" s="1" t="str">
        <f ca="1">IFERROR(__xludf.DUMMYFUNCTION("""COMPUTED_VALUE"""),"霧山おぼろ")</f>
        <v>霧山おぼろ</v>
      </c>
      <c r="F1806" s="14" t="s">
        <v>2624</v>
      </c>
    </row>
    <row r="1807" spans="1:6" ht="15">
      <c r="A1807" s="1" t="str">
        <f t="array" aca="1" ref="A1807" ca="1">IF(B1807="", "", IFERROR(INDEX(声優一覧!A:A, MATCH(B1807, 声優一覧!B:B, 0)), "該当なし"))</f>
        <v>va_044</v>
      </c>
      <c r="B1807" s="1" t="str">
        <f ca="1">IFERROR(__xludf.DUMMYFUNCTION("""COMPUTED_VALUE"""),"興津和幸")</f>
        <v>興津和幸</v>
      </c>
      <c r="C1807" s="1" t="s">
        <v>160</v>
      </c>
      <c r="D1807" s="1" t="str">
        <f>IF(C1807="", "", IFERROR(VLOOKUP(C1807, 作品一覧!A:B, 2, FALSE), "該当なし"))</f>
        <v>ダンキラ!!! - Boys, be DANCING! -</v>
      </c>
      <c r="E1807" s="1" t="str">
        <f ca="1">IFERROR(__xludf.DUMMYFUNCTION("""COMPUTED_VALUE"""),"紅アゲハ")</f>
        <v>紅アゲハ</v>
      </c>
      <c r="F1807" s="14" t="s">
        <v>2625</v>
      </c>
    </row>
    <row r="1808" spans="1:6" ht="15">
      <c r="A1808" s="1" t="str">
        <f t="array" aca="1" ref="A1808" ca="1">IF(B1808="", "", IFERROR(INDEX(声優一覧!A:A, MATCH(B1808, 声優一覧!B:B, 0)), "該当なし"))</f>
        <v>va_157</v>
      </c>
      <c r="B1808" s="1" t="str">
        <f ca="1">IFERROR(__xludf.DUMMYFUNCTION("""COMPUTED_VALUE"""),"平川大輔")</f>
        <v>平川大輔</v>
      </c>
      <c r="C1808" s="1" t="s">
        <v>160</v>
      </c>
      <c r="D1808" s="1" t="str">
        <f>IF(C1808="", "", IFERROR(VLOOKUP(C1808, 作品一覧!A:B, 2, FALSE), "該当なし"))</f>
        <v>ダンキラ!!! - Boys, be DANCING! -</v>
      </c>
      <c r="E1808" s="1" t="str">
        <f ca="1">IFERROR(__xludf.DUMMYFUNCTION("""COMPUTED_VALUE"""),"蛇ノ目シキ")</f>
        <v>蛇ノ目シキ</v>
      </c>
      <c r="F1808" s="14" t="s">
        <v>2626</v>
      </c>
    </row>
    <row r="1809" spans="1:6" ht="15">
      <c r="A1809" s="1" t="str">
        <f t="array" aca="1" ref="A1809" ca="1">IF(B1809="", "", IFERROR(INDEX(声優一覧!A:A, MATCH(B1809, 声優一覧!B:B, 0)), "該当なし"))</f>
        <v>va_169</v>
      </c>
      <c r="B1809" s="1" t="str">
        <f ca="1">IFERROR(__xludf.DUMMYFUNCTION("""COMPUTED_VALUE"""),"前野智昭")</f>
        <v>前野智昭</v>
      </c>
      <c r="C1809" s="1" t="s">
        <v>160</v>
      </c>
      <c r="D1809" s="1" t="str">
        <f>IF(C1809="", "", IFERROR(VLOOKUP(C1809, 作品一覧!A:B, 2, FALSE), "該当なし"))</f>
        <v>ダンキラ!!! - Boys, be DANCING! -</v>
      </c>
      <c r="E1809" s="1" t="str">
        <f ca="1">IFERROR(__xludf.DUMMYFUNCTION("""COMPUTED_VALUE"""),"毒島九十九")</f>
        <v>毒島九十九</v>
      </c>
      <c r="F1809" s="14" t="s">
        <v>2627</v>
      </c>
    </row>
    <row r="1810" spans="1:6" ht="15">
      <c r="A1810" s="1" t="str">
        <f t="array" aca="1" ref="A1810" ca="1">IF(B1810="", "", IFERROR(INDEX(声優一覧!A:A, MATCH(B1810, 声優一覧!B:B, 0)), "該当なし"))</f>
        <v>va_072</v>
      </c>
      <c r="B1810" s="1" t="str">
        <f ca="1">IFERROR(__xludf.DUMMYFUNCTION("""COMPUTED_VALUE"""),"小林千晃")</f>
        <v>小林千晃</v>
      </c>
      <c r="C1810" s="1" t="s">
        <v>160</v>
      </c>
      <c r="D1810" s="1" t="str">
        <f>IF(C1810="", "", IFERROR(VLOOKUP(C1810, 作品一覧!A:B, 2, FALSE), "該当なし"))</f>
        <v>ダンキラ!!! - Boys, be DANCING! -</v>
      </c>
      <c r="E1810" s="1" t="str">
        <f ca="1">IFERROR(__xludf.DUMMYFUNCTION("""COMPUTED_VALUE"""),"愛宕蓮太郎")</f>
        <v>愛宕蓮太郎</v>
      </c>
      <c r="F1810" s="14" t="s">
        <v>2628</v>
      </c>
    </row>
    <row r="1811" spans="1:6" ht="15">
      <c r="A1811" s="1" t="str">
        <f t="array" aca="1" ref="A1811" ca="1">IF(B1811="", "", IFERROR(INDEX(声優一覧!A:A, MATCH(B1811, 声優一覧!B:B, 0)), "該当なし"))</f>
        <v>va_112</v>
      </c>
      <c r="B1811" s="1" t="str">
        <f ca="1">IFERROR(__xludf.DUMMYFUNCTION("""COMPUTED_VALUE"""),"武内駿輔")</f>
        <v>武内駿輔</v>
      </c>
      <c r="C1811" s="1" t="s">
        <v>160</v>
      </c>
      <c r="D1811" s="1" t="str">
        <f>IF(C1811="", "", IFERROR(VLOOKUP(C1811, 作品一覧!A:B, 2, FALSE), "該当なし"))</f>
        <v>ダンキラ!!! - Boys, be DANCING! -</v>
      </c>
      <c r="E1811" s="1" t="str">
        <f ca="1">IFERROR(__xludf.DUMMYFUNCTION("""COMPUTED_VALUE"""),"破走ギンコ")</f>
        <v>破走ギンコ</v>
      </c>
      <c r="F1811" s="14" t="s">
        <v>2629</v>
      </c>
    </row>
    <row r="1812" spans="1:6" ht="15">
      <c r="A1812" s="1" t="str">
        <f t="array" aca="1" ref="A1812" ca="1">IF(B1812="", "", IFERROR(INDEX(声優一覧!A:A, MATCH(B1812, 声優一覧!B:B, 0)), "該当なし"))</f>
        <v>va_117</v>
      </c>
      <c r="B1812" s="1" t="str">
        <f ca="1">IFERROR(__xludf.DUMMYFUNCTION("""COMPUTED_VALUE"""),"田丸篤志")</f>
        <v>田丸篤志</v>
      </c>
      <c r="C1812" s="1" t="s">
        <v>160</v>
      </c>
      <c r="D1812" s="1" t="str">
        <f>IF(C1812="", "", IFERROR(VLOOKUP(C1812, 作品一覧!A:B, 2, FALSE), "該当なし"))</f>
        <v>ダンキラ!!! - Boys, be DANCING! -</v>
      </c>
      <c r="E1812" s="1" t="str">
        <f ca="1">IFERROR(__xludf.DUMMYFUNCTION("""COMPUTED_VALUE"""),"椿賢人")</f>
        <v>椿賢人</v>
      </c>
      <c r="F1812" s="14" t="s">
        <v>2630</v>
      </c>
    </row>
    <row r="1813" spans="1:6" ht="15">
      <c r="A1813" s="1" t="str">
        <f t="array" aca="1" ref="A1813" ca="1">IF(B1813="", "", IFERROR(INDEX(声優一覧!A:A, MATCH(B1813, 声優一覧!B:B, 0)), "該当なし"))</f>
        <v>va_094</v>
      </c>
      <c r="B1813" s="1" t="str">
        <f ca="1">IFERROR(__xludf.DUMMYFUNCTION("""COMPUTED_VALUE"""),"島﨑信長")</f>
        <v>島﨑信長</v>
      </c>
      <c r="C1813" s="1" t="s">
        <v>198</v>
      </c>
      <c r="D1813" s="1" t="str">
        <f>IF(C1813="", "", IFERROR(VLOOKUP(C1813, 作品一覧!A:B, 2, FALSE), "該当なし"))</f>
        <v>DREAM!ing</v>
      </c>
      <c r="E1813" s="1" t="str">
        <f ca="1">IFERROR(__xludf.DUMMYFUNCTION("""COMPUTED_VALUE"""),"望月悠馬")</f>
        <v>望月悠馬</v>
      </c>
      <c r="F1813" s="14" t="s">
        <v>2631</v>
      </c>
    </row>
    <row r="1814" spans="1:6" ht="15">
      <c r="A1814" s="1" t="str">
        <f t="array" aca="1" ref="A1814" ca="1">IF(B1814="", "", IFERROR(INDEX(声優一覧!A:A, MATCH(B1814, 声優一覧!B:B, 0)), "該当なし"))</f>
        <v>va_161</v>
      </c>
      <c r="B1814" s="1" t="str">
        <f ca="1">IFERROR(__xludf.DUMMYFUNCTION("""COMPUTED_VALUE"""),"古川慎")</f>
        <v>古川慎</v>
      </c>
      <c r="C1814" s="1" t="s">
        <v>198</v>
      </c>
      <c r="D1814" s="1" t="str">
        <f>IF(C1814="", "", IFERROR(VLOOKUP(C1814, 作品一覧!A:B, 2, FALSE), "該当なし"))</f>
        <v>DREAM!ing</v>
      </c>
      <c r="E1814" s="1" t="str">
        <f ca="1">IFERROR(__xludf.DUMMYFUNCTION("""COMPUTED_VALUE"""),"花房柳")</f>
        <v>花房柳</v>
      </c>
      <c r="F1814" s="14" t="s">
        <v>2632</v>
      </c>
    </row>
    <row r="1815" spans="1:6" ht="15">
      <c r="A1815" s="1" t="str">
        <f t="array" aca="1" ref="A1815" ca="1">IF(B1815="", "", IFERROR(INDEX(声優一覧!A:A, MATCH(B1815, 声優一覧!B:B, 0)), "該当なし"))</f>
        <v>va_150</v>
      </c>
      <c r="B1815" s="1" t="str">
        <f ca="1">IFERROR(__xludf.DUMMYFUNCTION("""COMPUTED_VALUE"""),"花江夏樹")</f>
        <v>花江夏樹</v>
      </c>
      <c r="C1815" s="1" t="s">
        <v>198</v>
      </c>
      <c r="D1815" s="1" t="str">
        <f>IF(C1815="", "", IFERROR(VLOOKUP(C1815, 作品一覧!A:B, 2, FALSE), "該当なし"))</f>
        <v>DREAM!ing</v>
      </c>
      <c r="E1815" s="1" t="str">
        <f ca="1">IFERROR(__xludf.DUMMYFUNCTION("""COMPUTED_VALUE"""),"新兎千里")</f>
        <v>新兎千里</v>
      </c>
      <c r="F1815" s="14" t="s">
        <v>2633</v>
      </c>
    </row>
    <row r="1816" spans="1:6" ht="15">
      <c r="A1816" s="1" t="str">
        <f t="array" aca="1" ref="A1816" ca="1">IF(B1816="", "", IFERROR(INDEX(声優一覧!A:A, MATCH(B1816, 声優一覧!B:B, 0)), "該当なし"))</f>
        <v>va_030</v>
      </c>
      <c r="B1816" s="1" t="str">
        <f ca="1">IFERROR(__xludf.DUMMYFUNCTION("""COMPUTED_VALUE"""),"内田雄馬")</f>
        <v>内田雄馬</v>
      </c>
      <c r="C1816" s="1" t="s">
        <v>198</v>
      </c>
      <c r="D1816" s="1" t="str">
        <f>IF(C1816="", "", IFERROR(VLOOKUP(C1816, 作品一覧!A:B, 2, FALSE), "該当なし"))</f>
        <v>DREAM!ing</v>
      </c>
      <c r="E1816" s="1" t="str">
        <f ca="1">IFERROR(__xludf.DUMMYFUNCTION("""COMPUTED_VALUE"""),"獅子丸孝臣")</f>
        <v>獅子丸孝臣</v>
      </c>
      <c r="F1816" s="14" t="s">
        <v>2634</v>
      </c>
    </row>
    <row r="1817" spans="1:6" ht="15">
      <c r="A1817" s="1" t="str">
        <f t="array" aca="1" ref="A1817" ca="1">IF(B1817="", "", IFERROR(INDEX(声優一覧!A:A, MATCH(B1817, 声優一覧!B:B, 0)), "該当なし"))</f>
        <v>va_009</v>
      </c>
      <c r="B1817" s="1" t="str">
        <f ca="1">IFERROR(__xludf.DUMMYFUNCTION("""COMPUTED_VALUE"""),"蒼井翔太")</f>
        <v>蒼井翔太</v>
      </c>
      <c r="C1817" s="1" t="s">
        <v>198</v>
      </c>
      <c r="D1817" s="1" t="str">
        <f>IF(C1817="", "", IFERROR(VLOOKUP(C1817, 作品一覧!A:B, 2, FALSE), "該当なし"))</f>
        <v>DREAM!ing</v>
      </c>
      <c r="E1817" s="1" t="str">
        <f ca="1">IFERROR(__xludf.DUMMYFUNCTION("""COMPUTED_VALUE"""),"三毛門紫音")</f>
        <v>三毛門紫音</v>
      </c>
      <c r="F1817" s="14" t="s">
        <v>2635</v>
      </c>
    </row>
    <row r="1818" spans="1:6" ht="15">
      <c r="A1818" s="1" t="str">
        <f t="array" aca="1" ref="A1818" ca="1">IF(B1818="", "", IFERROR(INDEX(声優一覧!A:A, MATCH(B1818, 声優一覧!B:B, 0)), "該当なし"))</f>
        <v>va_131</v>
      </c>
      <c r="B1818" s="1" t="str">
        <f ca="1">IFERROR(__xludf.DUMMYFUNCTION("""COMPUTED_VALUE"""),"豊永利行")</f>
        <v>豊永利行</v>
      </c>
      <c r="C1818" s="1" t="s">
        <v>198</v>
      </c>
      <c r="D1818" s="1" t="str">
        <f>IF(C1818="", "", IFERROR(VLOOKUP(C1818, 作品一覧!A:B, 2, FALSE), "該当なし"))</f>
        <v>DREAM!ing</v>
      </c>
      <c r="E1818" s="1" t="str">
        <f ca="1">IFERROR(__xludf.DUMMYFUNCTION("""COMPUTED_VALUE"""),"針宮藤次")</f>
        <v>針宮藤次</v>
      </c>
      <c r="F1818" s="14" t="s">
        <v>2636</v>
      </c>
    </row>
    <row r="1819" spans="1:6" ht="15">
      <c r="A1819" s="1" t="str">
        <f t="array" aca="1" ref="A1819" ca="1">IF(B1819="", "", IFERROR(INDEX(声優一覧!A:A, MATCH(B1819, 声優一覧!B:B, 0)), "該当なし"))</f>
        <v>va_114</v>
      </c>
      <c r="B1819" s="1" t="str">
        <f ca="1">IFERROR(__xludf.DUMMYFUNCTION("""COMPUTED_VALUE"""),"立花慎之介")</f>
        <v>立花慎之介</v>
      </c>
      <c r="C1819" s="1" t="s">
        <v>198</v>
      </c>
      <c r="D1819" s="1" t="str">
        <f>IF(C1819="", "", IFERROR(VLOOKUP(C1819, 作品一覧!A:B, 2, FALSE), "該当なし"))</f>
        <v>DREAM!ing</v>
      </c>
      <c r="E1819" s="1" t="str">
        <f ca="1">IFERROR(__xludf.DUMMYFUNCTION("""COMPUTED_VALUE"""),"浅霧巳影")</f>
        <v>浅霧巳影</v>
      </c>
      <c r="F1819" s="14" t="s">
        <v>2637</v>
      </c>
    </row>
    <row r="1820" spans="1:6" ht="15">
      <c r="A1820" s="1" t="str">
        <f t="array" aca="1" ref="A1820" ca="1">IF(B1820="", "", IFERROR(INDEX(声優一覧!A:A, MATCH(B1820, 声優一覧!B:B, 0)), "該当なし"))</f>
        <v>va_158</v>
      </c>
      <c r="B1820" s="1" t="str">
        <f ca="1">IFERROR(__xludf.DUMMYFUNCTION("""COMPUTED_VALUE"""),"深町寿成")</f>
        <v>深町寿成</v>
      </c>
      <c r="C1820" s="1" t="s">
        <v>198</v>
      </c>
      <c r="D1820" s="1" t="str">
        <f>IF(C1820="", "", IFERROR(VLOOKUP(C1820, 作品一覧!A:B, 2, FALSE), "該当なし"))</f>
        <v>DREAM!ing</v>
      </c>
      <c r="E1820" s="1" t="str">
        <f ca="1">IFERROR(__xludf.DUMMYFUNCTION("""COMPUTED_VALUE"""),"虎澤一生")</f>
        <v>虎澤一生</v>
      </c>
      <c r="F1820" s="14" t="s">
        <v>2638</v>
      </c>
    </row>
    <row r="1821" spans="1:6" ht="15">
      <c r="A1821" s="1" t="str">
        <f t="array" aca="1" ref="A1821" ca="1">IF(B1821="", "", IFERROR(INDEX(声優一覧!A:A, MATCH(B1821, 声優一覧!B:B, 0)), "該当なし"))</f>
        <v>va_075</v>
      </c>
      <c r="B1821" s="1" t="str">
        <f ca="1">IFERROR(__xludf.DUMMYFUNCTION("""COMPUTED_VALUE"""),"小林裕介")</f>
        <v>小林裕介</v>
      </c>
      <c r="C1821" s="1" t="s">
        <v>198</v>
      </c>
      <c r="D1821" s="1" t="str">
        <f>IF(C1821="", "", IFERROR(VLOOKUP(C1821, 作品一覧!A:B, 2, FALSE), "該当なし"))</f>
        <v>DREAM!ing</v>
      </c>
      <c r="E1821" s="1" t="str">
        <f ca="1">IFERROR(__xludf.DUMMYFUNCTION("""COMPUTED_VALUE"""),"白華時雨")</f>
        <v>白華時雨</v>
      </c>
      <c r="F1821" s="14" t="s">
        <v>2639</v>
      </c>
    </row>
    <row r="1822" spans="1:6" ht="15">
      <c r="A1822" s="1" t="str">
        <f t="array" aca="1" ref="A1822" ca="1">IF(B1822="", "", IFERROR(INDEX(声優一覧!A:A, MATCH(B1822, 声優一覧!B:B, 0)), "該当なし"))</f>
        <v>va_190</v>
      </c>
      <c r="B1822" s="1" t="str">
        <f ca="1">IFERROR(__xludf.DUMMYFUNCTION("""COMPUTED_VALUE"""),"山口智広")</f>
        <v>山口智広</v>
      </c>
      <c r="C1822" s="1" t="s">
        <v>198</v>
      </c>
      <c r="D1822" s="1" t="str">
        <f>IF(C1822="", "", IFERROR(VLOOKUP(C1822, 作品一覧!A:B, 2, FALSE), "該当なし"))</f>
        <v>DREAM!ing</v>
      </c>
      <c r="E1822" s="1" t="str">
        <f ca="1">IFERROR(__xludf.DUMMYFUNCTION("""COMPUTED_VALUE"""),"柴咲真也")</f>
        <v>柴咲真也</v>
      </c>
      <c r="F1822" s="14" t="s">
        <v>2640</v>
      </c>
    </row>
    <row r="1823" spans="1:6" ht="15">
      <c r="A1823" s="1" t="str">
        <f t="array" aca="1" ref="A1823" ca="1">IF(B1823="", "", IFERROR(INDEX(声優一覧!A:A, MATCH(B1823, 声優一覧!B:B, 0)), "該当なし"))</f>
        <v>va_112</v>
      </c>
      <c r="B1823" s="1" t="str">
        <f ca="1">IFERROR(__xludf.DUMMYFUNCTION("""COMPUTED_VALUE"""),"武内駿輔")</f>
        <v>武内駿輔</v>
      </c>
      <c r="C1823" s="1" t="s">
        <v>198</v>
      </c>
      <c r="D1823" s="1" t="str">
        <f>IF(C1823="", "", IFERROR(VLOOKUP(C1823, 作品一覧!A:B, 2, FALSE), "該当なし"))</f>
        <v>DREAM!ing</v>
      </c>
      <c r="E1823" s="1" t="str">
        <f ca="1">IFERROR(__xludf.DUMMYFUNCTION("""COMPUTED_VALUE"""),"竜ヶ崎仁")</f>
        <v>竜ヶ崎仁</v>
      </c>
      <c r="F1823" s="14" t="s">
        <v>2641</v>
      </c>
    </row>
    <row r="1824" spans="1:6" ht="15">
      <c r="A1824" s="1" t="str">
        <f t="array" aca="1" ref="A1824" ca="1">IF(B1824="", "", IFERROR(INDEX(声優一覧!A:A, MATCH(B1824, 声優一覧!B:B, 0)), "該当なし"))</f>
        <v>va_129</v>
      </c>
      <c r="B1824" s="1" t="str">
        <f ca="1">IFERROR(__xludf.DUMMYFUNCTION("""COMPUTED_VALUE"""),"土岐隼一")</f>
        <v>土岐隼一</v>
      </c>
      <c r="C1824" s="1" t="s">
        <v>198</v>
      </c>
      <c r="D1824" s="1" t="str">
        <f>IF(C1824="", "", IFERROR(VLOOKUP(C1824, 作品一覧!A:B, 2, FALSE), "該当なし"))</f>
        <v>DREAM!ing</v>
      </c>
      <c r="E1824" s="1" t="str">
        <f ca="1">IFERROR(__xludf.DUMMYFUNCTION("""COMPUTED_VALUE"""),"槙千鶴")</f>
        <v>槙千鶴</v>
      </c>
      <c r="F1824" s="14" t="s">
        <v>2642</v>
      </c>
    </row>
    <row r="1825" spans="1:6" ht="15">
      <c r="A1825" s="1" t="str">
        <f t="array" aca="1" ref="A1825" ca="1">IF(B1825="", "", IFERROR(INDEX(声優一覧!A:A, MATCH(B1825, 声優一覧!B:B, 0)), "該当なし"))</f>
        <v>va_147</v>
      </c>
      <c r="B1825" s="1" t="str">
        <f ca="1">IFERROR(__xludf.DUMMYFUNCTION("""COMPUTED_VALUE"""),"畠中祐")</f>
        <v>畠中祐</v>
      </c>
      <c r="C1825" s="1" t="s">
        <v>198</v>
      </c>
      <c r="D1825" s="1" t="str">
        <f>IF(C1825="", "", IFERROR(VLOOKUP(C1825, 作品一覧!A:B, 2, FALSE), "該当なし"))</f>
        <v>DREAM!ing</v>
      </c>
      <c r="E1825" s="1" t="str">
        <f ca="1">IFERROR(__xludf.DUMMYFUNCTION("""COMPUTED_VALUE"""),"志部谷幽")</f>
        <v>志部谷幽</v>
      </c>
      <c r="F1825" s="14" t="s">
        <v>2643</v>
      </c>
    </row>
    <row r="1826" spans="1:6" ht="15">
      <c r="A1826" s="1" t="str">
        <f t="array" aca="1" ref="A1826" ca="1">IF(B1826="", "", IFERROR(INDEX(声優一覧!A:A, MATCH(B1826, 声優一覧!B:B, 0)), "該当なし"))</f>
        <v>va_134</v>
      </c>
      <c r="B1826" s="1" t="str">
        <f ca="1">IFERROR(__xludf.DUMMYFUNCTION("""COMPUTED_VALUE"""),"中島ヨシキ")</f>
        <v>中島ヨシキ</v>
      </c>
      <c r="C1826" s="1" t="s">
        <v>198</v>
      </c>
      <c r="D1826" s="1" t="str">
        <f>IF(C1826="", "", IFERROR(VLOOKUP(C1826, 作品一覧!A:B, 2, FALSE), "該当なし"))</f>
        <v>DREAM!ing</v>
      </c>
      <c r="E1826" s="1" t="str">
        <f ca="1">IFERROR(__xludf.DUMMYFUNCTION("""COMPUTED_VALUE"""),"牛若湊")</f>
        <v>牛若湊</v>
      </c>
      <c r="F1826" s="14" t="s">
        <v>2644</v>
      </c>
    </row>
    <row r="1827" spans="1:6" ht="15">
      <c r="A1827" s="1" t="str">
        <f t="array" aca="1" ref="A1827" ca="1">IF(B1827="", "", IFERROR(INDEX(声優一覧!A:A, MATCH(B1827, 声優一覧!B:B, 0)), "該当なし"))</f>
        <v>va_048</v>
      </c>
      <c r="B1827" s="1" t="str">
        <f ca="1">IFERROR(__xludf.DUMMYFUNCTION("""COMPUTED_VALUE"""),"柿原徹也")</f>
        <v>柿原徹也</v>
      </c>
      <c r="C1827" s="1" t="s">
        <v>198</v>
      </c>
      <c r="D1827" s="1" t="str">
        <f>IF(C1827="", "", IFERROR(VLOOKUP(C1827, 作品一覧!A:B, 2, FALSE), "該当なし"))</f>
        <v>DREAM!ing</v>
      </c>
      <c r="E1827" s="1" t="str">
        <f ca="1">IFERROR(__xludf.DUMMYFUNCTION("""COMPUTED_VALUE"""),"久磨凛太朗")</f>
        <v>久磨凛太朗</v>
      </c>
      <c r="F1827" s="14" t="s">
        <v>2645</v>
      </c>
    </row>
    <row r="1828" spans="1:6" ht="15">
      <c r="A1828" s="1" t="str">
        <f t="array" aca="1" ref="A1828" ca="1">IF(B1828="", "", IFERROR(INDEX(声優一覧!A:A, MATCH(B1828, 声優一覧!B:B, 0)), "該当なし"))</f>
        <v>va_385</v>
      </c>
      <c r="B1828" s="1" t="str">
        <f ca="1">IFERROR(__xludf.DUMMYFUNCTION("""COMPUTED_VALUE"""),"天野七瑠")</f>
        <v>天野七瑠</v>
      </c>
      <c r="C1828" s="1" t="s">
        <v>198</v>
      </c>
      <c r="D1828" s="1" t="str">
        <f>IF(C1828="", "", IFERROR(VLOOKUP(C1828, 作品一覧!A:B, 2, FALSE), "該当なし"))</f>
        <v>DREAM!ing</v>
      </c>
      <c r="E1828" s="1" t="str">
        <f ca="1">IFERROR(__xludf.DUMMYFUNCTION("""COMPUTED_VALUE"""),"ビアンキ由仁")</f>
        <v>ビアンキ由仁</v>
      </c>
      <c r="F1828" s="14" t="s">
        <v>2646</v>
      </c>
    </row>
    <row r="1829" spans="1:6" ht="15">
      <c r="A1829" s="1" t="str">
        <f t="array" aca="1" ref="A1829" ca="1">IF(B1829="", "", IFERROR(INDEX(声優一覧!A:A, MATCH(B1829, 声優一覧!B:B, 0)), "該当なし"))</f>
        <v>va_261</v>
      </c>
      <c r="B1829" s="1" t="str">
        <f ca="1">IFERROR(__xludf.DUMMYFUNCTION("""COMPUTED_VALUE"""),"宮﨑雅也")</f>
        <v>宮﨑雅也</v>
      </c>
      <c r="C1829" s="1" t="s">
        <v>263</v>
      </c>
      <c r="D1829" s="1" t="str">
        <f>IF(C1829="", "", IFERROR(VLOOKUP(C1829, 作品一覧!A:B, 2, FALSE), "該当なし"))</f>
        <v>BOYS be MAID！～御曹司メイドボーイ部の日日～</v>
      </c>
      <c r="E1829" s="1" t="str">
        <f ca="1">IFERROR(__xludf.DUMMYFUNCTION("""COMPUTED_VALUE"""),"高階蘭士")</f>
        <v>高階蘭士</v>
      </c>
      <c r="F1829" s="14" t="s">
        <v>2647</v>
      </c>
    </row>
    <row r="1830" spans="1:6" ht="15">
      <c r="A1830" s="1" t="str">
        <f t="array" aca="1" ref="A1830" ca="1">IF(B1830="", "", IFERROR(INDEX(声優一覧!A:A, MATCH(B1830, 声優一覧!B:B, 0)), "該当なし"))</f>
        <v>va_386</v>
      </c>
      <c r="B1830" s="1" t="str">
        <f ca="1">IFERROR(__xludf.DUMMYFUNCTION("""COMPUTED_VALUE"""),"秋山諒")</f>
        <v>秋山諒</v>
      </c>
      <c r="C1830" s="1" t="s">
        <v>263</v>
      </c>
      <c r="D1830" s="1" t="str">
        <f>IF(C1830="", "", IFERROR(VLOOKUP(C1830, 作品一覧!A:B, 2, FALSE), "該当なし"))</f>
        <v>BOYS be MAID！～御曹司メイドボーイ部の日日～</v>
      </c>
      <c r="E1830" s="1" t="str">
        <f ca="1">IFERROR(__xludf.DUMMYFUNCTION("""COMPUTED_VALUE"""),"妃崎余花")</f>
        <v>妃崎余花</v>
      </c>
      <c r="F1830" s="14" t="s">
        <v>2648</v>
      </c>
    </row>
    <row r="1831" spans="1:6" ht="15">
      <c r="A1831" s="1" t="str">
        <f t="array" aca="1" ref="A1831" ca="1">IF(B1831="", "", IFERROR(INDEX(声優一覧!A:A, MATCH(B1831, 声優一覧!B:B, 0)), "該当なし"))</f>
        <v>va_387</v>
      </c>
      <c r="B1831" s="1" t="str">
        <f ca="1">IFERROR(__xludf.DUMMYFUNCTION("""COMPUTED_VALUE"""),"山本彬")</f>
        <v>山本彬</v>
      </c>
      <c r="C1831" s="1" t="s">
        <v>263</v>
      </c>
      <c r="D1831" s="1" t="str">
        <f>IF(C1831="", "", IFERROR(VLOOKUP(C1831, 作品一覧!A:B, 2, FALSE), "該当なし"))</f>
        <v>BOYS be MAID！～御曹司メイドボーイ部の日日～</v>
      </c>
      <c r="E1831" s="1" t="str">
        <f ca="1">IFERROR(__xludf.DUMMYFUNCTION("""COMPUTED_VALUE"""),"雨鬼籠")</f>
        <v>雨鬼籠</v>
      </c>
      <c r="F1831" s="14" t="s">
        <v>2649</v>
      </c>
    </row>
    <row r="1832" spans="1:6" ht="15">
      <c r="A1832" s="1" t="str">
        <f t="array" aca="1" ref="A1832" ca="1">IF(B1832="", "", IFERROR(INDEX(声優一覧!A:A, MATCH(B1832, 声優一覧!B:B, 0)), "該当なし"))</f>
        <v>va_190</v>
      </c>
      <c r="B1832" s="1" t="str">
        <f ca="1">IFERROR(__xludf.DUMMYFUNCTION("""COMPUTED_VALUE"""),"山口智広")</f>
        <v>山口智広</v>
      </c>
      <c r="C1832" s="1" t="s">
        <v>263</v>
      </c>
      <c r="D1832" s="1" t="str">
        <f>IF(C1832="", "", IFERROR(VLOOKUP(C1832, 作品一覧!A:B, 2, FALSE), "該当なし"))</f>
        <v>BOYS be MAID！～御曹司メイドボーイ部の日日～</v>
      </c>
      <c r="E1832" s="1" t="str">
        <f ca="1">IFERROR(__xludf.DUMMYFUNCTION("""COMPUTED_VALUE"""),"菊秋明")</f>
        <v>菊秋明</v>
      </c>
      <c r="F1832" s="14" t="s">
        <v>2650</v>
      </c>
    </row>
    <row r="1833" spans="1:6" ht="15">
      <c r="A1833" s="1" t="str">
        <f t="array" aca="1" ref="A1833" ca="1">IF(B1833="", "", IFERROR(INDEX(声優一覧!A:A, MATCH(B1833, 声優一覧!B:B, 0)), "該当なし"))</f>
        <v>va_038</v>
      </c>
      <c r="B1833" s="1" t="str">
        <f ca="1">IFERROR(__xludf.DUMMYFUNCTION("""COMPUTED_VALUE"""),"小笠原仁")</f>
        <v>小笠原仁</v>
      </c>
      <c r="C1833" s="1" t="s">
        <v>263</v>
      </c>
      <c r="D1833" s="1" t="str">
        <f>IF(C1833="", "", IFERROR(VLOOKUP(C1833, 作品一覧!A:B, 2, FALSE), "該当なし"))</f>
        <v>BOYS be MAID！～御曹司メイドボーイ部の日日～</v>
      </c>
      <c r="E1833" s="1" t="str">
        <f ca="1">IFERROR(__xludf.DUMMYFUNCTION("""COMPUTED_VALUE"""),"エメリ・スノワール")</f>
        <v>エメリ・スノワール</v>
      </c>
      <c r="F1833" s="14" t="s">
        <v>2651</v>
      </c>
    </row>
    <row r="1834" spans="1:6" ht="15">
      <c r="A1834" s="1" t="str">
        <f t="array" aca="1" ref="A1834" ca="1">IF(B1834="", "", IFERROR(INDEX(声優一覧!A:A, MATCH(B1834, 声優一覧!B:B, 0)), "該当なし"))</f>
        <v>va_388</v>
      </c>
      <c r="B1834" s="1" t="str">
        <f ca="1">IFERROR(__xludf.DUMMYFUNCTION("""COMPUTED_VALUE"""),"前田誠二")</f>
        <v>前田誠二</v>
      </c>
      <c r="C1834" s="1" t="s">
        <v>263</v>
      </c>
      <c r="D1834" s="1" t="str">
        <f>IF(C1834="", "", IFERROR(VLOOKUP(C1834, 作品一覧!A:B, 2, FALSE), "該当なし"))</f>
        <v>BOYS be MAID！～御曹司メイドボーイ部の日日～</v>
      </c>
      <c r="E1834" s="1" t="str">
        <f ca="1">IFERROR(__xludf.DUMMYFUNCTION("""COMPUTED_VALUE"""),"秘空木礼")</f>
        <v>秘空木礼</v>
      </c>
      <c r="F1834" s="14" t="s">
        <v>2652</v>
      </c>
    </row>
    <row r="1835" spans="1:6" ht="15">
      <c r="A1835" s="1" t="str">
        <f t="array" aca="1" ref="A1835" ca="1">IF(B1835="", "", IFERROR(INDEX(声優一覧!A:A, MATCH(B1835, 声優一覧!B:B, 0)), "該当なし"))</f>
        <v>va_119</v>
      </c>
      <c r="B1835" s="1" t="str">
        <f ca="1">IFERROR(__xludf.DUMMYFUNCTION("""COMPUTED_VALUE"""),"千葉翔也")</f>
        <v>千葉翔也</v>
      </c>
      <c r="C1835" s="1" t="s">
        <v>196</v>
      </c>
      <c r="D1835" s="1" t="str">
        <f>IF(C1835="", "", IFERROR(VLOOKUP(C1835, 作品一覧!A:B, 2, FALSE), "該当なし"))</f>
        <v>東京カラーソニック!!</v>
      </c>
      <c r="E1835" s="1" t="str">
        <f ca="1">IFERROR(__xludf.DUMMYFUNCTION("""COMPUTED_VALUE"""),"小宮山嵐")</f>
        <v>小宮山嵐</v>
      </c>
      <c r="F1835" s="14" t="s">
        <v>2653</v>
      </c>
    </row>
    <row r="1836" spans="1:6" ht="15">
      <c r="A1836" s="1" t="str">
        <f t="array" aca="1" ref="A1836" ca="1">IF(B1836="", "", IFERROR(INDEX(声優一覧!A:A, MATCH(B1836, 声優一覧!B:B, 0)), "該当なし"))</f>
        <v>va_028</v>
      </c>
      <c r="B1836" s="1" t="str">
        <f ca="1">IFERROR(__xludf.DUMMYFUNCTION("""COMPUTED_VALUE"""),"上村祐翔")</f>
        <v>上村祐翔</v>
      </c>
      <c r="C1836" s="1" t="s">
        <v>196</v>
      </c>
      <c r="D1836" s="1" t="str">
        <f>IF(C1836="", "", IFERROR(VLOOKUP(C1836, 作品一覧!A:B, 2, FALSE), "該当なし"))</f>
        <v>東京カラーソニック!!</v>
      </c>
      <c r="E1836" s="1" t="str">
        <f ca="1">IFERROR(__xludf.DUMMYFUNCTION("""COMPUTED_VALUE"""),"霧島宙")</f>
        <v>霧島宙</v>
      </c>
      <c r="F1836" s="14" t="s">
        <v>2654</v>
      </c>
    </row>
    <row r="1837" spans="1:6" ht="15">
      <c r="A1837" s="1" t="str">
        <f t="array" aca="1" ref="A1837" ca="1">IF(B1837="", "", IFERROR(INDEX(声優一覧!A:A, MATCH(B1837, 声優一覧!B:B, 0)), "該当なし"))</f>
        <v>va_083</v>
      </c>
      <c r="B1837" s="1" t="str">
        <f ca="1">IFERROR(__xludf.DUMMYFUNCTION("""COMPUTED_VALUE"""),"斉藤壮馬")</f>
        <v>斉藤壮馬</v>
      </c>
      <c r="C1837" s="1" t="s">
        <v>196</v>
      </c>
      <c r="D1837" s="1" t="str">
        <f>IF(C1837="", "", IFERROR(VLOOKUP(C1837, 作品一覧!A:B, 2, FALSE), "該当なし"))</f>
        <v>東京カラーソニック!!</v>
      </c>
      <c r="E1837" s="1" t="str">
        <f ca="1">IFERROR(__xludf.DUMMYFUNCTION("""COMPUTED_VALUE"""),"宝田伊織")</f>
        <v>宝田伊織</v>
      </c>
      <c r="F1837" s="14" t="s">
        <v>2655</v>
      </c>
    </row>
    <row r="1838" spans="1:6" ht="15">
      <c r="A1838" s="1" t="str">
        <f t="array" aca="1" ref="A1838" ca="1">IF(B1838="", "", IFERROR(INDEX(声優一覧!A:A, MATCH(B1838, 声優一覧!B:B, 0)), "該当なし"))</f>
        <v>va_134</v>
      </c>
      <c r="B1838" s="1" t="str">
        <f ca="1">IFERROR(__xludf.DUMMYFUNCTION("""COMPUTED_VALUE"""),"中島ヨシキ")</f>
        <v>中島ヨシキ</v>
      </c>
      <c r="C1838" s="1" t="s">
        <v>196</v>
      </c>
      <c r="D1838" s="1" t="str">
        <f>IF(C1838="", "", IFERROR(VLOOKUP(C1838, 作品一覧!A:B, 2, FALSE), "該当なし"))</f>
        <v>東京カラーソニック!!</v>
      </c>
      <c r="E1838" s="1" t="str">
        <f ca="1">IFERROR(__xludf.DUMMYFUNCTION("""COMPUTED_VALUE"""),"加地春飛")</f>
        <v>加地春飛</v>
      </c>
      <c r="F1838" s="14" t="s">
        <v>2656</v>
      </c>
    </row>
    <row r="1839" spans="1:6" ht="15">
      <c r="A1839" s="1" t="str">
        <f t="array" aca="1" ref="A1839" ca="1">IF(B1839="", "", IFERROR(INDEX(声優一覧!A:A, MATCH(B1839, 声優一覧!B:B, 0)), "該当なし"))</f>
        <v>va_053</v>
      </c>
      <c r="B1839" s="1" t="str">
        <f ca="1">IFERROR(__xludf.DUMMYFUNCTION("""COMPUTED_VALUE"""),"梶原岳人")</f>
        <v>梶原岳人</v>
      </c>
      <c r="C1839" s="1" t="s">
        <v>196</v>
      </c>
      <c r="D1839" s="1" t="str">
        <f>IF(C1839="", "", IFERROR(VLOOKUP(C1839, 作品一覧!A:B, 2, FALSE), "該当なし"))</f>
        <v>東京カラーソニック!!</v>
      </c>
      <c r="E1839" s="1" t="str">
        <f ca="1">IFERROR(__xludf.DUMMYFUNCTION("""COMPUTED_VALUE"""),"瀬文永久")</f>
        <v>瀬文永久</v>
      </c>
      <c r="F1839" s="14" t="s">
        <v>2657</v>
      </c>
    </row>
    <row r="1840" spans="1:6" ht="15">
      <c r="A1840" s="1" t="str">
        <f t="array" aca="1" ref="A1840" ca="1">IF(B1840="", "", IFERROR(INDEX(声優一覧!A:A, MATCH(B1840, 声優一覧!B:B, 0)), "該当なし"))</f>
        <v>va_066</v>
      </c>
      <c r="B1840" s="1" t="str">
        <f ca="1">IFERROR(__xludf.DUMMYFUNCTION("""COMPUTED_VALUE"""),"木村良平")</f>
        <v>木村良平</v>
      </c>
      <c r="C1840" s="1" t="s">
        <v>196</v>
      </c>
      <c r="D1840" s="1" t="str">
        <f>IF(C1840="", "", IFERROR(VLOOKUP(C1840, 作品一覧!A:B, 2, FALSE), "該当なし"))</f>
        <v>東京カラーソニック!!</v>
      </c>
      <c r="E1840" s="1" t="str">
        <f ca="1">IFERROR(__xludf.DUMMYFUNCTION("""COMPUTED_VALUE"""),"財前未來")</f>
        <v>財前未來</v>
      </c>
      <c r="F1840" s="14" t="s">
        <v>2658</v>
      </c>
    </row>
    <row r="1841" spans="1:6" ht="15">
      <c r="A1841" s="1" t="str">
        <f t="array" aca="1" ref="A1841" ca="1">IF(B1841="", "", IFERROR(INDEX(声優一覧!A:A, MATCH(B1841, 声優一覧!B:B, 0)), "該当なし"))</f>
        <v>va_112</v>
      </c>
      <c r="B1841" s="1" t="str">
        <f ca="1">IFERROR(__xludf.DUMMYFUNCTION("""COMPUTED_VALUE"""),"武内駿輔")</f>
        <v>武内駿輔</v>
      </c>
      <c r="C1841" s="1" t="s">
        <v>196</v>
      </c>
      <c r="D1841" s="1" t="str">
        <f>IF(C1841="", "", IFERROR(VLOOKUP(C1841, 作品一覧!A:B, 2, FALSE), "該当なし"))</f>
        <v>東京カラーソニック!!</v>
      </c>
      <c r="E1841" s="1" t="str">
        <f ca="1">IFERROR(__xludf.DUMMYFUNCTION("""COMPUTED_VALUE"""),"倉橋海吏")</f>
        <v>倉橋海吏</v>
      </c>
      <c r="F1841" s="14" t="s">
        <v>2659</v>
      </c>
    </row>
    <row r="1842" spans="1:6" ht="15">
      <c r="A1842" s="1" t="str">
        <f t="array" aca="1" ref="A1842" ca="1">IF(B1842="", "", IFERROR(INDEX(声優一覧!A:A, MATCH(B1842, 声優一覧!B:B, 0)), "該当なし"))</f>
        <v>va_035</v>
      </c>
      <c r="B1842" s="1" t="str">
        <f ca="1">IFERROR(__xludf.DUMMYFUNCTION("""COMPUTED_VALUE"""),"江口拓也")</f>
        <v>江口拓也</v>
      </c>
      <c r="C1842" s="1" t="s">
        <v>196</v>
      </c>
      <c r="D1842" s="1" t="str">
        <f>IF(C1842="", "", IFERROR(VLOOKUP(C1842, 作品一覧!A:B, 2, FALSE), "該当なし"))</f>
        <v>東京カラーソニック!!</v>
      </c>
      <c r="E1842" s="1" t="str">
        <f ca="1">IFERROR(__xludf.DUMMYFUNCTION("""COMPUTED_VALUE"""),"高槻神楽")</f>
        <v>高槻神楽</v>
      </c>
      <c r="F1842" s="14" t="s">
        <v>2660</v>
      </c>
    </row>
    <row r="1843" spans="1:6" ht="15">
      <c r="A1843" s="1" t="str">
        <f t="array" aca="1" ref="A1843" ca="1">IF(B1843="", "", IFERROR(INDEX(声優一覧!A:A, MATCH(B1843, 声優一覧!B:B, 0)), "該当なし"))</f>
        <v>va_155</v>
      </c>
      <c r="B1843" s="1" t="str">
        <f ca="1">IFERROR(__xludf.DUMMYFUNCTION("""COMPUTED_VALUE"""),"広瀬裕也")</f>
        <v>広瀬裕也</v>
      </c>
      <c r="C1843" s="1" t="s">
        <v>196</v>
      </c>
      <c r="D1843" s="1" t="str">
        <f>IF(C1843="", "", IFERROR(VLOOKUP(C1843, 作品一覧!A:B, 2, FALSE), "該当なし"))</f>
        <v>東京カラーソニック!!</v>
      </c>
      <c r="E1843" s="1" t="str">
        <f ca="1">IFERROR(__xludf.DUMMYFUNCTION("""COMPUTED_VALUE"""),"宮苑巴")</f>
        <v>宮苑巴</v>
      </c>
      <c r="F1843" s="14" t="s">
        <v>2661</v>
      </c>
    </row>
    <row r="1844" spans="1:6" ht="15">
      <c r="A1844" s="1" t="str">
        <f t="array" aca="1" ref="A1844" ca="1">IF(B1844="", "", IFERROR(INDEX(声優一覧!A:A, MATCH(B1844, 声優一覧!B:B, 0)), "該当なし"))</f>
        <v>va_033</v>
      </c>
      <c r="B1844" s="1" t="str">
        <f ca="1">IFERROR(__xludf.DUMMYFUNCTION("""COMPUTED_VALUE"""),"梅原裕一郎")</f>
        <v>梅原裕一郎</v>
      </c>
      <c r="C1844" s="1" t="s">
        <v>196</v>
      </c>
      <c r="D1844" s="1" t="str">
        <f>IF(C1844="", "", IFERROR(VLOOKUP(C1844, 作品一覧!A:B, 2, FALSE), "該当なし"))</f>
        <v>東京カラーソニック!!</v>
      </c>
      <c r="E1844" s="1" t="str">
        <f ca="1">IFERROR(__xludf.DUMMYFUNCTION("""COMPUTED_VALUE"""),"榊旺士朗")</f>
        <v>榊旺士朗</v>
      </c>
      <c r="F1844" s="14" t="s">
        <v>2662</v>
      </c>
    </row>
    <row r="1845" spans="1:6" ht="15">
      <c r="A1845" s="1" t="str">
        <f t="array" aca="1" ref="A1845" ca="1">IF(B1845="", "", IFERROR(INDEX(声優一覧!A:A, MATCH(B1845, 声優一覧!B:B, 0)), "該当なし"))</f>
        <v>va_138</v>
      </c>
      <c r="B1845" s="1" t="str">
        <f ca="1">IFERROR(__xludf.DUMMYFUNCTION("""COMPUTED_VALUE"""),"浪川大輔")</f>
        <v>浪川大輔</v>
      </c>
      <c r="C1845" s="1" t="s">
        <v>196</v>
      </c>
      <c r="D1845" s="1" t="str">
        <f>IF(C1845="", "", IFERROR(VLOOKUP(C1845, 作品一覧!A:B, 2, FALSE), "該当なし"))</f>
        <v>東京カラーソニック!!</v>
      </c>
      <c r="E1845" s="1" t="str">
        <f ca="1">IFERROR(__xludf.DUMMYFUNCTION("""COMPUTED_VALUE"""),"田所雪也")</f>
        <v>田所雪也</v>
      </c>
      <c r="F1845" s="14" t="s">
        <v>2663</v>
      </c>
    </row>
    <row r="1846" spans="1:6" ht="15">
      <c r="A1846" s="1" t="str">
        <f t="array" aca="1" ref="A1846" ca="1">IF(B1846="", "", IFERROR(INDEX(声優一覧!A:A, MATCH(B1846, 声優一覧!B:B, 0)), "該当なし"))</f>
        <v>va_264</v>
      </c>
      <c r="B1846" s="1" t="str">
        <f ca="1">IFERROR(__xludf.DUMMYFUNCTION("""COMPUTED_VALUE"""),"橘龍丸")</f>
        <v>橘龍丸</v>
      </c>
      <c r="C1846" s="1" t="s">
        <v>196</v>
      </c>
      <c r="D1846" s="1" t="str">
        <f>IF(C1846="", "", IFERROR(VLOOKUP(C1846, 作品一覧!A:B, 2, FALSE), "該当なし"))</f>
        <v>東京カラーソニック!!</v>
      </c>
      <c r="E1846" s="1" t="str">
        <f ca="1">IFERROR(__xludf.DUMMYFUNCTION("""COMPUTED_VALUE"""),"芦野涼真")</f>
        <v>芦野涼真</v>
      </c>
      <c r="F1846" s="14" t="s">
        <v>2664</v>
      </c>
    </row>
    <row r="1847" spans="1:6" ht="15">
      <c r="A1847" s="1" t="str">
        <f t="array" aca="1" ref="A1847" ca="1">IF(B1847="", "", IFERROR(INDEX(声優一覧!A:A, MATCH(B1847, 声優一覧!B:B, 0)), "該当なし"))</f>
        <v>va_078</v>
      </c>
      <c r="B1847" s="1" t="str">
        <f ca="1">IFERROR(__xludf.DUMMYFUNCTION("""COMPUTED_VALUE"""),"小西克幸")</f>
        <v>小西克幸</v>
      </c>
      <c r="C1847" s="1" t="s">
        <v>196</v>
      </c>
      <c r="D1847" s="1" t="str">
        <f>IF(C1847="", "", IFERROR(VLOOKUP(C1847, 作品一覧!A:B, 2, FALSE), "該当なし"))</f>
        <v>東京カラーソニック!!</v>
      </c>
      <c r="E1847" s="1" t="str">
        <f ca="1">IFERROR(__xludf.DUMMYFUNCTION("""COMPUTED_VALUE"""),"祇園寺秀")</f>
        <v>祇園寺秀</v>
      </c>
      <c r="F1847" s="14" t="s">
        <v>2665</v>
      </c>
    </row>
    <row r="1848" spans="1:6" ht="15">
      <c r="A1848" s="1" t="str">
        <f t="array" aca="1" ref="A1848" ca="1">IF(B1848="", "", IFERROR(INDEX(声優一覧!A:A, MATCH(B1848, 声優一覧!B:B, 0)), "該当なし"))</f>
        <v>va_102</v>
      </c>
      <c r="B1848" s="1" t="str">
        <f ca="1">IFERROR(__xludf.DUMMYFUNCTION("""COMPUTED_VALUE"""),"諏訪部順一")</f>
        <v>諏訪部順一</v>
      </c>
      <c r="C1848" s="1" t="s">
        <v>196</v>
      </c>
      <c r="D1848" s="1" t="str">
        <f>IF(C1848="", "", IFERROR(VLOOKUP(C1848, 作品一覧!A:B, 2, FALSE), "該当なし"))</f>
        <v>東京カラーソニック!!</v>
      </c>
      <c r="E1848" s="1" t="str">
        <f ca="1">IFERROR(__xludf.DUMMYFUNCTION("""COMPUTED_VALUE"""),"駿河冬一")</f>
        <v>駿河冬一</v>
      </c>
      <c r="F1848" s="14" t="s">
        <v>2666</v>
      </c>
    </row>
    <row r="1849" spans="1:6" ht="15">
      <c r="A1849" s="1" t="str">
        <f t="array" aca="1" ref="A1849" ca="1">IF(B1849="", "", IFERROR(INDEX(声優一覧!A:A, MATCH(B1849, 声優一覧!B:B, 0)), "該当なし"))</f>
        <v>va_152</v>
      </c>
      <c r="B1849" s="1" t="str">
        <f ca="1">IFERROR(__xludf.DUMMYFUNCTION("""COMPUTED_VALUE"""),"浜田賢二")</f>
        <v>浜田賢二</v>
      </c>
      <c r="C1849" s="1" t="s">
        <v>196</v>
      </c>
      <c r="D1849" s="1" t="str">
        <f>IF(C1849="", "", IFERROR(VLOOKUP(C1849, 作品一覧!A:B, 2, FALSE), "該当なし"))</f>
        <v>東京カラーソニック!!</v>
      </c>
      <c r="E1849" s="1" t="str">
        <f ca="1">IFERROR(__xludf.DUMMYFUNCTION("""COMPUTED_VALUE"""),"高槻司")</f>
        <v>高槻司</v>
      </c>
      <c r="F1849" s="14" t="s">
        <v>2667</v>
      </c>
    </row>
    <row r="1850" spans="1:6" ht="15">
      <c r="A1850" s="1" t="str">
        <f t="array" aca="1" ref="A1850" ca="1">IF(B1850="", "", IFERROR(INDEX(声優一覧!A:A, MATCH(B1850, 声優一覧!B:B, 0)), "該当なし"))</f>
        <v>va_389</v>
      </c>
      <c r="B1850" s="1" t="str">
        <f ca="1">IFERROR(__xludf.DUMMYFUNCTION("""COMPUTED_VALUE"""),"高橋怜也")</f>
        <v>高橋怜也</v>
      </c>
      <c r="C1850" s="1" t="s">
        <v>114</v>
      </c>
      <c r="D1850" s="1" t="str">
        <f>IF(C1850="", "", IFERROR(VLOOKUP(C1850, 作品一覧!A:B, 2, FALSE), "該当なし"))</f>
        <v>地獄降輪</v>
      </c>
      <c r="E1850" s="1" t="str">
        <f ca="1">IFERROR(__xludf.DUMMYFUNCTION("""COMPUTED_VALUE"""),"海")</f>
        <v>海</v>
      </c>
      <c r="F1850" s="14" t="s">
        <v>2668</v>
      </c>
    </row>
    <row r="1851" spans="1:6" ht="15">
      <c r="A1851" s="1" t="str">
        <f t="array" aca="1" ref="A1851" ca="1">IF(B1851="", "", IFERROR(INDEX(声優一覧!A:A, MATCH(B1851, 声優一覧!B:B, 0)), "該当なし"))</f>
        <v>va_092</v>
      </c>
      <c r="B1851" s="1" t="str">
        <f ca="1">IFERROR(__xludf.DUMMYFUNCTION("""COMPUTED_VALUE"""),"沢城千春")</f>
        <v>沢城千春</v>
      </c>
      <c r="C1851" s="1" t="s">
        <v>114</v>
      </c>
      <c r="D1851" s="1" t="str">
        <f>IF(C1851="", "", IFERROR(VLOOKUP(C1851, 作品一覧!A:B, 2, FALSE), "該当なし"))</f>
        <v>地獄降輪</v>
      </c>
      <c r="E1851" s="1" t="str">
        <f ca="1">IFERROR(__xludf.DUMMYFUNCTION("""COMPUTED_VALUE"""),"血の池")</f>
        <v>血の池</v>
      </c>
      <c r="F1851" s="14" t="s">
        <v>2669</v>
      </c>
    </row>
    <row r="1852" spans="1:6" ht="15">
      <c r="A1852" s="1" t="str">
        <f t="array" aca="1" ref="A1852" ca="1">IF(B1852="", "", IFERROR(INDEX(声優一覧!A:A, MATCH(B1852, 声優一覧!B:B, 0)), "該当なし"))</f>
        <v>va_185</v>
      </c>
      <c r="B1852" s="1" t="str">
        <f ca="1">IFERROR(__xludf.DUMMYFUNCTION("""COMPUTED_VALUE"""),"森久保祥太郎")</f>
        <v>森久保祥太郎</v>
      </c>
      <c r="C1852" s="1" t="s">
        <v>114</v>
      </c>
      <c r="D1852" s="1" t="str">
        <f>IF(C1852="", "", IFERROR(VLOOKUP(C1852, 作品一覧!A:B, 2, FALSE), "該当なし"))</f>
        <v>地獄降輪</v>
      </c>
      <c r="E1852" s="1" t="str">
        <f ca="1">IFERROR(__xludf.DUMMYFUNCTION("""COMPUTED_VALUE"""),"龍巻")</f>
        <v>龍巻</v>
      </c>
      <c r="F1852" s="14" t="s">
        <v>2670</v>
      </c>
    </row>
    <row r="1853" spans="1:6" ht="15">
      <c r="A1853" s="1" t="str">
        <f t="array" aca="1" ref="A1853" ca="1">IF(B1853="", "", IFERROR(INDEX(声優一覧!A:A, MATCH(B1853, 声優一覧!B:B, 0)), "該当なし"))</f>
        <v>va_170</v>
      </c>
      <c r="B1853" s="1" t="str">
        <f ca="1">IFERROR(__xludf.DUMMYFUNCTION("""COMPUTED_VALUE"""),"益山武明")</f>
        <v>益山武明</v>
      </c>
      <c r="C1853" s="1" t="s">
        <v>114</v>
      </c>
      <c r="D1853" s="1" t="str">
        <f>IF(C1853="", "", IFERROR(VLOOKUP(C1853, 作品一覧!A:B, 2, FALSE), "該当なし"))</f>
        <v>地獄降輪</v>
      </c>
      <c r="E1853" s="1" t="str">
        <f ca="1">IFERROR(__xludf.DUMMYFUNCTION("""COMPUTED_VALUE"""),"白池")</f>
        <v>白池</v>
      </c>
      <c r="F1853" s="14" t="s">
        <v>2671</v>
      </c>
    </row>
    <row r="1854" spans="1:6" ht="15">
      <c r="A1854" s="1" t="str">
        <f t="array" aca="1" ref="A1854" ca="1">IF(B1854="", "", IFERROR(INDEX(声優一覧!A:A, MATCH(B1854, 声優一覧!B:B, 0)), "該当なし"))</f>
        <v>va_179</v>
      </c>
      <c r="B1854" s="1" t="str">
        <f ca="1">IFERROR(__xludf.DUMMYFUNCTION("""COMPUTED_VALUE"""),"水中雅章")</f>
        <v>水中雅章</v>
      </c>
      <c r="C1854" s="1" t="s">
        <v>114</v>
      </c>
      <c r="D1854" s="1" t="str">
        <f>IF(C1854="", "", IFERROR(VLOOKUP(C1854, 作品一覧!A:B, 2, FALSE), "該当なし"))</f>
        <v>地獄降輪</v>
      </c>
      <c r="E1854" s="1" t="str">
        <f ca="1">IFERROR(__xludf.DUMMYFUNCTION("""COMPUTED_VALUE"""),"鬼石坊主")</f>
        <v>鬼石坊主</v>
      </c>
      <c r="F1854" s="14" t="s">
        <v>2672</v>
      </c>
    </row>
    <row r="1855" spans="1:6" ht="15">
      <c r="A1855" s="1" t="str">
        <f t="array" aca="1" ref="A1855" ca="1">IF(B1855="", "", IFERROR(INDEX(声優一覧!A:A, MATCH(B1855, 声優一覧!B:B, 0)), "該当なし"))</f>
        <v>va_142</v>
      </c>
      <c r="B1855" s="1" t="str">
        <f ca="1">IFERROR(__xludf.DUMMYFUNCTION("""COMPUTED_VALUE"""),"野上翔")</f>
        <v>野上翔</v>
      </c>
      <c r="C1855" s="1" t="s">
        <v>114</v>
      </c>
      <c r="D1855" s="1" t="str">
        <f>IF(C1855="", "", IFERROR(VLOOKUP(C1855, 作品一覧!A:B, 2, FALSE), "該当なし"))</f>
        <v>地獄降輪</v>
      </c>
      <c r="E1855" s="1" t="str">
        <f ca="1">IFERROR(__xludf.DUMMYFUNCTION("""COMPUTED_VALUE"""),"鬼山")</f>
        <v>鬼山</v>
      </c>
      <c r="F1855" s="14" t="s">
        <v>2673</v>
      </c>
    </row>
    <row r="1856" spans="1:6" ht="15">
      <c r="A1856" s="1" t="str">
        <f t="array" aca="1" ref="A1856" ca="1">IF(B1856="", "", IFERROR(INDEX(声優一覧!A:A, MATCH(B1856, 声優一覧!B:B, 0)), "該当なし"))</f>
        <v>va_078</v>
      </c>
      <c r="B1856" s="1" t="str">
        <f ca="1">IFERROR(__xludf.DUMMYFUNCTION("""COMPUTED_VALUE"""),"小西克幸")</f>
        <v>小西克幸</v>
      </c>
      <c r="C1856" s="1" t="s">
        <v>114</v>
      </c>
      <c r="D1856" s="1" t="str">
        <f>IF(C1856="", "", IFERROR(VLOOKUP(C1856, 作品一覧!A:B, 2, FALSE), "該当なし"))</f>
        <v>地獄降輪</v>
      </c>
      <c r="E1856" s="1" t="str">
        <f ca="1">IFERROR(__xludf.DUMMYFUNCTION("""COMPUTED_VALUE"""),"かまど")</f>
        <v>かまど</v>
      </c>
      <c r="F1856" s="14" t="s">
        <v>2674</v>
      </c>
    </row>
    <row r="1857" spans="1:6" ht="15">
      <c r="A1857" s="1" t="str">
        <f t="array" aca="1" ref="A1857" ca="1">IF(B1857="", "", IFERROR(INDEX(声優一覧!A:A, MATCH(B1857, 声優一覧!B:B, 0)), "該当なし"))</f>
        <v>va_390</v>
      </c>
      <c r="B1857" s="1" t="str">
        <f ca="1">IFERROR(__xludf.DUMMYFUNCTION("""COMPUTED_VALUE"""),"吉川幸宏")</f>
        <v>吉川幸宏</v>
      </c>
      <c r="C1857" s="1" t="s">
        <v>151</v>
      </c>
      <c r="D1857" s="1" t="str">
        <f>IF(C1857="", "", IFERROR(VLOOKUP(C1857, 作品一覧!A:B, 2, FALSE), "該当なし"))</f>
        <v>STRANGE EDEN</v>
      </c>
      <c r="E1857" s="1" t="str">
        <f ca="1">IFERROR(__xludf.DUMMYFUNCTION("""COMPUTED_VALUE"""),"由良野千里")</f>
        <v>由良野千里</v>
      </c>
      <c r="F1857" s="14" t="s">
        <v>2675</v>
      </c>
    </row>
    <row r="1858" spans="1:6" ht="15">
      <c r="A1858" s="1" t="str">
        <f t="array" aca="1" ref="A1858" ca="1">IF(B1858="", "", IFERROR(INDEX(声優一覧!A:A, MATCH(B1858, 声優一覧!B:B, 0)), "該当なし"))</f>
        <v>va_355</v>
      </c>
      <c r="B1858" s="1" t="str">
        <f ca="1">IFERROR(__xludf.DUMMYFUNCTION("""COMPUTED_VALUE"""),"佐藤悠雅")</f>
        <v>佐藤悠雅</v>
      </c>
      <c r="C1858" s="1" t="s">
        <v>151</v>
      </c>
      <c r="D1858" s="1" t="str">
        <f>IF(C1858="", "", IFERROR(VLOOKUP(C1858, 作品一覧!A:B, 2, FALSE), "該当なし"))</f>
        <v>STRANGE EDEN</v>
      </c>
      <c r="E1858" s="1" t="str">
        <f ca="1">IFERROR(__xludf.DUMMYFUNCTION("""COMPUTED_VALUE"""),"橘孝星")</f>
        <v>橘孝星</v>
      </c>
      <c r="F1858" s="14" t="s">
        <v>2676</v>
      </c>
    </row>
    <row r="1859" spans="1:6" ht="15">
      <c r="A1859" s="1" t="str">
        <f t="array" aca="1" ref="A1859" ca="1">IF(B1859="", "", IFERROR(INDEX(声優一覧!A:A, MATCH(B1859, 声優一覧!B:B, 0)), "該当なし"))</f>
        <v>va_110</v>
      </c>
      <c r="B1859" s="1" t="str">
        <f ca="1">IFERROR(__xludf.DUMMYFUNCTION("""COMPUTED_VALUE"""),"高橋英則")</f>
        <v>高橋英則</v>
      </c>
      <c r="C1859" s="1" t="s">
        <v>151</v>
      </c>
      <c r="D1859" s="1" t="str">
        <f>IF(C1859="", "", IFERROR(VLOOKUP(C1859, 作品一覧!A:B, 2, FALSE), "該当なし"))</f>
        <v>STRANGE EDEN</v>
      </c>
      <c r="E1859" s="1" t="str">
        <f ca="1">IFERROR(__xludf.DUMMYFUNCTION("""COMPUTED_VALUE"""),"慈樹修一郎")</f>
        <v>慈樹修一郎</v>
      </c>
      <c r="F1859" s="14" t="s">
        <v>2677</v>
      </c>
    </row>
    <row r="1860" spans="1:6" ht="15">
      <c r="A1860" s="1" t="str">
        <f t="array" aca="1" ref="A1860" ca="1">IF(B1860="", "", IFERROR(INDEX(声優一覧!A:A, MATCH(B1860, 声優一覧!B:B, 0)), "該当なし"))</f>
        <v>va_076</v>
      </c>
      <c r="B1860" s="1" t="str">
        <f ca="1">IFERROR(__xludf.DUMMYFUNCTION("""COMPUTED_VALUE"""),"小松昌平")</f>
        <v>小松昌平</v>
      </c>
      <c r="C1860" s="1" t="s">
        <v>151</v>
      </c>
      <c r="D1860" s="1" t="str">
        <f>IF(C1860="", "", IFERROR(VLOOKUP(C1860, 作品一覧!A:B, 2, FALSE), "該当なし"))</f>
        <v>STRANGE EDEN</v>
      </c>
      <c r="E1860" s="1" t="str">
        <f ca="1">IFERROR(__xludf.DUMMYFUNCTION("""COMPUTED_VALUE"""),"瑠何")</f>
        <v>瑠何</v>
      </c>
      <c r="F1860" s="14" t="s">
        <v>2678</v>
      </c>
    </row>
    <row r="1861" spans="1:6" ht="15">
      <c r="A1861" s="1" t="str">
        <f t="array" aca="1" ref="A1861" ca="1">IF(B1861="", "", IFERROR(INDEX(声優一覧!A:A, MATCH(B1861, 声優一覧!B:B, 0)), "該当なし"))</f>
        <v>va_166</v>
      </c>
      <c r="B1861" s="1" t="str">
        <f ca="1">IFERROR(__xludf.DUMMYFUNCTION("""COMPUTED_VALUE"""),"堀江瞬")</f>
        <v>堀江瞬</v>
      </c>
      <c r="C1861" s="1" t="s">
        <v>151</v>
      </c>
      <c r="D1861" s="1" t="str">
        <f>IF(C1861="", "", IFERROR(VLOOKUP(C1861, 作品一覧!A:B, 2, FALSE), "該当なし"))</f>
        <v>STRANGE EDEN</v>
      </c>
      <c r="E1861" s="1" t="str">
        <f ca="1">IFERROR(__xludf.DUMMYFUNCTION("""COMPUTED_VALUE"""),"卯月雛太")</f>
        <v>卯月雛太</v>
      </c>
      <c r="F1861" s="14" t="s">
        <v>2679</v>
      </c>
    </row>
    <row r="1862" spans="1:6" ht="15">
      <c r="A1862" s="1" t="str">
        <f t="array" aca="1" ref="A1862" ca="1">IF(B1862="", "", IFERROR(INDEX(声優一覧!A:A, MATCH(B1862, 声優一覧!B:B, 0)), "該当なし"))</f>
        <v>va_169</v>
      </c>
      <c r="B1862" s="1" t="str">
        <f ca="1">IFERROR(__xludf.DUMMYFUNCTION("""COMPUTED_VALUE"""),"前野智昭")</f>
        <v>前野智昭</v>
      </c>
      <c r="C1862" s="1" t="s">
        <v>151</v>
      </c>
      <c r="D1862" s="1" t="str">
        <f>IF(C1862="", "", IFERROR(VLOOKUP(C1862, 作品一覧!A:B, 2, FALSE), "該当なし"))</f>
        <v>STRANGE EDEN</v>
      </c>
      <c r="E1862" s="1" t="str">
        <f ca="1">IFERROR(__xludf.DUMMYFUNCTION("""COMPUTED_VALUE"""),"桜仁")</f>
        <v>桜仁</v>
      </c>
      <c r="F1862" s="14" t="s">
        <v>2680</v>
      </c>
    </row>
    <row r="1863" spans="1:6" ht="15">
      <c r="A1863" s="1" t="str">
        <f t="array" aca="1" ref="A1863" ca="1">IF(B1863="", "", IFERROR(INDEX(声優一覧!A:A, MATCH(B1863, 声優一覧!B:B, 0)), "該当なし"))</f>
        <v>va_038</v>
      </c>
      <c r="B1863" s="1" t="str">
        <f ca="1">IFERROR(__xludf.DUMMYFUNCTION("""COMPUTED_VALUE"""),"小笠原仁")</f>
        <v>小笠原仁</v>
      </c>
      <c r="C1863" s="1" t="s">
        <v>151</v>
      </c>
      <c r="D1863" s="1" t="str">
        <f>IF(C1863="", "", IFERROR(VLOOKUP(C1863, 作品一覧!A:B, 2, FALSE), "該当なし"))</f>
        <v>STRANGE EDEN</v>
      </c>
      <c r="E1863" s="1" t="str">
        <f ca="1">IFERROR(__xludf.DUMMYFUNCTION("""COMPUTED_VALUE"""),"荊緋嵐")</f>
        <v>荊緋嵐</v>
      </c>
      <c r="F1863" s="14" t="s">
        <v>2681</v>
      </c>
    </row>
    <row r="1864" spans="1:6" ht="15">
      <c r="A1864" s="1" t="str">
        <f t="array" aca="1" ref="A1864" ca="1">IF(B1864="", "", IFERROR(INDEX(声優一覧!A:A, MATCH(B1864, 声優一覧!B:B, 0)), "該当なし"))</f>
        <v>va_391</v>
      </c>
      <c r="B1864" s="1" t="str">
        <f ca="1">IFERROR(__xludf.DUMMYFUNCTION("""COMPUTED_VALUE"""),"義村優")</f>
        <v>義村優</v>
      </c>
      <c r="C1864" s="1" t="s">
        <v>151</v>
      </c>
      <c r="D1864" s="1" t="str">
        <f>IF(C1864="", "", IFERROR(VLOOKUP(C1864, 作品一覧!A:B, 2, FALSE), "該当なし"))</f>
        <v>STRANGE EDEN</v>
      </c>
      <c r="E1864" s="1" t="str">
        <f ca="1">IFERROR(__xludf.DUMMYFUNCTION("""COMPUTED_VALUE"""),"咬")</f>
        <v>咬</v>
      </c>
      <c r="F1864" s="14" t="s">
        <v>2682</v>
      </c>
    </row>
    <row r="1865" spans="1:6" ht="15">
      <c r="A1865" s="1" t="str">
        <f t="array" aca="1" ref="A1865" ca="1">IF(B1865="", "", IFERROR(INDEX(声優一覧!A:A, MATCH(B1865, 声優一覧!B:B, 0)), "該当なし"))</f>
        <v>va_392</v>
      </c>
      <c r="B1865" s="1" t="str">
        <f ca="1">IFERROR(__xludf.DUMMYFUNCTION("""COMPUTED_VALUE"""),"長岡龍歩")</f>
        <v>長岡龍歩</v>
      </c>
      <c r="C1865" s="1" t="s">
        <v>151</v>
      </c>
      <c r="D1865" s="1" t="str">
        <f>IF(C1865="", "", IFERROR(VLOOKUP(C1865, 作品一覧!A:B, 2, FALSE), "該当なし"))</f>
        <v>STRANGE EDEN</v>
      </c>
      <c r="E1865" s="1" t="str">
        <f ca="1">IFERROR(__xludf.DUMMYFUNCTION("""COMPUTED_VALUE"""),"由良野道貴")</f>
        <v>由良野道貴</v>
      </c>
      <c r="F1865" s="14" t="s">
        <v>2683</v>
      </c>
    </row>
    <row r="1866" spans="1:6" ht="15">
      <c r="A1866" s="1" t="str">
        <f t="array" aca="1" ref="A1866" ca="1">IF(B1866="", "", IFERROR(INDEX(声優一覧!A:A, MATCH(B1866, 声優一覧!B:B, 0)), "該当なし"))</f>
        <v>va_129</v>
      </c>
      <c r="B1866" s="1" t="str">
        <f ca="1">IFERROR(__xludf.DUMMYFUNCTION("""COMPUTED_VALUE"""),"土岐隼一")</f>
        <v>土岐隼一</v>
      </c>
      <c r="C1866" s="1" t="s">
        <v>151</v>
      </c>
      <c r="D1866" s="1" t="str">
        <f>IF(C1866="", "", IFERROR(VLOOKUP(C1866, 作品一覧!A:B, 2, FALSE), "該当なし"))</f>
        <v>STRANGE EDEN</v>
      </c>
      <c r="E1866" s="1" t="str">
        <f ca="1">IFERROR(__xludf.DUMMYFUNCTION("""COMPUTED_VALUE"""),"鱗")</f>
        <v>鱗</v>
      </c>
      <c r="F1866" s="14" t="s">
        <v>2684</v>
      </c>
    </row>
    <row r="1867" spans="1:6" ht="15">
      <c r="A1867" s="1" t="str">
        <f t="array" aca="1" ref="A1867" ca="1">IF(B1867="", "", IFERROR(INDEX(声優一覧!A:A, MATCH(B1867, 声優一覧!B:B, 0)), "該当なし"))</f>
        <v>va_093</v>
      </c>
      <c r="B1867" s="1" t="str">
        <f ca="1">IFERROR(__xludf.DUMMYFUNCTION("""COMPUTED_VALUE"""),"重松千晴")</f>
        <v>重松千晴</v>
      </c>
      <c r="C1867" s="1" t="s">
        <v>151</v>
      </c>
      <c r="D1867" s="1" t="str">
        <f>IF(C1867="", "", IFERROR(VLOOKUP(C1867, 作品一覧!A:B, 2, FALSE), "該当なし"))</f>
        <v>STRANGE EDEN</v>
      </c>
      <c r="E1867" s="1" t="str">
        <f ca="1">IFERROR(__xludf.DUMMYFUNCTION("""COMPUTED_VALUE"""),"真夜")</f>
        <v>真夜</v>
      </c>
      <c r="F1867" s="14" t="s">
        <v>2685</v>
      </c>
    </row>
    <row r="1868" spans="1:6" ht="15">
      <c r="A1868" s="1" t="str">
        <f t="array" aca="1" ref="A1868" ca="1">IF(B1868="", "", IFERROR(INDEX(声優一覧!A:A, MATCH(B1868, 声優一覧!B:B, 0)), "該当なし"))</f>
        <v>va_193</v>
      </c>
      <c r="B1868" s="1" t="str">
        <f ca="1">IFERROR(__xludf.DUMMYFUNCTION("""COMPUTED_VALUE"""),"山下大輝")</f>
        <v>山下大輝</v>
      </c>
      <c r="C1868" s="1" t="s">
        <v>211</v>
      </c>
      <c r="D1868" s="1" t="str">
        <f>IF(C1868="", "", IFERROR(VLOOKUP(C1868, 作品一覧!A:B, 2, FALSE), "該当なし"))</f>
        <v>VS AMBIVALENZ</v>
      </c>
      <c r="E1868" s="1" t="str">
        <f ca="1">IFERROR(__xludf.DUMMYFUNCTION("""COMPUTED_VALUE"""),"シンバ／ミケラ")</f>
        <v>シンバ／ミケラ</v>
      </c>
      <c r="F1868" s="14" t="s">
        <v>2686</v>
      </c>
    </row>
    <row r="1869" spans="1:6" ht="15">
      <c r="A1869" s="1" t="str">
        <f t="array" aca="1" ref="A1869" ca="1">IF(B1869="", "", IFERROR(INDEX(声優一覧!A:A, MATCH(B1869, 声優一覧!B:B, 0)), "該当なし"))</f>
        <v>va_073</v>
      </c>
      <c r="B1869" s="1" t="str">
        <f ca="1">IFERROR(__xludf.DUMMYFUNCTION("""COMPUTED_VALUE"""),"小林親弘")</f>
        <v>小林親弘</v>
      </c>
      <c r="C1869" s="1" t="s">
        <v>211</v>
      </c>
      <c r="D1869" s="1" t="str">
        <f>IF(C1869="", "", IFERROR(VLOOKUP(C1869, 作品一覧!A:B, 2, FALSE), "該当なし"))</f>
        <v>VS AMBIVALENZ</v>
      </c>
      <c r="E1869" s="1" t="str">
        <f ca="1">IFERROR(__xludf.DUMMYFUNCTION("""COMPUTED_VALUE"""),"アカシ／メグル")</f>
        <v>アカシ／メグル</v>
      </c>
      <c r="F1869" s="14" t="s">
        <v>2687</v>
      </c>
    </row>
    <row r="1870" spans="1:6" ht="15">
      <c r="A1870" s="1" t="str">
        <f t="array" aca="1" ref="A1870" ca="1">IF(B1870="", "", IFERROR(INDEX(声優一覧!A:A, MATCH(B1870, 声優一覧!B:B, 0)), "該当なし"))</f>
        <v>va_112</v>
      </c>
      <c r="B1870" s="1" t="str">
        <f ca="1">IFERROR(__xludf.DUMMYFUNCTION("""COMPUTED_VALUE"""),"武内駿輔")</f>
        <v>武内駿輔</v>
      </c>
      <c r="C1870" s="1" t="s">
        <v>211</v>
      </c>
      <c r="D1870" s="1" t="str">
        <f>IF(C1870="", "", IFERROR(VLOOKUP(C1870, 作品一覧!A:B, 2, FALSE), "該当なし"))</f>
        <v>VS AMBIVALENZ</v>
      </c>
      <c r="E1870" s="1" t="str">
        <f ca="1">IFERROR(__xludf.DUMMYFUNCTION("""COMPUTED_VALUE"""),"リアム／ラブノスケ")</f>
        <v>リアム／ラブノスケ</v>
      </c>
      <c r="F1870" s="14" t="s">
        <v>2688</v>
      </c>
    </row>
    <row r="1871" spans="1:6" ht="15">
      <c r="A1871" s="1" t="str">
        <f t="array" aca="1" ref="A1871" ca="1">IF(B1871="", "", IFERROR(INDEX(声優一覧!A:A, MATCH(B1871, 声優一覧!B:B, 0)), "該当なし"))</f>
        <v>va_004</v>
      </c>
      <c r="B1871" s="1" t="str">
        <f ca="1">IFERROR(__xludf.DUMMYFUNCTION("""COMPUTED_VALUE"""),"浅沼晋太郎")</f>
        <v>浅沼晋太郎</v>
      </c>
      <c r="C1871" s="1" t="s">
        <v>211</v>
      </c>
      <c r="D1871" s="1" t="str">
        <f>IF(C1871="", "", IFERROR(VLOOKUP(C1871, 作品一覧!A:B, 2, FALSE), "該当なし"))</f>
        <v>VS AMBIVALENZ</v>
      </c>
      <c r="E1871" s="1" t="str">
        <f ca="1">IFERROR(__xludf.DUMMYFUNCTION("""COMPUTED_VALUE"""),"ナゴム／キュー")</f>
        <v>ナゴム／キュー</v>
      </c>
      <c r="F1871" s="14" t="s">
        <v>2689</v>
      </c>
    </row>
    <row r="1872" spans="1:6" ht="15">
      <c r="A1872" s="1" t="str">
        <f t="array" aca="1" ref="A1872" ca="1">IF(B1872="", "", IFERROR(INDEX(声優一覧!A:A, MATCH(B1872, 声優一覧!B:B, 0)), "該当なし"))</f>
        <v>va_161</v>
      </c>
      <c r="B1872" s="1" t="str">
        <f ca="1">IFERROR(__xludf.DUMMYFUNCTION("""COMPUTED_VALUE"""),"古川慎")</f>
        <v>古川慎</v>
      </c>
      <c r="C1872" s="1" t="s">
        <v>211</v>
      </c>
      <c r="D1872" s="1" t="str">
        <f>IF(C1872="", "", IFERROR(VLOOKUP(C1872, 作品一覧!A:B, 2, FALSE), "該当なし"))</f>
        <v>VS AMBIVALENZ</v>
      </c>
      <c r="E1872" s="1" t="str">
        <f ca="1">IFERROR(__xludf.DUMMYFUNCTION("""COMPUTED_VALUE"""),"39YEAH↗︎／レイ")</f>
        <v>39YEAH↗︎／レイ</v>
      </c>
      <c r="F1872" s="14" t="s">
        <v>2690</v>
      </c>
    </row>
    <row r="1873" spans="1:6" ht="15">
      <c r="A1873" s="1" t="str">
        <f t="array" aca="1" ref="A1873" ca="1">IF(B1873="", "", IFERROR(INDEX(声優一覧!A:A, MATCH(B1873, 声優一覧!B:B, 0)), "該当なし"))</f>
        <v>va_189</v>
      </c>
      <c r="B1873" s="1" t="str">
        <f ca="1">IFERROR(__xludf.DUMMYFUNCTION("""COMPUTED_VALUE"""),"安元洋貴")</f>
        <v>安元洋貴</v>
      </c>
      <c r="C1873" s="1" t="s">
        <v>211</v>
      </c>
      <c r="D1873" s="1" t="str">
        <f>IF(C1873="", "", IFERROR(VLOOKUP(C1873, 作品一覧!A:B, 2, FALSE), "該当なし"))</f>
        <v>VS AMBIVALENZ</v>
      </c>
      <c r="E1873" s="1" t="str">
        <f ca="1">IFERROR(__xludf.DUMMYFUNCTION("""COMPUTED_VALUE"""),"イナモト")</f>
        <v>イナモト</v>
      </c>
      <c r="F1873" s="14" t="s">
        <v>2691</v>
      </c>
    </row>
    <row r="1874" spans="1:6" ht="15">
      <c r="A1874" s="1" t="str">
        <f t="array" aca="1" ref="A1874" ca="1">IF(B1874="", "", IFERROR(INDEX(声優一覧!A:A, MATCH(B1874, 声優一覧!B:B, 0)), "該当なし"))</f>
        <v>va_122</v>
      </c>
      <c r="B1874" s="1" t="str">
        <f ca="1">IFERROR(__xludf.DUMMYFUNCTION("""COMPUTED_VALUE"""),"土田玲央")</f>
        <v>土田玲央</v>
      </c>
      <c r="C1874" s="1" t="s">
        <v>211</v>
      </c>
      <c r="D1874" s="1" t="str">
        <f>IF(C1874="", "", IFERROR(VLOOKUP(C1874, 作品一覧!A:B, 2, FALSE), "該当なし"))</f>
        <v>VS AMBIVALENZ</v>
      </c>
      <c r="E1874" s="1" t="str">
        <f ca="1">IFERROR(__xludf.DUMMYFUNCTION("""COMPUTED_VALUE"""),"タイヨウ／スバル")</f>
        <v>タイヨウ／スバル</v>
      </c>
      <c r="F1874" s="14" t="s">
        <v>2692</v>
      </c>
    </row>
    <row r="1875" spans="1:6" ht="15">
      <c r="A1875" s="1" t="str">
        <f t="array" aca="1" ref="A1875" ca="1">IF(B1875="", "", IFERROR(INDEX(声優一覧!A:A, MATCH(B1875, 声優一覧!B:B, 0)), "該当なし"))</f>
        <v>va_058</v>
      </c>
      <c r="B1875" s="1" t="str">
        <f ca="1">IFERROR(__xludf.DUMMYFUNCTION("""COMPUTED_VALUE"""),"河西健吾")</f>
        <v>河西健吾</v>
      </c>
      <c r="C1875" s="1" t="s">
        <v>211</v>
      </c>
      <c r="D1875" s="1" t="str">
        <f>IF(C1875="", "", IFERROR(VLOOKUP(C1875, 作品一覧!A:B, 2, FALSE), "該当なし"))</f>
        <v>VS AMBIVALENZ</v>
      </c>
      <c r="E1875" s="1" t="str">
        <f ca="1">IFERROR(__xludf.DUMMYFUNCTION("""COMPUTED_VALUE"""),"イッセイ／ミオ")</f>
        <v>イッセイ／ミオ</v>
      </c>
      <c r="F1875" s="14" t="s">
        <v>2693</v>
      </c>
    </row>
    <row r="1876" spans="1:6" ht="15">
      <c r="A1876" s="1" t="str">
        <f t="array" aca="1" ref="A1876" ca="1">IF(B1876="", "", IFERROR(INDEX(声優一覧!A:A, MATCH(B1876, 声優一覧!B:B, 0)), "該当なし"))</f>
        <v>va_072</v>
      </c>
      <c r="B1876" s="1" t="str">
        <f ca="1">IFERROR(__xludf.DUMMYFUNCTION("""COMPUTED_VALUE"""),"小林千晃")</f>
        <v>小林千晃</v>
      </c>
      <c r="C1876" s="1" t="s">
        <v>211</v>
      </c>
      <c r="D1876" s="1" t="str">
        <f>IF(C1876="", "", IFERROR(VLOOKUP(C1876, 作品一覧!A:B, 2, FALSE), "該当なし"))</f>
        <v>VS AMBIVALENZ</v>
      </c>
      <c r="E1876" s="1" t="str">
        <f ca="1">IFERROR(__xludf.DUMMYFUNCTION("""COMPUTED_VALUE"""),"ジンタロウ／シオン")</f>
        <v>ジンタロウ／シオン</v>
      </c>
      <c r="F1876" s="14" t="s">
        <v>2694</v>
      </c>
    </row>
    <row r="1877" spans="1:6" ht="15">
      <c r="A1877" s="1" t="str">
        <f t="array" aca="1" ref="A1877" ca="1">IF(B1877="", "", IFERROR(INDEX(声優一覧!A:A, MATCH(B1877, 声優一覧!B:B, 0)), "該当なし"))</f>
        <v>va_183</v>
      </c>
      <c r="B1877" s="1" t="str">
        <f ca="1">IFERROR(__xludf.DUMMYFUNCTION("""COMPUTED_VALUE"""),"村瀬歩")</f>
        <v>村瀬歩</v>
      </c>
      <c r="C1877" s="1" t="s">
        <v>211</v>
      </c>
      <c r="D1877" s="1" t="str">
        <f>IF(C1877="", "", IFERROR(VLOOKUP(C1877, 作品一覧!A:B, 2, FALSE), "該当なし"))</f>
        <v>VS AMBIVALENZ</v>
      </c>
      <c r="E1877" s="1" t="str">
        <f ca="1">IFERROR(__xludf.DUMMYFUNCTION("""COMPUTED_VALUE"""),"アウグリ／フタバ")</f>
        <v>アウグリ／フタバ</v>
      </c>
      <c r="F1877" s="14" t="s">
        <v>2695</v>
      </c>
    </row>
    <row r="1878" spans="1:6" ht="15">
      <c r="A1878" s="1" t="str">
        <f t="array" aca="1" ref="A1878" ca="1">IF(B1878="", "", IFERROR(INDEX(声優一覧!A:A, MATCH(B1878, 声優一覧!B:B, 0)), "該当なし"))</f>
        <v>va_147</v>
      </c>
      <c r="B1878" s="1" t="str">
        <f ca="1">IFERROR(__xludf.DUMMYFUNCTION("""COMPUTED_VALUE"""),"畠中祐")</f>
        <v>畠中祐</v>
      </c>
      <c r="C1878" s="1" t="s">
        <v>211</v>
      </c>
      <c r="D1878" s="1" t="str">
        <f>IF(C1878="", "", IFERROR(VLOOKUP(C1878, 作品一覧!A:B, 2, FALSE), "該当なし"))</f>
        <v>VS AMBIVALENZ</v>
      </c>
      <c r="E1878" s="1" t="str">
        <f ca="1">IFERROR(__xludf.DUMMYFUNCTION("""COMPUTED_VALUE"""),"ライオン／カズ")</f>
        <v>ライオン／カズ</v>
      </c>
      <c r="F1878" s="14" t="s">
        <v>2696</v>
      </c>
    </row>
    <row r="1879" spans="1:6" ht="15">
      <c r="A1879" s="1" t="str">
        <f t="array" aca="1" ref="A1879" ca="1">IF(B1879="", "", IFERROR(INDEX(声優一覧!A:A, MATCH(B1879, 声優一覧!B:B, 0)), "該当なし"))</f>
        <v>va_180</v>
      </c>
      <c r="B1879" s="1" t="str">
        <f ca="1">IFERROR(__xludf.DUMMYFUNCTION("""COMPUTED_VALUE"""),"緑川光")</f>
        <v>緑川光</v>
      </c>
      <c r="C1879" s="1" t="s">
        <v>153</v>
      </c>
      <c r="D1879" s="1" t="str">
        <f>IF(C1879="", "", IFERROR(VLOOKUP(C1879, 作品一覧!A:B, 2, FALSE), "該当なし"))</f>
        <v xml:space="preserve">Starry☆Sky </v>
      </c>
      <c r="E1879" s="1" t="str">
        <f ca="1">IFERROR(__xludf.DUMMYFUNCTION("""COMPUTED_VALUE"""),"土萌羊")</f>
        <v>土萌羊</v>
      </c>
      <c r="F1879" s="14" t="s">
        <v>2697</v>
      </c>
    </row>
    <row r="1880" spans="1:6" ht="15">
      <c r="A1880" s="1" t="str">
        <f t="array" aca="1" ref="A1880" ca="1">IF(B1880="", "", IFERROR(INDEX(声優一覧!A:A, MATCH(B1880, 声優一覧!B:B, 0)), "該当なし"))</f>
        <v>va_238</v>
      </c>
      <c r="B1880" s="1" t="str">
        <f ca="1">IFERROR(__xludf.DUMMYFUNCTION("""COMPUTED_VALUE"""),"小野大輔")</f>
        <v>小野大輔</v>
      </c>
      <c r="C1880" s="1" t="s">
        <v>153</v>
      </c>
      <c r="D1880" s="1" t="str">
        <f>IF(C1880="", "", IFERROR(VLOOKUP(C1880, 作品一覧!A:B, 2, FALSE), "該当なし"))</f>
        <v xml:space="preserve">Starry☆Sky </v>
      </c>
      <c r="E1880" s="1" t="str">
        <f ca="1">IFERROR(__xludf.DUMMYFUNCTION("""COMPUTED_VALUE"""),"東月錫也")</f>
        <v>東月錫也</v>
      </c>
      <c r="F1880" s="14" t="s">
        <v>2698</v>
      </c>
    </row>
    <row r="1881" spans="1:6" ht="15">
      <c r="A1881" s="1" t="str">
        <f t="array" aca="1" ref="A1881" ca="1">IF(B1881="", "", IFERROR(INDEX(声優一覧!A:A, MATCH(B1881, 声優一覧!B:B, 0)), "該当なし"))</f>
        <v>va_097</v>
      </c>
      <c r="B1881" s="1" t="str">
        <f ca="1">IFERROR(__xludf.DUMMYFUNCTION("""COMPUTED_VALUE"""),"杉田智和")</f>
        <v>杉田智和</v>
      </c>
      <c r="C1881" s="1" t="s">
        <v>153</v>
      </c>
      <c r="D1881" s="1" t="str">
        <f>IF(C1881="", "", IFERROR(VLOOKUP(C1881, 作品一覧!A:B, 2, FALSE), "該当なし"))</f>
        <v xml:space="preserve">Starry☆Sky </v>
      </c>
      <c r="E1881" s="1" t="str">
        <f ca="1">IFERROR(__xludf.DUMMYFUNCTION("""COMPUTED_VALUE"""),"七海哉太")</f>
        <v>七海哉太</v>
      </c>
      <c r="F1881" s="14" t="s">
        <v>2699</v>
      </c>
    </row>
    <row r="1882" spans="1:6" ht="15">
      <c r="A1882" s="1" t="str">
        <f t="array" aca="1" ref="A1882" ca="1">IF(B1882="", "", IFERROR(INDEX(声優一覧!A:A, MATCH(B1882, 声優一覧!B:B, 0)), "該当なし"))</f>
        <v>va_168</v>
      </c>
      <c r="B1882" s="1" t="str">
        <f ca="1">IFERROR(__xludf.DUMMYFUNCTION("""COMPUTED_VALUE"""),"保志総一朗")</f>
        <v>保志総一朗</v>
      </c>
      <c r="C1882" s="1" t="s">
        <v>153</v>
      </c>
      <c r="D1882" s="1" t="str">
        <f>IF(C1882="", "", IFERROR(VLOOKUP(C1882, 作品一覧!A:B, 2, FALSE), "該当なし"))</f>
        <v xml:space="preserve">Starry☆Sky </v>
      </c>
      <c r="E1882" s="1" t="str">
        <f ca="1">IFERROR(__xludf.DUMMYFUNCTION("""COMPUTED_VALUE"""),"金久保誉")</f>
        <v>金久保誉</v>
      </c>
      <c r="F1882" s="14" t="s">
        <v>2700</v>
      </c>
    </row>
    <row r="1883" spans="1:6" ht="15">
      <c r="A1883" s="1" t="str">
        <f t="array" aca="1" ref="A1883" ca="1">IF(B1883="", "", IFERROR(INDEX(声優一覧!A:A, MATCH(B1883, 声優一覧!B:B, 0)), "該当なし"))</f>
        <v>va_298</v>
      </c>
      <c r="B1883" s="1" t="str">
        <f ca="1">IFERROR(__xludf.DUMMYFUNCTION("""COMPUTED_VALUE"""),"神谷浩史")</f>
        <v>神谷浩史</v>
      </c>
      <c r="C1883" s="1" t="s">
        <v>153</v>
      </c>
      <c r="D1883" s="1" t="str">
        <f>IF(C1883="", "", IFERROR(VLOOKUP(C1883, 作品一覧!A:B, 2, FALSE), "該当なし"))</f>
        <v xml:space="preserve">Starry☆Sky </v>
      </c>
      <c r="E1883" s="1" t="str">
        <f ca="1">IFERROR(__xludf.DUMMYFUNCTION("""COMPUTED_VALUE"""),"宮地龍之介")</f>
        <v>宮地龍之介</v>
      </c>
      <c r="F1883" s="14" t="s">
        <v>2701</v>
      </c>
    </row>
    <row r="1884" spans="1:6" ht="15">
      <c r="A1884" s="1" t="str">
        <f t="array" aca="1" ref="A1884" ca="1">IF(B1884="", "", IFERROR(INDEX(声優一覧!A:A, MATCH(B1884, 声優一覧!B:B, 0)), "該当なし"))</f>
        <v>va_160</v>
      </c>
      <c r="B1884" s="1" t="str">
        <f ca="1">IFERROR(__xludf.DUMMYFUNCTION("""COMPUTED_VALUE"""),"福山潤")</f>
        <v>福山潤</v>
      </c>
      <c r="C1884" s="1" t="s">
        <v>153</v>
      </c>
      <c r="D1884" s="1" t="str">
        <f>IF(C1884="", "", IFERROR(VLOOKUP(C1884, 作品一覧!A:B, 2, FALSE), "該当なし"))</f>
        <v xml:space="preserve">Starry☆Sky </v>
      </c>
      <c r="E1884" s="1" t="str">
        <f ca="1">IFERROR(__xludf.DUMMYFUNCTION("""COMPUTED_VALUE"""),"木ノ瀬梓")</f>
        <v>木ノ瀬梓</v>
      </c>
      <c r="F1884" s="14" t="s">
        <v>2702</v>
      </c>
    </row>
    <row r="1885" spans="1:6" ht="15">
      <c r="A1885" s="1" t="str">
        <f t="array" aca="1" ref="A1885" ca="1">IF(B1885="", "", IFERROR(INDEX(声優一覧!A:A, MATCH(B1885, 声優一覧!B:B, 0)), "該当なし"))</f>
        <v>va_137</v>
      </c>
      <c r="B1885" s="1" t="str">
        <f ca="1">IFERROR(__xludf.DUMMYFUNCTION("""COMPUTED_VALUE"""),"中村悠一")</f>
        <v>中村悠一</v>
      </c>
      <c r="C1885" s="1" t="s">
        <v>153</v>
      </c>
      <c r="D1885" s="1" t="str">
        <f>IF(C1885="", "", IFERROR(VLOOKUP(C1885, 作品一覧!A:B, 2, FALSE), "該当なし"))</f>
        <v xml:space="preserve">Starry☆Sky </v>
      </c>
      <c r="E1885" s="1" t="str">
        <f ca="1">IFERROR(__xludf.DUMMYFUNCTION("""COMPUTED_VALUE"""),"不知火一樹")</f>
        <v>不知火一樹</v>
      </c>
      <c r="F1885" s="14" t="s">
        <v>2703</v>
      </c>
    </row>
    <row r="1886" spans="1:6" ht="15">
      <c r="A1886" s="1" t="str">
        <f t="array" aca="1" ref="A1886" ca="1">IF(B1886="", "", IFERROR(INDEX(声優一覧!A:A, MATCH(B1886, 声優一覧!B:B, 0)), "該当なし"))</f>
        <v>va_157</v>
      </c>
      <c r="B1886" s="1" t="str">
        <f ca="1">IFERROR(__xludf.DUMMYFUNCTION("""COMPUTED_VALUE"""),"平川大輔")</f>
        <v>平川大輔</v>
      </c>
      <c r="C1886" s="1" t="s">
        <v>153</v>
      </c>
      <c r="D1886" s="1" t="str">
        <f>IF(C1886="", "", IFERROR(VLOOKUP(C1886, 作品一覧!A:B, 2, FALSE), "該当なし"))</f>
        <v xml:space="preserve">Starry☆Sky </v>
      </c>
      <c r="E1886" s="1" t="str">
        <f ca="1">IFERROR(__xludf.DUMMYFUNCTION("""COMPUTED_VALUE"""),"青空颯斗")</f>
        <v>青空颯斗</v>
      </c>
      <c r="F1886" s="14" t="s">
        <v>2704</v>
      </c>
    </row>
    <row r="1887" spans="1:6" ht="15">
      <c r="A1887" s="1" t="str">
        <f t="array" aca="1" ref="A1887" ca="1">IF(B1887="", "", IFERROR(INDEX(声優一覧!A:A, MATCH(B1887, 声優一覧!B:B, 0)), "該当なし"))</f>
        <v>va_227</v>
      </c>
      <c r="B1887" s="1" t="str">
        <f ca="1">IFERROR(__xludf.DUMMYFUNCTION("""COMPUTED_VALUE"""),"鈴村健一")</f>
        <v>鈴村健一</v>
      </c>
      <c r="C1887" s="1" t="s">
        <v>153</v>
      </c>
      <c r="D1887" s="1" t="str">
        <f>IF(C1887="", "", IFERROR(VLOOKUP(C1887, 作品一覧!A:B, 2, FALSE), "該当なし"))</f>
        <v xml:space="preserve">Starry☆Sky </v>
      </c>
      <c r="E1887" s="1" t="str">
        <f ca="1">IFERROR(__xludf.DUMMYFUNCTION("""COMPUTED_VALUE"""),"天羽翼")</f>
        <v>天羽翼</v>
      </c>
      <c r="F1887" s="14" t="s">
        <v>2705</v>
      </c>
    </row>
    <row r="1888" spans="1:6" ht="15">
      <c r="A1888" s="1" t="str">
        <f t="array" aca="1" ref="A1888" ca="1">IF(B1888="", "", IFERROR(INDEX(声優一覧!A:A, MATCH(B1888, 声優一覧!B:B, 0)), "該当なし"))</f>
        <v>va_265</v>
      </c>
      <c r="B1888" s="1" t="str">
        <f ca="1">IFERROR(__xludf.DUMMYFUNCTION("""COMPUTED_VALUE"""),"石田彰")</f>
        <v>石田彰</v>
      </c>
      <c r="C1888" s="1" t="s">
        <v>153</v>
      </c>
      <c r="D1888" s="1" t="str">
        <f>IF(C1888="", "", IFERROR(VLOOKUP(C1888, 作品一覧!A:B, 2, FALSE), "該当なし"))</f>
        <v xml:space="preserve">Starry☆Sky </v>
      </c>
      <c r="E1888" s="1" t="str">
        <f ca="1">IFERROR(__xludf.DUMMYFUNCTION("""COMPUTED_VALUE"""),"星月琥太郎")</f>
        <v>星月琥太郎</v>
      </c>
      <c r="F1888" s="14" t="s">
        <v>2706</v>
      </c>
    </row>
    <row r="1889" spans="1:6" ht="15">
      <c r="A1889" s="1" t="str">
        <f t="array" aca="1" ref="A1889" ca="1">IF(B1889="", "", IFERROR(INDEX(声優一覧!A:A, MATCH(B1889, 声優一覧!B:B, 0)), "該当なし"))</f>
        <v>va_302</v>
      </c>
      <c r="B1889" s="1" t="str">
        <f ca="1">IFERROR(__xludf.DUMMYFUNCTION("""COMPUTED_VALUE"""),"岸尾だいすけ")</f>
        <v>岸尾だいすけ</v>
      </c>
      <c r="C1889" s="1" t="s">
        <v>153</v>
      </c>
      <c r="D1889" s="1" t="str">
        <f>IF(C1889="", "", IFERROR(VLOOKUP(C1889, 作品一覧!A:B, 2, FALSE), "該当なし"))</f>
        <v xml:space="preserve">Starry☆Sky </v>
      </c>
      <c r="E1889" s="1" t="str">
        <f ca="1">IFERROR(__xludf.DUMMYFUNCTION("""COMPUTED_VALUE"""),"陽日直獅")</f>
        <v>陽日直獅</v>
      </c>
      <c r="F1889" s="14" t="s">
        <v>2707</v>
      </c>
    </row>
    <row r="1890" spans="1:6" ht="15">
      <c r="A1890" s="1" t="str">
        <f t="array" aca="1" ref="A1890" ca="1">IF(B1890="", "", IFERROR(INDEX(声優一覧!A:A, MATCH(B1890, 声優一覧!B:B, 0)), "該当なし"))</f>
        <v>va_344</v>
      </c>
      <c r="B1890" s="1" t="str">
        <f ca="1">IFERROR(__xludf.DUMMYFUNCTION("""COMPUTED_VALUE"""),"遊佐浩二")</f>
        <v>遊佐浩二</v>
      </c>
      <c r="C1890" s="1" t="s">
        <v>153</v>
      </c>
      <c r="D1890" s="1" t="str">
        <f>IF(C1890="", "", IFERROR(VLOOKUP(C1890, 作品一覧!A:B, 2, FALSE), "該当なし"))</f>
        <v xml:space="preserve">Starry☆Sky </v>
      </c>
      <c r="E1890" s="1" t="str">
        <f ca="1">IFERROR(__xludf.DUMMYFUNCTION("""COMPUTED_VALUE"""),"水嶋郁")</f>
        <v>水嶋郁</v>
      </c>
      <c r="F1890" s="14" t="s">
        <v>2708</v>
      </c>
    </row>
    <row r="1891" spans="1:6" ht="15">
      <c r="A1891" s="1" t="str">
        <f t="array" aca="1" ref="A1891" ca="1">IF(B1891="", "", IFERROR(INDEX(声優一覧!A:A, MATCH(B1891, 声優一覧!B:B, 0)), "該当なし"))</f>
        <v>va_102</v>
      </c>
      <c r="B1891" s="1" t="str">
        <f ca="1">IFERROR(__xludf.DUMMYFUNCTION("""COMPUTED_VALUE"""),"諏訪部順一")</f>
        <v>諏訪部順一</v>
      </c>
      <c r="C1891" s="1" t="s">
        <v>153</v>
      </c>
      <c r="D1891" s="1" t="str">
        <f>IF(C1891="", "", IFERROR(VLOOKUP(C1891, 作品一覧!A:B, 2, FALSE), "該当なし"))</f>
        <v xml:space="preserve">Starry☆Sky </v>
      </c>
      <c r="E1891" s="1" t="str">
        <f ca="1">IFERROR(__xludf.DUMMYFUNCTION("""COMPUTED_VALUE"""),"白銀桜士郎")</f>
        <v>白銀桜士郎</v>
      </c>
      <c r="F1891" s="14" t="s">
        <v>2709</v>
      </c>
    </row>
    <row r="1892" spans="1:6" ht="15">
      <c r="A1892" s="1" t="str">
        <f t="array" aca="1" ref="A1892" ca="1">IF(B1892="", "", IFERROR(INDEX(声優一覧!A:A, MATCH(B1892, 声優一覧!B:B, 0)), "該当なし"))</f>
        <v>va_185</v>
      </c>
      <c r="B1892" s="1" t="str">
        <f ca="1">IFERROR(__xludf.DUMMYFUNCTION("""COMPUTED_VALUE"""),"森久保祥太郎")</f>
        <v>森久保祥太郎</v>
      </c>
      <c r="C1892" s="1" t="s">
        <v>163</v>
      </c>
      <c r="D1892" s="1" t="str">
        <f>IF(C1892="", "", IFERROR(VLOOKUP(C1892, 作品一覧!A:B, 2, FALSE), "該当なし"))</f>
        <v>DYNAMIC CHORD</v>
      </c>
      <c r="E1892" s="1" t="str">
        <f ca="1">IFERROR(__xludf.DUMMYFUNCTION("""COMPUTED_VALUE"""),"YORITO")</f>
        <v>YORITO</v>
      </c>
      <c r="F1892" s="14" t="s">
        <v>2710</v>
      </c>
    </row>
    <row r="1893" spans="1:6" ht="15">
      <c r="A1893" s="1" t="str">
        <f t="array" aca="1" ref="A1893" ca="1">IF(B1893="", "", IFERROR(INDEX(声優一覧!A:A, MATCH(B1893, 声優一覧!B:B, 0)), "該当なし"))</f>
        <v>va_114</v>
      </c>
      <c r="B1893" s="1" t="str">
        <f ca="1">IFERROR(__xludf.DUMMYFUNCTION("""COMPUTED_VALUE"""),"立花慎之介")</f>
        <v>立花慎之介</v>
      </c>
      <c r="C1893" s="1" t="s">
        <v>163</v>
      </c>
      <c r="D1893" s="1" t="str">
        <f>IF(C1893="", "", IFERROR(VLOOKUP(C1893, 作品一覧!A:B, 2, FALSE), "該当なし"))</f>
        <v>DYNAMIC CHORD</v>
      </c>
      <c r="E1893" s="1" t="str">
        <f ca="1">IFERROR(__xludf.DUMMYFUNCTION("""COMPUTED_VALUE"""),"TOKIHARU")</f>
        <v>TOKIHARU</v>
      </c>
      <c r="F1893" s="14" t="s">
        <v>2711</v>
      </c>
    </row>
    <row r="1894" spans="1:6" ht="15">
      <c r="A1894" s="1" t="str">
        <f t="array" aca="1" ref="A1894" ca="1">IF(B1894="", "", IFERROR(INDEX(声優一覧!A:A, MATCH(B1894, 声優一覧!B:B, 0)), "該当なし"))</f>
        <v>va_013</v>
      </c>
      <c r="B1894" s="1" t="str">
        <f ca="1">IFERROR(__xludf.DUMMYFUNCTION("""COMPUTED_VALUE"""),"石川界人")</f>
        <v>石川界人</v>
      </c>
      <c r="C1894" s="1" t="s">
        <v>163</v>
      </c>
      <c r="D1894" s="1" t="str">
        <f>IF(C1894="", "", IFERROR(VLOOKUP(C1894, 作品一覧!A:B, 2, FALSE), "該当なし"))</f>
        <v>DYNAMIC CHORD</v>
      </c>
      <c r="E1894" s="1" t="str">
        <f ca="1">IFERROR(__xludf.DUMMYFUNCTION("""COMPUTED_VALUE"""),"YUU")</f>
        <v>YUU</v>
      </c>
      <c r="F1894" s="14" t="s">
        <v>2712</v>
      </c>
    </row>
    <row r="1895" spans="1:6" ht="15">
      <c r="A1895" s="1" t="str">
        <f t="array" aca="1" ref="A1895" ca="1">IF(B1895="", "", IFERROR(INDEX(声優一覧!A:A, MATCH(B1895, 声優一覧!B:B, 0)), "該当なし"))</f>
        <v>va_188</v>
      </c>
      <c r="B1895" s="1" t="str">
        <f ca="1">IFERROR(__xludf.DUMMYFUNCTION("""COMPUTED_VALUE"""),"八代拓")</f>
        <v>八代拓</v>
      </c>
      <c r="C1895" s="1" t="s">
        <v>163</v>
      </c>
      <c r="D1895" s="1" t="str">
        <f>IF(C1895="", "", IFERROR(VLOOKUP(C1895, 作品一覧!A:B, 2, FALSE), "該当なし"))</f>
        <v>DYNAMIC CHORD</v>
      </c>
      <c r="E1895" s="1" t="str">
        <f ca="1">IFERROR(__xludf.DUMMYFUNCTION("""COMPUTED_VALUE"""),"SHINOMUNE")</f>
        <v>SHINOMUNE</v>
      </c>
      <c r="F1895" s="14" t="s">
        <v>2713</v>
      </c>
    </row>
    <row r="1896" spans="1:6" ht="15">
      <c r="A1896" s="1" t="str">
        <f t="array" aca="1" ref="A1896" ca="1">IF(B1896="", "", IFERROR(INDEX(声優一覧!A:A, MATCH(B1896, 声優一覧!B:B, 0)), "該当なし"))</f>
        <v>va_125</v>
      </c>
      <c r="B1896" s="1" t="str">
        <f ca="1">IFERROR(__xludf.DUMMYFUNCTION("""COMPUTED_VALUE"""),"寺島拓篤")</f>
        <v>寺島拓篤</v>
      </c>
      <c r="C1896" s="1" t="s">
        <v>163</v>
      </c>
      <c r="D1896" s="1" t="str">
        <f>IF(C1896="", "", IFERROR(VLOOKUP(C1896, 作品一覧!A:B, 2, FALSE), "該当なし"))</f>
        <v>DYNAMIC CHORD</v>
      </c>
      <c r="E1896" s="1" t="str">
        <f ca="1">IFERROR(__xludf.DUMMYFUNCTION("""COMPUTED_VALUE"""),"檜山朔良")</f>
        <v>檜山朔良</v>
      </c>
      <c r="F1896" s="14" t="s">
        <v>2714</v>
      </c>
    </row>
    <row r="1897" spans="1:6" ht="15">
      <c r="A1897" s="1" t="str">
        <f t="array" aca="1" ref="A1897" ca="1">IF(B1897="", "", IFERROR(INDEX(声優一覧!A:A, MATCH(B1897, 声優一覧!B:B, 0)), "該当なし"))</f>
        <v>va_042</v>
      </c>
      <c r="B1897" s="1" t="str">
        <f ca="1">IFERROR(__xludf.DUMMYFUNCTION("""COMPUTED_VALUE"""),"岡本信彦")</f>
        <v>岡本信彦</v>
      </c>
      <c r="C1897" s="1" t="s">
        <v>163</v>
      </c>
      <c r="D1897" s="1" t="str">
        <f>IF(C1897="", "", IFERROR(VLOOKUP(C1897, 作品一覧!A:B, 2, FALSE), "該当なし"))</f>
        <v>DYNAMIC CHORD</v>
      </c>
      <c r="E1897" s="1" t="str">
        <f ca="1">IFERROR(__xludf.DUMMYFUNCTION("""COMPUTED_VALUE"""),"珠洲乃千哉")</f>
        <v>珠洲乃千哉</v>
      </c>
      <c r="F1897" s="14" t="s">
        <v>2715</v>
      </c>
    </row>
    <row r="1898" spans="1:6" ht="15">
      <c r="A1898" s="1" t="str">
        <f t="array" aca="1" ref="A1898" ca="1">IF(B1898="", "", IFERROR(INDEX(声優一覧!A:A, MATCH(B1898, 声優一覧!B:B, 0)), "該当なし"))</f>
        <v>va_048</v>
      </c>
      <c r="B1898" s="1" t="str">
        <f ca="1">IFERROR(__xludf.DUMMYFUNCTION("""COMPUTED_VALUE"""),"柿原徹也")</f>
        <v>柿原徹也</v>
      </c>
      <c r="C1898" s="1" t="s">
        <v>163</v>
      </c>
      <c r="D1898" s="1" t="str">
        <f>IF(C1898="", "", IFERROR(VLOOKUP(C1898, 作品一覧!A:B, 2, FALSE), "該当なし"))</f>
        <v>DYNAMIC CHORD</v>
      </c>
      <c r="E1898" s="1" t="str">
        <f ca="1">IFERROR(__xludf.DUMMYFUNCTION("""COMPUTED_VALUE"""),"結崎芹")</f>
        <v>結崎芹</v>
      </c>
      <c r="F1898" s="14" t="s">
        <v>2716</v>
      </c>
    </row>
    <row r="1899" spans="1:6" ht="15">
      <c r="A1899" s="1" t="str">
        <f t="array" aca="1" ref="A1899" ca="1">IF(B1899="", "", IFERROR(INDEX(声優一覧!A:A, MATCH(B1899, 声優一覧!B:B, 0)), "該当なし"))</f>
        <v>va_083</v>
      </c>
      <c r="B1899" s="1" t="str">
        <f ca="1">IFERROR(__xludf.DUMMYFUNCTION("""COMPUTED_VALUE"""),"斉藤壮馬")</f>
        <v>斉藤壮馬</v>
      </c>
      <c r="C1899" s="1" t="s">
        <v>163</v>
      </c>
      <c r="D1899" s="1" t="str">
        <f>IF(C1899="", "", IFERROR(VLOOKUP(C1899, 作品一覧!A:B, 2, FALSE), "該当なし"))</f>
        <v>DYNAMIC CHORD</v>
      </c>
      <c r="E1899" s="1" t="str">
        <f ca="1">IFERROR(__xludf.DUMMYFUNCTION("""COMPUTED_VALUE"""),"榛名宗太郎")</f>
        <v>榛名宗太郎</v>
      </c>
      <c r="F1899" s="14" t="s">
        <v>2717</v>
      </c>
    </row>
    <row r="1900" spans="1:6" ht="15">
      <c r="A1900" s="1" t="str">
        <f t="array" aca="1" ref="A1900" ca="1">IF(B1900="", "", IFERROR(INDEX(声優一覧!A:A, MATCH(B1900, 声優一覧!B:B, 0)), "該当なし"))</f>
        <v>va_035</v>
      </c>
      <c r="B1900" s="1" t="str">
        <f ca="1">IFERROR(__xludf.DUMMYFUNCTION("""COMPUTED_VALUE"""),"江口拓也")</f>
        <v>江口拓也</v>
      </c>
      <c r="C1900" s="1" t="s">
        <v>163</v>
      </c>
      <c r="D1900" s="1" t="str">
        <f>IF(C1900="", "", IFERROR(VLOOKUP(C1900, 作品一覧!A:B, 2, FALSE), "該当なし"))</f>
        <v>DYNAMIC CHORD</v>
      </c>
      <c r="E1900" s="1" t="str">
        <f ca="1">IFERROR(__xludf.DUMMYFUNCTION("""COMPUTED_VALUE"""),"香椎玲音")</f>
        <v>香椎玲音</v>
      </c>
      <c r="F1900" s="14" t="s">
        <v>2718</v>
      </c>
    </row>
    <row r="1901" spans="1:6" ht="15">
      <c r="A1901" s="1" t="str">
        <f t="array" aca="1" ref="A1901" ca="1">IF(B1901="", "", IFERROR(INDEX(声優一覧!A:A, MATCH(B1901, 声優一覧!B:B, 0)), "該当なし"))</f>
        <v>va_066</v>
      </c>
      <c r="B1901" s="1" t="str">
        <f ca="1">IFERROR(__xludf.DUMMYFUNCTION("""COMPUTED_VALUE"""),"木村良平")</f>
        <v>木村良平</v>
      </c>
      <c r="C1901" s="1" t="s">
        <v>163</v>
      </c>
      <c r="D1901" s="1" t="str">
        <f>IF(C1901="", "", IFERROR(VLOOKUP(C1901, 作品一覧!A:B, 2, FALSE), "該当なし"))</f>
        <v>DYNAMIC CHORD</v>
      </c>
      <c r="E1901" s="1" t="str">
        <f ca="1">IFERROR(__xludf.DUMMYFUNCTION("""COMPUTED_VALUE"""),"百瀬つむぎ")</f>
        <v>百瀬つむぎ</v>
      </c>
      <c r="F1901" s="14" t="s">
        <v>2719</v>
      </c>
    </row>
    <row r="1902" spans="1:6" ht="15">
      <c r="A1902" s="1" t="str">
        <f t="array" aca="1" ref="A1902" ca="1">IF(B1902="", "", IFERROR(INDEX(声優一覧!A:A, MATCH(B1902, 声優一覧!B:B, 0)), "該当なし"))</f>
        <v>va_132</v>
      </c>
      <c r="B1902" s="1" t="str">
        <f ca="1">IFERROR(__xludf.DUMMYFUNCTION("""COMPUTED_VALUE"""),"鳥海浩輔")</f>
        <v>鳥海浩輔</v>
      </c>
      <c r="C1902" s="1" t="s">
        <v>163</v>
      </c>
      <c r="D1902" s="1" t="str">
        <f>IF(C1902="", "", IFERROR(VLOOKUP(C1902, 作品一覧!A:B, 2, FALSE), "該当なし"))</f>
        <v>DYNAMIC CHORD</v>
      </c>
      <c r="E1902" s="1" t="str">
        <f ca="1">IFERROR(__xludf.DUMMYFUNCTION("""COMPUTED_VALUE"""),"月野原久遠")</f>
        <v>月野原久遠</v>
      </c>
      <c r="F1902" s="14" t="s">
        <v>2720</v>
      </c>
    </row>
    <row r="1903" spans="1:6" ht="15">
      <c r="A1903" s="1" t="str">
        <f t="array" aca="1" ref="A1903" ca="1">IF(B1903="", "", IFERROR(INDEX(声優一覧!A:A, MATCH(B1903, 声優一覧!B:B, 0)), "該当なし"))</f>
        <v>va_155</v>
      </c>
      <c r="B1903" s="1" t="str">
        <f ca="1">IFERROR(__xludf.DUMMYFUNCTION("""COMPUTED_VALUE"""),"広瀬裕也")</f>
        <v>広瀬裕也</v>
      </c>
      <c r="C1903" s="1" t="s">
        <v>163</v>
      </c>
      <c r="D1903" s="1" t="str">
        <f>IF(C1903="", "", IFERROR(VLOOKUP(C1903, 作品一覧!A:B, 2, FALSE), "該当なし"))</f>
        <v>DYNAMIC CHORD</v>
      </c>
      <c r="E1903" s="1" t="str">
        <f ca="1">IFERROR(__xludf.DUMMYFUNCTION("""COMPUTED_VALUE"""),"香椎亜貴")</f>
        <v>香椎亜貴</v>
      </c>
      <c r="F1903" s="14" t="s">
        <v>2721</v>
      </c>
    </row>
    <row r="1904" spans="1:6" ht="15">
      <c r="A1904" s="1" t="str">
        <f t="array" aca="1" ref="A1904" ca="1">IF(B1904="", "", IFERROR(INDEX(声優一覧!A:A, MATCH(B1904, 声優一覧!B:B, 0)), "該当なし"))</f>
        <v>va_009</v>
      </c>
      <c r="B1904" s="1" t="str">
        <f ca="1">IFERROR(__xludf.DUMMYFUNCTION("""COMPUTED_VALUE"""),"蒼井翔太")</f>
        <v>蒼井翔太</v>
      </c>
      <c r="C1904" s="1" t="s">
        <v>163</v>
      </c>
      <c r="D1904" s="1" t="str">
        <f>IF(C1904="", "", IFERROR(VLOOKUP(C1904, 作品一覧!A:B, 2, FALSE), "該当なし"))</f>
        <v>DYNAMIC CHORD</v>
      </c>
      <c r="E1904" s="1" t="str">
        <f ca="1">IFERROR(__xludf.DUMMYFUNCTION("""COMPUTED_VALUE"""),"天城成海")</f>
        <v>天城成海</v>
      </c>
      <c r="F1904" s="14" t="s">
        <v>2722</v>
      </c>
    </row>
    <row r="1905" spans="1:6" ht="15">
      <c r="A1905" s="1" t="str">
        <f t="array" aca="1" ref="A1905" ca="1">IF(B1905="", "", IFERROR(INDEX(声優一覧!A:A, MATCH(B1905, 声優一覧!B:B, 0)), "該当なし"))</f>
        <v>va_033</v>
      </c>
      <c r="B1905" s="1" t="str">
        <f ca="1">IFERROR(__xludf.DUMMYFUNCTION("""COMPUTED_VALUE"""),"梅原裕一郎")</f>
        <v>梅原裕一郎</v>
      </c>
      <c r="C1905" s="1" t="s">
        <v>163</v>
      </c>
      <c r="D1905" s="1" t="str">
        <f>IF(C1905="", "", IFERROR(VLOOKUP(C1905, 作品一覧!A:B, 2, FALSE), "該当なし"))</f>
        <v>DYNAMIC CHORD</v>
      </c>
      <c r="E1905" s="1" t="str">
        <f ca="1">IFERROR(__xludf.DUMMYFUNCTION("""COMPUTED_VALUE"""),"黒沢忍")</f>
        <v>黒沢忍</v>
      </c>
      <c r="F1905" s="14" t="s">
        <v>2723</v>
      </c>
    </row>
    <row r="1906" spans="1:6" ht="15">
      <c r="A1906" s="1" t="str">
        <f t="array" aca="1" ref="A1906" ca="1">IF(B1906="", "", IFERROR(INDEX(声優一覧!A:A, MATCH(B1906, 声優一覧!B:B, 0)), "該当なし"))</f>
        <v>va_134</v>
      </c>
      <c r="B1906" s="1" t="str">
        <f ca="1">IFERROR(__xludf.DUMMYFUNCTION("""COMPUTED_VALUE"""),"中島ヨシキ")</f>
        <v>中島ヨシキ</v>
      </c>
      <c r="C1906" s="1" t="s">
        <v>163</v>
      </c>
      <c r="D1906" s="1" t="str">
        <f>IF(C1906="", "", IFERROR(VLOOKUP(C1906, 作品一覧!A:B, 2, FALSE), "該当なし"))</f>
        <v>DYNAMIC CHORD</v>
      </c>
      <c r="E1906" s="1" t="str">
        <f ca="1">IFERROR(__xludf.DUMMYFUNCTION("""COMPUTED_VALUE"""),"青井有紀")</f>
        <v>青井有紀</v>
      </c>
      <c r="F1906" s="14" t="s">
        <v>2724</v>
      </c>
    </row>
    <row r="1907" spans="1:6" ht="15">
      <c r="A1907" s="1" t="str">
        <f t="array" aca="1" ref="A1907" ca="1">IF(B1907="", "", IFERROR(INDEX(声優一覧!A:A, MATCH(B1907, 声優一覧!B:B, 0)), "該当なし"))</f>
        <v>va_304</v>
      </c>
      <c r="B1907" s="1" t="str">
        <f ca="1">IFERROR(__xludf.DUMMYFUNCTION("""COMPUTED_VALUE"""),"櫻井孝宏")</f>
        <v>櫻井孝宏</v>
      </c>
      <c r="C1907" s="1" t="s">
        <v>163</v>
      </c>
      <c r="D1907" s="1" t="str">
        <f>IF(C1907="", "", IFERROR(VLOOKUP(C1907, 作品一覧!A:B, 2, FALSE), "該当なし"))</f>
        <v>DYNAMIC CHORD</v>
      </c>
      <c r="E1907" s="1" t="str">
        <f ca="1">IFERROR(__xludf.DUMMYFUNCTION("""COMPUTED_VALUE"""),"音石夕星")</f>
        <v>音石夕星</v>
      </c>
      <c r="F1907" s="14" t="s">
        <v>2725</v>
      </c>
    </row>
    <row r="1908" spans="1:6" ht="15">
      <c r="A1908" s="1" t="str">
        <f t="array" aca="1" ref="A1908" ca="1">IF(B1908="", "", IFERROR(INDEX(声優一覧!A:A, MATCH(B1908, 声優一覧!B:B, 0)), "該当なし"))</f>
        <v>va_161</v>
      </c>
      <c r="B1908" s="1" t="str">
        <f ca="1">IFERROR(__xludf.DUMMYFUNCTION("""COMPUTED_VALUE"""),"古川慎")</f>
        <v>古川慎</v>
      </c>
      <c r="C1908" s="1" t="s">
        <v>208</v>
      </c>
      <c r="D1908" s="1" t="str">
        <f>IF(C1908="", "", IFERROR(VLOOKUP(C1908, 作品一覧!A:B, 2, FALSE), "該当なし"))</f>
        <v>ハンドレッドノート</v>
      </c>
      <c r="E1908" s="1" t="str">
        <f ca="1">IFERROR(__xludf.DUMMYFUNCTION("""COMPUTED_VALUE"""),"司波仁")</f>
        <v>司波仁</v>
      </c>
      <c r="F1908" s="14" t="s">
        <v>2726</v>
      </c>
    </row>
    <row r="1909" spans="1:6" ht="15">
      <c r="A1909" s="1" t="str">
        <f t="array" aca="1" ref="A1909" ca="1">IF(B1909="", "", IFERROR(INDEX(声優一覧!A:A, MATCH(B1909, 声優一覧!B:B, 0)), "該当なし"))</f>
        <v>va_032</v>
      </c>
      <c r="B1909" s="1" t="str">
        <f ca="1">IFERROR(__xludf.DUMMYFUNCTION("""COMPUTED_VALUE"""),"梅田修一朗")</f>
        <v>梅田修一朗</v>
      </c>
      <c r="C1909" s="1" t="s">
        <v>208</v>
      </c>
      <c r="D1909" s="1" t="str">
        <f>IF(C1909="", "", IFERROR(VLOOKUP(C1909, 作品一覧!A:B, 2, FALSE), "該当なし"))</f>
        <v>ハンドレッドノート</v>
      </c>
      <c r="E1909" s="1" t="str">
        <f ca="1">IFERROR(__xludf.DUMMYFUNCTION("""COMPUTED_VALUE"""),"物怪瑠衣")</f>
        <v>物怪瑠衣</v>
      </c>
      <c r="F1909" s="14" t="s">
        <v>2727</v>
      </c>
    </row>
    <row r="1910" spans="1:6" ht="15">
      <c r="A1910" s="1" t="str">
        <f t="array" aca="1" ref="A1910" ca="1">IF(B1910="", "", IFERROR(INDEX(声優一覧!A:A, MATCH(B1910, 声優一覧!B:B, 0)), "該当なし"))</f>
        <v>va_050</v>
      </c>
      <c r="B1910" s="1" t="str">
        <f ca="1">IFERROR(__xludf.DUMMYFUNCTION("""COMPUTED_VALUE"""),"笠間淳")</f>
        <v>笠間淳</v>
      </c>
      <c r="C1910" s="1" t="s">
        <v>208</v>
      </c>
      <c r="D1910" s="1" t="str">
        <f>IF(C1910="", "", IFERROR(VLOOKUP(C1910, 作品一覧!A:B, 2, FALSE), "該当なし"))</f>
        <v>ハンドレッドノート</v>
      </c>
      <c r="E1910" s="1" t="str">
        <f ca="1">IFERROR(__xludf.DUMMYFUNCTION("""COMPUTED_VALUE"""),"枯柳杖道")</f>
        <v>枯柳杖道</v>
      </c>
      <c r="F1910" s="14" t="s">
        <v>2728</v>
      </c>
    </row>
    <row r="1911" spans="1:6" ht="15">
      <c r="A1911" s="1" t="str">
        <f t="array" aca="1" ref="A1911" ca="1">IF(B1911="", "", IFERROR(INDEX(声優一覧!A:A, MATCH(B1911, 声優一覧!B:B, 0)), "該当なし"))</f>
        <v>va_141</v>
      </c>
      <c r="B1911" s="1" t="str">
        <f ca="1">IFERROR(__xludf.DUMMYFUNCTION("""COMPUTED_VALUE"""),"西山宏太朗")</f>
        <v>西山宏太朗</v>
      </c>
      <c r="C1911" s="1" t="s">
        <v>208</v>
      </c>
      <c r="D1911" s="1" t="str">
        <f>IF(C1911="", "", IFERROR(VLOOKUP(C1911, 作品一覧!A:B, 2, FALSE), "該当なし"))</f>
        <v>ハンドレッドノート</v>
      </c>
      <c r="E1911" s="1" t="str">
        <f ca="1">IFERROR(__xludf.DUMMYFUNCTION("""COMPUTED_VALUE"""),"恵美まどか")</f>
        <v>恵美まどか</v>
      </c>
      <c r="F1911" s="14" t="s">
        <v>2729</v>
      </c>
    </row>
    <row r="1912" spans="1:6" ht="15">
      <c r="A1912" s="1" t="str">
        <f t="array" aca="1" ref="A1912" ca="1">IF(B1912="", "", IFERROR(INDEX(声優一覧!A:A, MATCH(B1912, 声優一覧!B:B, 0)), "該当なし"))</f>
        <v>va_378</v>
      </c>
      <c r="B1912" s="1" t="str">
        <f ca="1">IFERROR(__xludf.DUMMYFUNCTION("""COMPUTED_VALUE"""),"安田陸矢")</f>
        <v>安田陸矢</v>
      </c>
      <c r="C1912" s="1" t="s">
        <v>208</v>
      </c>
      <c r="D1912" s="1" t="str">
        <f>IF(C1912="", "", IFERROR(VLOOKUP(C1912, 作品一覧!A:B, 2, FALSE), "該当なし"))</f>
        <v>ハンドレッドノート</v>
      </c>
      <c r="E1912" s="1" t="str">
        <f ca="1">IFERROR(__xludf.DUMMYFUNCTION("""COMPUTED_VALUE"""),"踏分誠一")</f>
        <v>踏分誠一</v>
      </c>
      <c r="F1912" s="14" t="s">
        <v>2730</v>
      </c>
    </row>
    <row r="1913" spans="1:6" ht="15">
      <c r="A1913" s="1" t="str">
        <f t="array" aca="1" ref="A1913" ca="1">IF(B1913="", "", IFERROR(INDEX(声優一覧!A:A, MATCH(B1913, 声優一覧!B:B, 0)), "該当なし"))</f>
        <v>va_393</v>
      </c>
      <c r="B1913" s="1" t="str">
        <f ca="1">IFERROR(__xludf.DUMMYFUNCTION("""COMPUTED_VALUE"""),"大野智敬")</f>
        <v>大野智敬</v>
      </c>
      <c r="C1913" s="1" t="s">
        <v>208</v>
      </c>
      <c r="D1913" s="1" t="str">
        <f>IF(C1913="", "", IFERROR(VLOOKUP(C1913, 作品一覧!A:B, 2, FALSE), "該当なし"))</f>
        <v>ハンドレッドノート</v>
      </c>
      <c r="E1913" s="1" t="str">
        <f ca="1">IFERROR(__xludf.DUMMYFUNCTION("""COMPUTED_VALUE"""),"神柴健三")</f>
        <v>神柴健三</v>
      </c>
      <c r="F1913" s="14" t="s">
        <v>2731</v>
      </c>
    </row>
    <row r="1914" spans="1:6" ht="15">
      <c r="A1914" s="1" t="str">
        <f t="array" aca="1" ref="A1914" ca="1">IF(B1914="", "", IFERROR(INDEX(声優一覧!A:A, MATCH(B1914, 声優一覧!B:B, 0)), "該当なし"))</f>
        <v>va_042</v>
      </c>
      <c r="B1914" s="1" t="str">
        <f ca="1">IFERROR(__xludf.DUMMYFUNCTION("""COMPUTED_VALUE"""),"岡本信彦")</f>
        <v>岡本信彦</v>
      </c>
      <c r="C1914" s="1" t="s">
        <v>208</v>
      </c>
      <c r="D1914" s="1" t="str">
        <f>IF(C1914="", "", IFERROR(VLOOKUP(C1914, 作品一覧!A:B, 2, FALSE), "該当なし"))</f>
        <v>ハンドレッドノート</v>
      </c>
      <c r="E1914" s="1" t="str">
        <f ca="1">IFERROR(__xludf.DUMMYFUNCTION("""COMPUTED_VALUE"""),"天命大地")</f>
        <v>天命大地</v>
      </c>
      <c r="F1914" s="14" t="s">
        <v>2732</v>
      </c>
    </row>
    <row r="1915" spans="1:6" ht="15">
      <c r="A1915" s="1" t="str">
        <f t="array" aca="1" ref="A1915" ca="1">IF(B1915="", "", IFERROR(INDEX(声優一覧!A:A, MATCH(B1915, 声優一覧!B:B, 0)), "該当なし"))</f>
        <v>va_193</v>
      </c>
      <c r="B1915" s="1" t="str">
        <f ca="1">IFERROR(__xludf.DUMMYFUNCTION("""COMPUTED_VALUE"""),"山下大輝")</f>
        <v>山下大輝</v>
      </c>
      <c r="C1915" s="1" t="s">
        <v>208</v>
      </c>
      <c r="D1915" s="1" t="str">
        <f>IF(C1915="", "", IFERROR(VLOOKUP(C1915, 作品一覧!A:B, 2, FALSE), "該当なし"))</f>
        <v>ハンドレッドノート</v>
      </c>
      <c r="E1915" s="1" t="str">
        <f ca="1">IFERROR(__xludf.DUMMYFUNCTION("""COMPUTED_VALUE"""),"霧縦人")</f>
        <v>霧縦人</v>
      </c>
      <c r="F1915" s="14" t="s">
        <v>2733</v>
      </c>
    </row>
    <row r="1916" spans="1:6" ht="15">
      <c r="A1916" s="1" t="str">
        <f t="array" aca="1" ref="A1916" ca="1">IF(B1916="", "", IFERROR(INDEX(声優一覧!A:A, MATCH(B1916, 声優一覧!B:B, 0)), "該当なし"))</f>
        <v>va_094</v>
      </c>
      <c r="B1916" s="1" t="str">
        <f ca="1">IFERROR(__xludf.DUMMYFUNCTION("""COMPUTED_VALUE"""),"島﨑信長")</f>
        <v>島﨑信長</v>
      </c>
      <c r="C1916" s="1" t="s">
        <v>208</v>
      </c>
      <c r="D1916" s="1" t="str">
        <f>IF(C1916="", "", IFERROR(VLOOKUP(C1916, 作品一覧!A:B, 2, FALSE), "該当なし"))</f>
        <v>ハンドレッドノート</v>
      </c>
      <c r="E1916" s="1" t="str">
        <f ca="1">IFERROR(__xludf.DUMMYFUNCTION("""COMPUTED_VALUE"""),"塔翠")</f>
        <v>塔翠</v>
      </c>
      <c r="F1916" s="14" t="s">
        <v>2734</v>
      </c>
    </row>
    <row r="1917" spans="1:6" ht="15">
      <c r="A1917" s="1" t="str">
        <f t="array" aca="1" ref="A1917" ca="1">IF(B1917="", "", IFERROR(INDEX(声優一覧!A:A, MATCH(B1917, 声優一覧!B:B, 0)), "該当なし"))</f>
        <v>va_166</v>
      </c>
      <c r="B1917" s="1" t="str">
        <f ca="1">IFERROR(__xludf.DUMMYFUNCTION("""COMPUTED_VALUE"""),"堀江瞬")</f>
        <v>堀江瞬</v>
      </c>
      <c r="C1917" s="1" t="s">
        <v>208</v>
      </c>
      <c r="D1917" s="1" t="str">
        <f>IF(C1917="", "", IFERROR(VLOOKUP(C1917, 作品一覧!A:B, 2, FALSE), "該当なし"))</f>
        <v>ハンドレッドノート</v>
      </c>
      <c r="E1917" s="1" t="str">
        <f ca="1">IFERROR(__xludf.DUMMYFUNCTION("""COMPUTED_VALUE"""),"皇千ト")</f>
        <v>皇千ト</v>
      </c>
      <c r="F1917" s="14" t="s">
        <v>2735</v>
      </c>
    </row>
    <row r="1918" spans="1:6" ht="15">
      <c r="A1918" s="1" t="str">
        <f t="array" aca="1" ref="A1918" ca="1">IF(B1918="", "", IFERROR(INDEX(声優一覧!A:A, MATCH(B1918, 声優一覧!B:B, 0)), "該当なし"))</f>
        <v>va_041</v>
      </c>
      <c r="B1918" s="1" t="str">
        <f ca="1">IFERROR(__xludf.DUMMYFUNCTION("""COMPUTED_VALUE"""),"大塚剛央")</f>
        <v>大塚剛央</v>
      </c>
      <c r="C1918" s="1" t="s">
        <v>208</v>
      </c>
      <c r="D1918" s="1" t="str">
        <f>IF(C1918="", "", IFERROR(VLOOKUP(C1918, 作品一覧!A:B, 2, FALSE), "該当なし"))</f>
        <v>ハンドレッドノート</v>
      </c>
      <c r="E1918" s="1" t="str">
        <f ca="1">IFERROR(__xludf.DUMMYFUNCTION("""COMPUTED_VALUE"""),"星喰右手")</f>
        <v>星喰右手</v>
      </c>
      <c r="F1918" s="14" t="s">
        <v>2736</v>
      </c>
    </row>
    <row r="1919" spans="1:6" ht="15">
      <c r="A1919" s="1" t="str">
        <f t="array" aca="1" ref="A1919" ca="1">IF(B1919="", "", IFERROR(INDEX(声優一覧!A:A, MATCH(B1919, 声優一覧!B:B, 0)), "該当なし"))</f>
        <v>va_117</v>
      </c>
      <c r="B1919" s="1" t="str">
        <f ca="1">IFERROR(__xludf.DUMMYFUNCTION("""COMPUTED_VALUE"""),"田丸篤志")</f>
        <v>田丸篤志</v>
      </c>
      <c r="C1919" s="1" t="s">
        <v>208</v>
      </c>
      <c r="D1919" s="1" t="str">
        <f>IF(C1919="", "", IFERROR(VLOOKUP(C1919, 作品一覧!A:B, 2, FALSE), "該当なし"))</f>
        <v>ハンドレッドノート</v>
      </c>
      <c r="E1919" s="1" t="str">
        <f ca="1">IFERROR(__xludf.DUMMYFUNCTION("""COMPUTED_VALUE"""),"星喰左手")</f>
        <v>星喰左手</v>
      </c>
      <c r="F1919" s="14" t="s">
        <v>2737</v>
      </c>
    </row>
    <row r="1920" spans="1:6" ht="15">
      <c r="A1920" s="1" t="str">
        <f t="array" aca="1" ref="A1920" ca="1">IF(B1920="", "", IFERROR(INDEX(声優一覧!A:A, MATCH(B1920, 声優一覧!B:B, 0)), "該当なし"))</f>
        <v>va_295</v>
      </c>
      <c r="B1920" s="1" t="str">
        <f ca="1">IFERROR(__xludf.DUMMYFUNCTION("""COMPUTED_VALUE"""),"戸谷菊之介")</f>
        <v>戸谷菊之介</v>
      </c>
      <c r="C1920" s="1" t="s">
        <v>208</v>
      </c>
      <c r="D1920" s="1" t="str">
        <f>IF(C1920="", "", IFERROR(VLOOKUP(C1920, 作品一覧!A:B, 2, FALSE), "該当なし"))</f>
        <v>ハンドレッドノート</v>
      </c>
      <c r="E1920" s="1" t="str">
        <f ca="1">IFERROR(__xludf.DUMMYFUNCTION("""COMPUTED_VALUE"""),"花散光士郎")</f>
        <v>花散光士郎</v>
      </c>
      <c r="F1920" s="14" t="s">
        <v>2738</v>
      </c>
    </row>
    <row r="1921" spans="1:6" ht="15">
      <c r="A1921" s="1" t="str">
        <f t="array" aca="1" ref="A1921" ca="1">IF(B1921="", "", IFERROR(INDEX(声優一覧!A:A, MATCH(B1921, 声優一覧!B:B, 0)), "該当なし"))</f>
        <v>va_033</v>
      </c>
      <c r="B1921" s="1" t="str">
        <f ca="1">IFERROR(__xludf.DUMMYFUNCTION("""COMPUTED_VALUE"""),"梅原裕一郎")</f>
        <v>梅原裕一郎</v>
      </c>
      <c r="C1921" s="1" t="s">
        <v>208</v>
      </c>
      <c r="D1921" s="1" t="str">
        <f>IF(C1921="", "", IFERROR(VLOOKUP(C1921, 作品一覧!A:B, 2, FALSE), "該当なし"))</f>
        <v>ハンドレッドノート</v>
      </c>
      <c r="E1921" s="1" t="str">
        <f ca="1">IFERROR(__xludf.DUMMYFUNCTION("""COMPUTED_VALUE"""),"紫陽花権兵衛")</f>
        <v>紫陽花権兵衛</v>
      </c>
      <c r="F1921" s="14" t="s">
        <v>2739</v>
      </c>
    </row>
    <row r="1922" spans="1:6" ht="15">
      <c r="A1922" s="1" t="str">
        <f t="array" aca="1" ref="A1922" ca="1">IF(B1922="", "", IFERROR(INDEX(声優一覧!A:A, MATCH(B1922, 声優一覧!B:B, 0)), "該当なし"))</f>
        <v>va_019</v>
      </c>
      <c r="B1922" s="1" t="str">
        <f ca="1">IFERROR(__xludf.DUMMYFUNCTION("""COMPUTED_VALUE"""),"伊東健人")</f>
        <v>伊東健人</v>
      </c>
      <c r="C1922" s="1" t="s">
        <v>208</v>
      </c>
      <c r="D1922" s="1" t="str">
        <f>IF(C1922="", "", IFERROR(VLOOKUP(C1922, 作品一覧!A:B, 2, FALSE), "該当なし"))</f>
        <v>ハンドレッドノート</v>
      </c>
      <c r="E1922" s="1" t="str">
        <f ca="1">IFERROR(__xludf.DUMMYFUNCTION("""COMPUTED_VALUE"""),"八重桜純")</f>
        <v>八重桜純</v>
      </c>
      <c r="F1922" s="14" t="s">
        <v>2740</v>
      </c>
    </row>
    <row r="1923" spans="1:6" ht="15">
      <c r="A1923" s="1" t="str">
        <f t="array" aca="1" ref="A1923" ca="1">IF(B1923="", "", IFERROR(INDEX(声優一覧!A:A, MATCH(B1923, 声優一覧!B:B, 0)), "該当なし"))</f>
        <v>va_147</v>
      </c>
      <c r="B1923" s="1" t="str">
        <f ca="1">IFERROR(__xludf.DUMMYFUNCTION("""COMPUTED_VALUE"""),"畠中祐")</f>
        <v>畠中祐</v>
      </c>
      <c r="C1923" s="1" t="s">
        <v>208</v>
      </c>
      <c r="D1923" s="1" t="str">
        <f>IF(C1923="", "", IFERROR(VLOOKUP(C1923, 作品一覧!A:B, 2, FALSE), "該当なし"))</f>
        <v>ハンドレッドノート</v>
      </c>
      <c r="E1923" s="1" t="str">
        <f ca="1">IFERROR(__xludf.DUMMYFUNCTION("""COMPUTED_VALUE"""),"壊堂眞白")</f>
        <v>壊堂眞白</v>
      </c>
      <c r="F1923" s="14" t="s">
        <v>2741</v>
      </c>
    </row>
    <row r="1924" spans="1:6" ht="15">
      <c r="A1924" s="1" t="str">
        <f t="array" aca="1" ref="A1924" ca="1">IF(B1924="", "", IFERROR(INDEX(声優一覧!A:A, MATCH(B1924, 声優一覧!B:B, 0)), "該当なし"))</f>
        <v>va_065</v>
      </c>
      <c r="B1924" s="1" t="str">
        <f ca="1">IFERROR(__xludf.DUMMYFUNCTION("""COMPUTED_VALUE"""),"木村太飛")</f>
        <v>木村太飛</v>
      </c>
      <c r="C1924" s="1" t="s">
        <v>208</v>
      </c>
      <c r="D1924" s="1" t="str">
        <f>IF(C1924="", "", IFERROR(VLOOKUP(C1924, 作品一覧!A:B, 2, FALSE), "該当なし"))</f>
        <v>ハンドレッドノート</v>
      </c>
      <c r="E1924" s="1" t="str">
        <f ca="1">IFERROR(__xludf.DUMMYFUNCTION("""COMPUTED_VALUE"""),"雨ノ森菖")</f>
        <v>雨ノ森菖</v>
      </c>
      <c r="F1924" s="14" t="s">
        <v>2742</v>
      </c>
    </row>
    <row r="1925" spans="1:6" ht="15">
      <c r="A1925" s="1" t="str">
        <f t="array" aca="1" ref="A1925" ca="1">IF(B1925="", "", IFERROR(INDEX(声優一覧!A:A, MATCH(B1925, 声優一覧!B:B, 0)), "該当なし"))</f>
        <v>va_023</v>
      </c>
      <c r="B1925" s="1" t="str">
        <f ca="1">IFERROR(__xludf.DUMMYFUNCTION("""COMPUTED_VALUE"""),"今井文也")</f>
        <v>今井文也</v>
      </c>
      <c r="C1925" s="1" t="s">
        <v>208</v>
      </c>
      <c r="D1925" s="1" t="str">
        <f>IF(C1925="", "", IFERROR(VLOOKUP(C1925, 作品一覧!A:B, 2, FALSE), "該当なし"))</f>
        <v>ハンドレッドノート</v>
      </c>
      <c r="E1925" s="1" t="str">
        <f ca="1">IFERROR(__xludf.DUMMYFUNCTION("""COMPUTED_VALUE"""),"犀綺玄磨")</f>
        <v>犀綺玄磨</v>
      </c>
      <c r="F1925" s="14" t="s">
        <v>2743</v>
      </c>
    </row>
    <row r="1926" spans="1:6" ht="15">
      <c r="A1926" s="1" t="str">
        <f t="array" aca="1" ref="A1926" ca="1">IF(B1926="", "", IFERROR(INDEX(声優一覧!A:A, MATCH(B1926, 声優一覧!B:B, 0)), "該当なし"))</f>
        <v>va_053</v>
      </c>
      <c r="B1926" s="1" t="str">
        <f ca="1">IFERROR(__xludf.DUMMYFUNCTION("""COMPUTED_VALUE"""),"梶原岳人")</f>
        <v>梶原岳人</v>
      </c>
      <c r="C1926" s="1" t="s">
        <v>208</v>
      </c>
      <c r="D1926" s="1" t="str">
        <f>IF(C1926="", "", IFERROR(VLOOKUP(C1926, 作品一覧!A:B, 2, FALSE), "該当なし"))</f>
        <v>ハンドレッドノート</v>
      </c>
      <c r="E1926" s="1" t="str">
        <f ca="1">IFERROR(__xludf.DUMMYFUNCTION("""COMPUTED_VALUE"""),"黄坂祈")</f>
        <v>黄坂祈</v>
      </c>
      <c r="F1926" s="14" t="s">
        <v>2744</v>
      </c>
    </row>
    <row r="1927" spans="1:6" ht="15">
      <c r="A1927" s="1" t="str">
        <f t="array" aca="1" ref="A1927" ca="1">IF(B1927="", "", IFERROR(INDEX(声優一覧!A:A, MATCH(B1927, 声優一覧!B:B, 0)), "該当なし"))</f>
        <v>va_127</v>
      </c>
      <c r="B1927" s="1" t="str">
        <f ca="1">IFERROR(__xludf.DUMMYFUNCTION("""COMPUTED_VALUE"""),"照井悠希")</f>
        <v>照井悠希</v>
      </c>
      <c r="C1927" s="1" t="s">
        <v>208</v>
      </c>
      <c r="D1927" s="1" t="str">
        <f>IF(C1927="", "", IFERROR(VLOOKUP(C1927, 作品一覧!A:B, 2, FALSE), "該当なし"))</f>
        <v>ハンドレッドノート</v>
      </c>
      <c r="E1927" s="1" t="str">
        <f ca="1">IFERROR(__xludf.DUMMYFUNCTION("""COMPUTED_VALUE"""),"百代律")</f>
        <v>百代律</v>
      </c>
      <c r="F1927" s="14" t="s">
        <v>2745</v>
      </c>
    </row>
    <row r="1928" spans="1:6" ht="15">
      <c r="A1928" s="1" t="str">
        <f t="array" aca="1" ref="A1928" ca="1">IF(B1928="", "", IFERROR(INDEX(声優一覧!A:A, MATCH(B1928, 声優一覧!B:B, 0)), "該当なし"))</f>
        <v>va_069</v>
      </c>
      <c r="B1928" s="1" t="str">
        <f ca="1">IFERROR(__xludf.DUMMYFUNCTION("""COMPUTED_VALUE"""),"熊谷健太郎")</f>
        <v>熊谷健太郎</v>
      </c>
      <c r="C1928" s="1" t="s">
        <v>208</v>
      </c>
      <c r="D1928" s="1" t="str">
        <f>IF(C1928="", "", IFERROR(VLOOKUP(C1928, 作品一覧!A:B, 2, FALSE), "該当なし"))</f>
        <v>ハンドレッドノート</v>
      </c>
      <c r="E1928" s="1" t="str">
        <f ca="1">IFERROR(__xludf.DUMMYFUNCTION("""COMPUTED_VALUE"""),"熨斗目力丸")</f>
        <v>熨斗目力丸</v>
      </c>
      <c r="F1928" s="14" t="s">
        <v>2746</v>
      </c>
    </row>
    <row r="1929" spans="1:6" ht="15">
      <c r="A1929" s="1" t="str">
        <f t="array" aca="1" ref="A1929" ca="1">IF(B1929="", "", IFERROR(INDEX(声優一覧!A:A, MATCH(B1929, 声優一覧!B:B, 0)), "該当なし"))</f>
        <v>va_394</v>
      </c>
      <c r="B1929" s="1" t="str">
        <f ca="1">IFERROR(__xludf.DUMMYFUNCTION("""COMPUTED_VALUE"""),"砂川脩弥")</f>
        <v>砂川脩弥</v>
      </c>
      <c r="C1929" s="1" t="s">
        <v>208</v>
      </c>
      <c r="D1929" s="1" t="str">
        <f>IF(C1929="", "", IFERROR(VLOOKUP(C1929, 作品一覧!A:B, 2, FALSE), "該当なし"))</f>
        <v>ハンドレッドノート</v>
      </c>
      <c r="E1929" s="1" t="str">
        <f ca="1">IFERROR(__xludf.DUMMYFUNCTION("""COMPUTED_VALUE"""),"天幻次彩")</f>
        <v>天幻次彩</v>
      </c>
      <c r="F1929" s="14" t="s">
        <v>2747</v>
      </c>
    </row>
    <row r="1930" spans="1:6" ht="15">
      <c r="A1930" s="1" t="str">
        <f t="array" aca="1" ref="A1930" ca="1">IF(B1930="", "", IFERROR(INDEX(声優一覧!A:A, MATCH(B1930, 声優一覧!B:B, 0)), "該当なし"))</f>
        <v>va_395</v>
      </c>
      <c r="B1930" s="1" t="str">
        <f ca="1">IFERROR(__xludf.DUMMYFUNCTION("""COMPUTED_VALUE"""),"湊丈瑠")</f>
        <v>湊丈瑠</v>
      </c>
      <c r="C1930" s="1" t="s">
        <v>208</v>
      </c>
      <c r="D1930" s="1" t="str">
        <f>IF(C1930="", "", IFERROR(VLOOKUP(C1930, 作品一覧!A:B, 2, FALSE), "該当なし"))</f>
        <v>ハンドレッドノート</v>
      </c>
      <c r="E1930" s="1" t="str">
        <f ca="1">IFERROR(__xludf.DUMMYFUNCTION("""COMPUTED_VALUE"""),"麗蘭百華")</f>
        <v>麗蘭百華</v>
      </c>
      <c r="F1930" s="14" t="s">
        <v>2748</v>
      </c>
    </row>
    <row r="1931" spans="1:6" ht="15">
      <c r="A1931" s="1" t="str">
        <f t="array" aca="1" ref="A1931" ca="1">IF(B1931="", "", IFERROR(INDEX(声優一覧!A:A, MATCH(B1931, 声優一覧!B:B, 0)), "該当なし"))</f>
        <v>va_396</v>
      </c>
      <c r="B1931" s="1" t="str">
        <f ca="1">IFERROR(__xludf.DUMMYFUNCTION("""COMPUTED_VALUE"""),"井尻翼馬")</f>
        <v>井尻翼馬</v>
      </c>
      <c r="C1931" s="1" t="s">
        <v>208</v>
      </c>
      <c r="D1931" s="1" t="str">
        <f>IF(C1931="", "", IFERROR(VLOOKUP(C1931, 作品一覧!A:B, 2, FALSE), "該当なし"))</f>
        <v>ハンドレッドノート</v>
      </c>
      <c r="E1931" s="1" t="str">
        <f ca="1">IFERROR(__xludf.DUMMYFUNCTION("""COMPUTED_VALUE"""),"清月舞蕾")</f>
        <v>清月舞蕾</v>
      </c>
      <c r="F1931" s="14" t="s">
        <v>2749</v>
      </c>
    </row>
    <row r="1932" spans="1:6" ht="15">
      <c r="A1932" s="1" t="str">
        <f t="array" aca="1" ref="A1932" ca="1">IF(B1932="", "", IFERROR(INDEX(声優一覧!A:A, MATCH(B1932, 声優一覧!B:B, 0)), "該当なし"))</f>
        <v>va_075</v>
      </c>
      <c r="B1932" s="1" t="str">
        <f ca="1">IFERROR(__xludf.DUMMYFUNCTION("""COMPUTED_VALUE"""),"小林裕介")</f>
        <v>小林裕介</v>
      </c>
      <c r="C1932" s="1" t="s">
        <v>261</v>
      </c>
      <c r="D1932" s="1" t="str">
        <f>IF(C1932="", "", IFERROR(VLOOKUP(C1932, 作品一覧!A:B, 2, FALSE), "該当なし"))</f>
        <v>補講男子</v>
      </c>
      <c r="E1932" s="1" t="str">
        <f ca="1">IFERROR(__xludf.DUMMYFUNCTION("""COMPUTED_VALUE"""),"藤代晴仁")</f>
        <v>藤代晴仁</v>
      </c>
      <c r="F1932" s="14" t="s">
        <v>2750</v>
      </c>
    </row>
    <row r="1933" spans="1:6" ht="15">
      <c r="A1933" s="1" t="str">
        <f t="array" aca="1" ref="A1933" ca="1">IF(B1933="", "", IFERROR(INDEX(声優一覧!A:A, MATCH(B1933, 声優一覧!B:B, 0)), "該当なし"))</f>
        <v>va_397</v>
      </c>
      <c r="B1933" s="1" t="str">
        <f ca="1">IFERROR(__xludf.DUMMYFUNCTION("""COMPUTED_VALUE"""),"豊島聖人")</f>
        <v>豊島聖人</v>
      </c>
      <c r="C1933" s="1" t="s">
        <v>261</v>
      </c>
      <c r="D1933" s="1" t="str">
        <f>IF(C1933="", "", IFERROR(VLOOKUP(C1933, 作品一覧!A:B, 2, FALSE), "該当なし"))</f>
        <v>補講男子</v>
      </c>
      <c r="E1933" s="1" t="str">
        <f ca="1">IFERROR(__xludf.DUMMYFUNCTION("""COMPUTED_VALUE"""),"柏谷信")</f>
        <v>柏谷信</v>
      </c>
      <c r="F1933" s="14" t="s">
        <v>2751</v>
      </c>
    </row>
    <row r="1934" spans="1:6" ht="15">
      <c r="A1934" s="1" t="str">
        <f t="array" aca="1" ref="A1934" ca="1">IF(B1934="", "", IFERROR(INDEX(声優一覧!A:A, MATCH(B1934, 声優一覧!B:B, 0)), "該当なし"))</f>
        <v>va_128</v>
      </c>
      <c r="B1934" s="1" t="str">
        <f ca="1">IFERROR(__xludf.DUMMYFUNCTION("""COMPUTED_VALUE"""),"堂島颯人")</f>
        <v>堂島颯人</v>
      </c>
      <c r="C1934" s="1" t="s">
        <v>261</v>
      </c>
      <c r="D1934" s="1" t="str">
        <f>IF(C1934="", "", IFERROR(VLOOKUP(C1934, 作品一覧!A:B, 2, FALSE), "該当なし"))</f>
        <v>補講男子</v>
      </c>
      <c r="E1934" s="1" t="str">
        <f ca="1">IFERROR(__xludf.DUMMYFUNCTION("""COMPUTED_VALUE"""),"堂満智")</f>
        <v>堂満智</v>
      </c>
      <c r="F1934" s="14" t="s">
        <v>2752</v>
      </c>
    </row>
    <row r="1935" spans="1:6" ht="15">
      <c r="A1935" s="1" t="str">
        <f t="array" aca="1" ref="A1935" ca="1">IF(B1935="", "", IFERROR(INDEX(声優一覧!A:A, MATCH(B1935, 声優一覧!B:B, 0)), "該当なし"))</f>
        <v>va_042</v>
      </c>
      <c r="B1935" s="1" t="str">
        <f ca="1">IFERROR(__xludf.DUMMYFUNCTION("""COMPUTED_VALUE"""),"岡本信彦")</f>
        <v>岡本信彦</v>
      </c>
      <c r="C1935" s="1" t="s">
        <v>261</v>
      </c>
      <c r="D1935" s="1" t="str">
        <f>IF(C1935="", "", IFERROR(VLOOKUP(C1935, 作品一覧!A:B, 2, FALSE), "該当なし"))</f>
        <v>補講男子</v>
      </c>
      <c r="E1935" s="1" t="str">
        <f ca="1">IFERROR(__xludf.DUMMYFUNCTION("""COMPUTED_VALUE"""),"貴志礼世")</f>
        <v>貴志礼世</v>
      </c>
      <c r="F1935" s="14" t="s">
        <v>2753</v>
      </c>
    </row>
    <row r="1936" spans="1:6" ht="15">
      <c r="A1936" s="1" t="str">
        <f t="array" aca="1" ref="A1936" ca="1">IF(B1936="", "", IFERROR(INDEX(声優一覧!A:A, MATCH(B1936, 声優一覧!B:B, 0)), "該当なし"))</f>
        <v>va_023</v>
      </c>
      <c r="B1936" s="1" t="str">
        <f ca="1">IFERROR(__xludf.DUMMYFUNCTION("""COMPUTED_VALUE"""),"今井文也")</f>
        <v>今井文也</v>
      </c>
      <c r="C1936" s="1" t="s">
        <v>261</v>
      </c>
      <c r="D1936" s="1" t="str">
        <f>IF(C1936="", "", IFERROR(VLOOKUP(C1936, 作品一覧!A:B, 2, FALSE), "該当なし"))</f>
        <v>補講男子</v>
      </c>
      <c r="E1936" s="1" t="str">
        <f ca="1">IFERROR(__xludf.DUMMYFUNCTION("""COMPUTED_VALUE"""),"茶屋町義也")</f>
        <v>茶屋町義也</v>
      </c>
      <c r="F1936" s="14" t="s">
        <v>2754</v>
      </c>
    </row>
    <row r="1937" spans="1:6" ht="15">
      <c r="A1937" s="1" t="str">
        <f t="array" aca="1" ref="A1937" ca="1">IF(B1937="", "", IFERROR(INDEX(声優一覧!A:A, MATCH(B1937, 声優一覧!B:B, 0)), "該当なし"))</f>
        <v>va_027</v>
      </c>
      <c r="B1937" s="1" t="str">
        <f ca="1">IFERROR(__xludf.DUMMYFUNCTION("""COMPUTED_VALUE"""),"岩中睦樹")</f>
        <v>岩中睦樹</v>
      </c>
      <c r="C1937" s="1" t="s">
        <v>261</v>
      </c>
      <c r="D1937" s="1" t="str">
        <f>IF(C1937="", "", IFERROR(VLOOKUP(C1937, 作品一覧!A:B, 2, FALSE), "該当なし"))</f>
        <v>補講男子</v>
      </c>
      <c r="E1937" s="1" t="str">
        <f ca="1">IFERROR(__xludf.DUMMYFUNCTION("""COMPUTED_VALUE"""),"咲良樹")</f>
        <v>咲良樹</v>
      </c>
      <c r="F1937" s="14" t="s">
        <v>2755</v>
      </c>
    </row>
    <row r="1938" spans="1:6" ht="15">
      <c r="A1938" s="1" t="str">
        <f t="array" aca="1" ref="A1938" ca="1">IF(B1938="", "", IFERROR(INDEX(声優一覧!A:A, MATCH(B1938, 声優一覧!B:B, 0)), "該当なし"))</f>
        <v>va_102</v>
      </c>
      <c r="B1938" s="1" t="str">
        <f ca="1">IFERROR(__xludf.DUMMYFUNCTION("""COMPUTED_VALUE"""),"諏訪部順一")</f>
        <v>諏訪部順一</v>
      </c>
      <c r="C1938" s="1" t="s">
        <v>271</v>
      </c>
      <c r="D1938" s="1" t="str">
        <f>IF(C1938="", "", IFERROR(VLOOKUP(C1938, 作品一覧!A:B, 2, FALSE), "該当なし"))</f>
        <v>未定事件簿</v>
      </c>
      <c r="E1938" s="1" t="str">
        <f ca="1">IFERROR(__xludf.DUMMYFUNCTION("""COMPUTED_VALUE"""),"左然")</f>
        <v>左然</v>
      </c>
      <c r="F1938" s="14" t="s">
        <v>2756</v>
      </c>
    </row>
    <row r="1939" spans="1:6" ht="15">
      <c r="A1939" s="1" t="str">
        <f t="array" aca="1" ref="A1939" ca="1">IF(B1939="", "", IFERROR(INDEX(声優一覧!A:A, MATCH(B1939, 声優一覧!B:B, 0)), "該当なし"))</f>
        <v>va_013</v>
      </c>
      <c r="B1939" s="1" t="str">
        <f ca="1">IFERROR(__xludf.DUMMYFUNCTION("""COMPUTED_VALUE"""),"石川界人")</f>
        <v>石川界人</v>
      </c>
      <c r="C1939" s="1" t="s">
        <v>271</v>
      </c>
      <c r="D1939" s="1" t="str">
        <f>IF(C1939="", "", IFERROR(VLOOKUP(C1939, 作品一覧!A:B, 2, FALSE), "該当なし"))</f>
        <v>未定事件簿</v>
      </c>
      <c r="E1939" s="1" t="str">
        <f ca="1">IFERROR(__xludf.DUMMYFUNCTION("""COMPUTED_VALUE"""),"水無瀬夏彦")</f>
        <v>水無瀬夏彦</v>
      </c>
      <c r="F1939" s="14" t="s">
        <v>2757</v>
      </c>
    </row>
    <row r="1940" spans="1:6" ht="15">
      <c r="A1940" s="1" t="str">
        <f t="array" aca="1" ref="A1940" ca="1">IF(B1940="", "", IFERROR(INDEX(声優一覧!A:A, MATCH(B1940, 声優一覧!B:B, 0)), "該当なし"))</f>
        <v>va_160</v>
      </c>
      <c r="B1940" s="1" t="str">
        <f ca="1">IFERROR(__xludf.DUMMYFUNCTION("""COMPUTED_VALUE"""),"福山潤")</f>
        <v>福山潤</v>
      </c>
      <c r="C1940" s="1" t="s">
        <v>271</v>
      </c>
      <c r="D1940" s="1" t="str">
        <f>IF(C1940="", "", IFERROR(VLOOKUP(C1940, 作品一覧!A:B, 2, FALSE), "該当なし"))</f>
        <v>未定事件簿</v>
      </c>
      <c r="E1940" s="1" t="str">
        <f ca="1">IFERROR(__xludf.DUMMYFUNCTION("""COMPUTED_VALUE"""),"森月黎")</f>
        <v>森月黎</v>
      </c>
      <c r="F1940" s="14" t="s">
        <v>2758</v>
      </c>
    </row>
    <row r="1941" spans="1:6" ht="15">
      <c r="A1941" s="1" t="str">
        <f t="array" aca="1" ref="A1941" ca="1">IF(B1941="", "", IFERROR(INDEX(声優一覧!A:A, MATCH(B1941, 声優一覧!B:B, 0)), "該当なし"))</f>
        <v>va_051</v>
      </c>
      <c r="B1941" s="1" t="str">
        <f ca="1">IFERROR(__xludf.DUMMYFUNCTION("""COMPUTED_VALUE"""),"梶裕貴")</f>
        <v>梶裕貴</v>
      </c>
      <c r="C1941" s="1" t="s">
        <v>271</v>
      </c>
      <c r="D1941" s="1" t="str">
        <f>IF(C1941="", "", IFERROR(VLOOKUP(C1941, 作品一覧!A:B, 2, FALSE), "該当なし"))</f>
        <v>未定事件簿</v>
      </c>
      <c r="E1941" s="1" t="str">
        <f ca="1">IFERROR(__xludf.DUMMYFUNCTION("""COMPUTED_VALUE"""),"和泉景")</f>
        <v>和泉景</v>
      </c>
      <c r="F1941" s="14" t="s">
        <v>2759</v>
      </c>
    </row>
    <row r="1942" spans="1:6" ht="13.8">
      <c r="A1942" s="1" t="str">
        <f t="array" aca="1" ref="A1942" ca="1">IF(B1942="", "", IFERROR(INDEX(声優一覧!A:A, MATCH(B1942, 声優一覧!B:B, 0)), "該当なし"))</f>
        <v>va_236</v>
      </c>
      <c r="B1942" s="1" t="str">
        <f ca="1">IFERROR(__xludf.DUMMYFUNCTION("""COMPUTED_VALUE"""),"宮野真守")</f>
        <v>宮野真守</v>
      </c>
      <c r="C1942" s="1" t="s">
        <v>73</v>
      </c>
      <c r="D1942" s="1" t="str">
        <f>IF(C1942="", "", IFERROR(VLOOKUP(C1942, 作品一覧!A:B, 2, FALSE), "該当なし"))</f>
        <v>桜蘭高校ホスト部</v>
      </c>
      <c r="E1942" s="1" t="str">
        <f ca="1">IFERROR(__xludf.DUMMYFUNCTION("""COMPUTED_VALUE"""),"須王環")</f>
        <v>須王環</v>
      </c>
      <c r="F1942" s="12" t="s">
        <v>2760</v>
      </c>
    </row>
    <row r="1943" spans="1:6" ht="13.8">
      <c r="A1943" s="1" t="str">
        <f t="array" aca="1" ref="A1943" ca="1">IF(B1943="", "", IFERROR(INDEX(声優一覧!A:A, MATCH(B1943, 声優一覧!B:B, 0)), "該当なし"))</f>
        <v>va_341</v>
      </c>
      <c r="B1943" s="1" t="str">
        <f ca="1">IFERROR(__xludf.DUMMYFUNCTION("""COMPUTED_VALUE"""),"松風雅也")</f>
        <v>松風雅也</v>
      </c>
      <c r="C1943" s="1" t="s">
        <v>73</v>
      </c>
      <c r="D1943" s="1" t="str">
        <f>IF(C1943="", "", IFERROR(VLOOKUP(C1943, 作品一覧!A:B, 2, FALSE), "該当なし"))</f>
        <v>桜蘭高校ホスト部</v>
      </c>
      <c r="E1943" s="1" t="str">
        <f ca="1">IFERROR(__xludf.DUMMYFUNCTION("""COMPUTED_VALUE"""),"鳳鏡夜")</f>
        <v>鳳鏡夜</v>
      </c>
      <c r="F1943" s="12" t="s">
        <v>2761</v>
      </c>
    </row>
    <row r="1944" spans="1:6" ht="13.8">
      <c r="A1944" s="1" t="str">
        <f t="array" aca="1" ref="A1944" ca="1">IF(B1944="", "", IFERROR(INDEX(声優一覧!A:A, MATCH(B1944, 声優一覧!B:B, 0)), "該当なし"))</f>
        <v>va_227</v>
      </c>
      <c r="B1944" s="1" t="str">
        <f ca="1">IFERROR(__xludf.DUMMYFUNCTION("""COMPUTED_VALUE"""),"鈴村健一")</f>
        <v>鈴村健一</v>
      </c>
      <c r="C1944" s="1" t="s">
        <v>73</v>
      </c>
      <c r="D1944" s="1" t="str">
        <f>IF(C1944="", "", IFERROR(VLOOKUP(C1944, 作品一覧!A:B, 2, FALSE), "該当なし"))</f>
        <v>桜蘭高校ホスト部</v>
      </c>
      <c r="E1944" s="1" t="str">
        <f ca="1">IFERROR(__xludf.DUMMYFUNCTION("""COMPUTED_VALUE"""),"常陸院光")</f>
        <v>常陸院光</v>
      </c>
      <c r="F1944" s="12" t="s">
        <v>2762</v>
      </c>
    </row>
    <row r="1945" spans="1:6" ht="13.8">
      <c r="A1945" s="1" t="str">
        <f t="array" aca="1" ref="A1945" ca="1">IF(B1945="", "", IFERROR(INDEX(声優一覧!A:A, MATCH(B1945, 声優一覧!B:B, 0)), "該当なし"))</f>
        <v>va_398</v>
      </c>
      <c r="B1945" s="1" t="str">
        <f ca="1">IFERROR(__xludf.DUMMYFUNCTION("""COMPUTED_VALUE"""),"織田圭祐")</f>
        <v>織田圭祐</v>
      </c>
      <c r="C1945" s="1" t="s">
        <v>73</v>
      </c>
      <c r="D1945" s="1" t="str">
        <f>IF(C1945="", "", IFERROR(VLOOKUP(C1945, 作品一覧!A:B, 2, FALSE), "該当なし"))</f>
        <v>桜蘭高校ホスト部</v>
      </c>
      <c r="E1945" s="1" t="str">
        <f ca="1">IFERROR(__xludf.DUMMYFUNCTION("""COMPUTED_VALUE"""),"常陸院馨")</f>
        <v>常陸院馨</v>
      </c>
      <c r="F1945" s="12" t="s">
        <v>2763</v>
      </c>
    </row>
    <row r="1946" spans="1:6" ht="13.8">
      <c r="A1946" s="1" t="str">
        <f t="array" aca="1" ref="A1946" ca="1">IF(B1946="", "", IFERROR(INDEX(声優一覧!A:A, MATCH(B1946, 声優一覧!B:B, 0)), "該当なし"))</f>
        <v>va_399</v>
      </c>
      <c r="B1946" s="1" t="str">
        <f ca="1">IFERROR(__xludf.DUMMYFUNCTION("""COMPUTED_VALUE"""),"桐井大介")</f>
        <v>桐井大介</v>
      </c>
      <c r="C1946" s="1" t="s">
        <v>73</v>
      </c>
      <c r="D1946" s="1" t="str">
        <f>IF(C1946="", "", IFERROR(VLOOKUP(C1946, 作品一覧!A:B, 2, FALSE), "該当なし"))</f>
        <v>桜蘭高校ホスト部</v>
      </c>
      <c r="E1946" s="1" t="str">
        <f ca="1">IFERROR(__xludf.DUMMYFUNCTION("""COMPUTED_VALUE"""),"銛之塚崇")</f>
        <v>銛之塚崇</v>
      </c>
      <c r="F1946" s="12" t="s">
        <v>2764</v>
      </c>
    </row>
    <row r="1947" spans="1:6" ht="15.75" customHeight="1">
      <c r="A1947" s="1" t="str">
        <f t="array" aca="1" ref="A1947" ca="1">IF(B1947="", "", IFERROR(INDEX(声優一覧!A:A, MATCH(B1947, 声優一覧!B:B, 0)), "該当なし"))</f>
        <v>va_384</v>
      </c>
      <c r="B1947" s="1" t="str">
        <f ca="1">IFERROR(__xludf.DUMMYFUNCTION("""COMPUTED_VALUE"""),"室元気")</f>
        <v>室元気</v>
      </c>
      <c r="C1947" s="1" t="s">
        <v>50</v>
      </c>
      <c r="D1947" s="1" t="str">
        <f>IF(C1947="", "", IFERROR(VLOOKUP(C1947, 作品一覧!A:B, 2, FALSE), "該当なし"))</f>
        <v>陰キャラブコメ</v>
      </c>
      <c r="E1947" s="1" t="str">
        <f ca="1">IFERROR(__xludf.DUMMYFUNCTION("""COMPUTED_VALUE"""),"だいだい")</f>
        <v>だいだい</v>
      </c>
      <c r="F1947" s="15" t="s">
        <v>2765</v>
      </c>
    </row>
    <row r="1948" spans="1:6" ht="15.75" customHeight="1">
      <c r="A1948" s="1" t="str">
        <f t="array" aca="1" ref="A1948" ca="1">IF(B1948="", "", IFERROR(INDEX(声優一覧!A:A, MATCH(B1948, 声優一覧!B:B, 0)), "該当なし"))</f>
        <v>va_026</v>
      </c>
      <c r="B1948" s="1" t="str">
        <f ca="1">IFERROR(__xludf.DUMMYFUNCTION("""COMPUTED_VALUE"""),"岩崎諒太")</f>
        <v>岩崎諒太</v>
      </c>
      <c r="C1948" s="1" t="s">
        <v>50</v>
      </c>
      <c r="D1948" s="1" t="str">
        <f>IF(C1948="", "", IFERROR(VLOOKUP(C1948, 作品一覧!A:B, 2, FALSE), "該当なし"))</f>
        <v>陰キャラブコメ</v>
      </c>
      <c r="E1948" s="1" t="str">
        <f ca="1">IFERROR(__xludf.DUMMYFUNCTION("""COMPUTED_VALUE"""),"つがい")</f>
        <v>つがい</v>
      </c>
      <c r="F1948" s="15" t="s">
        <v>2766</v>
      </c>
    </row>
    <row r="1949" spans="1:6" ht="15.75" customHeight="1">
      <c r="A1949" s="1" t="str">
        <f t="array" aca="1" ref="A1949" ca="1">IF(B1949="", "", IFERROR(INDEX(声優一覧!A:A, MATCH(B1949, 声優一覧!B:B, 0)), "該当なし"))</f>
        <v>va_086</v>
      </c>
      <c r="B1949" s="1" t="str">
        <f ca="1">IFERROR(__xludf.DUMMYFUNCTION("""COMPUTED_VALUE"""),"坂田将吾")</f>
        <v>坂田将吾</v>
      </c>
      <c r="C1949" s="1" t="s">
        <v>50</v>
      </c>
      <c r="D1949" s="1" t="str">
        <f>IF(C1949="", "", IFERROR(VLOOKUP(C1949, 作品一覧!A:B, 2, FALSE), "該当なし"))</f>
        <v>陰キャラブコメ</v>
      </c>
      <c r="E1949" s="1" t="str">
        <f ca="1">IFERROR(__xludf.DUMMYFUNCTION("""COMPUTED_VALUE"""),"ash")</f>
        <v>ash</v>
      </c>
      <c r="F1949" s="15" t="s">
        <v>2767</v>
      </c>
    </row>
    <row r="1950" spans="1:6" ht="15.75" customHeight="1">
      <c r="A1950" s="1" t="str">
        <f t="array" aca="1" ref="A1950" ca="1">IF(B1950="", "", IFERROR(INDEX(声優一覧!A:A, MATCH(B1950, 声優一覧!B:B, 0)), "該当なし"))</f>
        <v>va_075</v>
      </c>
      <c r="B1950" s="1" t="str">
        <f ca="1">IFERROR(__xludf.DUMMYFUNCTION("""COMPUTED_VALUE"""),"小林裕介")</f>
        <v>小林裕介</v>
      </c>
      <c r="C1950" s="1" t="s">
        <v>50</v>
      </c>
      <c r="D1950" s="1" t="str">
        <f>IF(C1950="", "", IFERROR(VLOOKUP(C1950, 作品一覧!A:B, 2, FALSE), "該当なし"))</f>
        <v>陰キャラブコメ</v>
      </c>
      <c r="E1950" s="1" t="str">
        <f ca="1">IFERROR(__xludf.DUMMYFUNCTION("""COMPUTED_VALUE"""),"西村")</f>
        <v>西村</v>
      </c>
      <c r="F1950" s="15" t="s">
        <v>2768</v>
      </c>
    </row>
    <row r="1951" spans="1:6" ht="13.8">
      <c r="A1951" s="1" t="str">
        <f t="array" aca="1" ref="A1951" ca="1">IF(B1951="", "", IFERROR(INDEX(声優一覧!A:A, MATCH(B1951, 声優一覧!B:B, 0)), "該当なし"))</f>
        <v>va_150</v>
      </c>
      <c r="B1951" s="1" t="str">
        <f ca="1">IFERROR(__xludf.DUMMYFUNCTION("""COMPUTED_VALUE"""),"花江夏樹")</f>
        <v>花江夏樹</v>
      </c>
      <c r="C1951" s="1" t="s">
        <v>82</v>
      </c>
      <c r="D1951" s="1" t="str">
        <f>IF(C1951="", "", IFERROR(VLOOKUP(C1951, 作品一覧!A:B, 2, FALSE), "該当なし"))</f>
        <v>学園ハンサム</v>
      </c>
      <c r="E1951" s="1" t="str">
        <f ca="1">IFERROR(__xludf.DUMMYFUNCTION("""COMPUTED_VALUE"""),"前田良樹")</f>
        <v>前田良樹</v>
      </c>
      <c r="F1951" s="12" t="s">
        <v>2769</v>
      </c>
    </row>
    <row r="1952" spans="1:6" ht="13.8">
      <c r="A1952" s="1" t="str">
        <f t="array" aca="1" ref="A1952" ca="1">IF(B1952="", "", IFERROR(INDEX(声優一覧!A:A, MATCH(B1952, 声優一覧!B:B, 0)), "該当なし"))</f>
        <v>va_066</v>
      </c>
      <c r="B1952" s="1" t="str">
        <f ca="1">IFERROR(__xludf.DUMMYFUNCTION("""COMPUTED_VALUE"""),"木村良平")</f>
        <v>木村良平</v>
      </c>
      <c r="C1952" s="1" t="s">
        <v>82</v>
      </c>
      <c r="D1952" s="1" t="str">
        <f>IF(C1952="", "", IFERROR(VLOOKUP(C1952, 作品一覧!A:B, 2, FALSE), "該当なし"))</f>
        <v>学園ハンサム</v>
      </c>
      <c r="E1952" s="1" t="str">
        <f ca="1">IFERROR(__xludf.DUMMYFUNCTION("""COMPUTED_VALUE"""),"美剣咲夜")</f>
        <v>美剣咲夜</v>
      </c>
      <c r="F1952" s="12" t="s">
        <v>2770</v>
      </c>
    </row>
    <row r="1953" spans="1:6" ht="13.8">
      <c r="A1953" s="1" t="str">
        <f t="array" aca="1" ref="A1953" ca="1">IF(B1953="", "", IFERROR(INDEX(声優一覧!A:A, MATCH(B1953, 声優一覧!B:B, 0)), "該当なし"))</f>
        <v>va_100</v>
      </c>
      <c r="B1953" s="1" t="str">
        <f ca="1">IFERROR(__xludf.DUMMYFUNCTION("""COMPUTED_VALUE"""),"鈴木裕斗")</f>
        <v>鈴木裕斗</v>
      </c>
      <c r="C1953" s="1" t="s">
        <v>82</v>
      </c>
      <c r="D1953" s="1" t="str">
        <f>IF(C1953="", "", IFERROR(VLOOKUP(C1953, 作品一覧!A:B, 2, FALSE), "該当なし"))</f>
        <v>学園ハンサム</v>
      </c>
      <c r="E1953" s="1" t="str">
        <f ca="1">IFERROR(__xludf.DUMMYFUNCTION("""COMPUTED_VALUE"""),"西園寺輝彦")</f>
        <v>西園寺輝彦</v>
      </c>
      <c r="F1953" s="12" t="s">
        <v>2771</v>
      </c>
    </row>
    <row r="1954" spans="1:6" ht="13.8">
      <c r="A1954" s="1" t="str">
        <f t="array" aca="1" ref="A1954" ca="1">IF(B1954="", "", IFERROR(INDEX(声優一覧!A:A, MATCH(B1954, 声優一覧!B:B, 0)), "該当なし"))</f>
        <v>va_048</v>
      </c>
      <c r="B1954" s="1" t="str">
        <f ca="1">IFERROR(__xludf.DUMMYFUNCTION("""COMPUTED_VALUE"""),"柿原徹也")</f>
        <v>柿原徹也</v>
      </c>
      <c r="C1954" s="1" t="s">
        <v>82</v>
      </c>
      <c r="D1954" s="1" t="str">
        <f>IF(C1954="", "", IFERROR(VLOOKUP(C1954, 作品一覧!A:B, 2, FALSE), "該当なし"))</f>
        <v>学園ハンサム</v>
      </c>
      <c r="E1954" s="1" t="str">
        <f ca="1">IFERROR(__xludf.DUMMYFUNCTION("""COMPUTED_VALUE"""),"早乙女拓也")</f>
        <v>早乙女拓也</v>
      </c>
      <c r="F1954" s="12" t="s">
        <v>2772</v>
      </c>
    </row>
    <row r="1955" spans="1:6" ht="13.8">
      <c r="A1955" s="1" t="str">
        <f t="array" aca="1" ref="A1955" ca="1">IF(B1955="", "", IFERROR(INDEX(声優一覧!A:A, MATCH(B1955, 声優一覧!B:B, 0)), "該当なし"))</f>
        <v>va_400</v>
      </c>
      <c r="B1955" s="1" t="str">
        <f ca="1">IFERROR(__xludf.DUMMYFUNCTION("""COMPUTED_VALUE"""),"野宮一範")</f>
        <v>野宮一範</v>
      </c>
      <c r="C1955" s="1" t="s">
        <v>82</v>
      </c>
      <c r="D1955" s="1" t="str">
        <f>IF(C1955="", "", IFERROR(VLOOKUP(C1955, 作品一覧!A:B, 2, FALSE), "該当なし"))</f>
        <v>学園ハンサム</v>
      </c>
      <c r="E1955" s="1" t="str">
        <f ca="1">IFERROR(__xludf.DUMMYFUNCTION("""COMPUTED_VALUE"""),"鏡蓮児")</f>
        <v>鏡蓮児</v>
      </c>
      <c r="F1955" s="10" t="s">
        <v>2773</v>
      </c>
    </row>
    <row r="1956" spans="1:6" ht="13.8">
      <c r="A1956" s="1" t="str">
        <f t="array" aca="1" ref="A1956" ca="1">IF(B1956="", "", IFERROR(INDEX(声優一覧!A:A, MATCH(B1956, 声優一覧!B:B, 0)), "該当なし"))</f>
        <v>va_401</v>
      </c>
      <c r="B1956" s="1" t="str">
        <f ca="1">IFERROR(__xludf.DUMMYFUNCTION("""COMPUTED_VALUE"""),"鶴岡聡")</f>
        <v>鶴岡聡</v>
      </c>
      <c r="C1956" s="1" t="s">
        <v>82</v>
      </c>
      <c r="D1956" s="1" t="str">
        <f>IF(C1956="", "", IFERROR(VLOOKUP(C1956, 作品一覧!A:B, 2, FALSE), "該当なし"))</f>
        <v>学園ハンサム</v>
      </c>
      <c r="E1956" s="1" t="str">
        <f ca="1">IFERROR(__xludf.DUMMYFUNCTION("""COMPUTED_VALUE"""),"志賀慎吾")</f>
        <v>志賀慎吾</v>
      </c>
      <c r="F1956" s="12" t="s">
        <v>2774</v>
      </c>
    </row>
    <row r="1957" spans="1:6" ht="13.8">
      <c r="A1957" s="1" t="str">
        <f t="array" aca="1" ref="A1957" ca="1">IF(B1957="", "", IFERROR(INDEX(声優一覧!A:A, MATCH(B1957, 声優一覧!B:B, 0)), "該当なし"))</f>
        <v>va_067</v>
      </c>
      <c r="B1957" s="1" t="str">
        <f ca="1">IFERROR(__xludf.DUMMYFUNCTION("""COMPUTED_VALUE"""),"楠大典")</f>
        <v>楠大典</v>
      </c>
      <c r="C1957" s="1" t="s">
        <v>82</v>
      </c>
      <c r="D1957" s="1" t="str">
        <f>IF(C1957="", "", IFERROR(VLOOKUP(C1957, 作品一覧!A:B, 2, FALSE), "該当なし"))</f>
        <v>学園ハンサム</v>
      </c>
      <c r="E1957" s="1" t="str">
        <f ca="1">IFERROR(__xludf.DUMMYFUNCTION("""COMPUTED_VALUE"""),"次郎")</f>
        <v>次郎</v>
      </c>
      <c r="F1957" s="12" t="s">
        <v>2775</v>
      </c>
    </row>
    <row r="1958" spans="1:6" ht="13.8">
      <c r="A1958" s="1" t="str">
        <f t="array" aca="1" ref="A1958" ca="1">IF(B1958="", "", IFERROR(INDEX(声優一覧!A:A, MATCH(B1958, 声優一覧!B:B, 0)), "該当なし"))</f>
        <v>va_060</v>
      </c>
      <c r="B1958" s="1" t="str">
        <f ca="1">IFERROR(__xludf.DUMMYFUNCTION("""COMPUTED_VALUE"""),"神尾晋一郎")</f>
        <v>神尾晋一郎</v>
      </c>
      <c r="C1958" s="1" t="s">
        <v>172</v>
      </c>
      <c r="D1958" s="1" t="str">
        <f>IF(C1958="", "", IFERROR(VLOOKUP(C1958, 作品一覧!A:B, 2, FALSE), "該当なし"))</f>
        <v>天下統一恋の乱 Love Ballad</v>
      </c>
      <c r="E1958" s="1" t="str">
        <f ca="1">IFERROR(__xludf.DUMMYFUNCTION("""COMPUTED_VALUE"""),"根津甚八")</f>
        <v>根津甚八</v>
      </c>
      <c r="F1958" s="10" t="s">
        <v>2776</v>
      </c>
    </row>
    <row r="1959" spans="1:6" ht="13.8">
      <c r="A1959" s="1" t="str">
        <f t="array" aca="1" ref="A1959" ca="1">IF(B1959="", "", IFERROR(INDEX(声優一覧!A:A, MATCH(B1959, 声優一覧!B:B, 0)), "該当なし"))</f>
        <v>va_238</v>
      </c>
      <c r="B1959" s="1" t="str">
        <f ca="1">IFERROR(__xludf.DUMMYFUNCTION("""COMPUTED_VALUE"""),"小野大輔")</f>
        <v>小野大輔</v>
      </c>
      <c r="C1959" s="1" t="s">
        <v>172</v>
      </c>
      <c r="D1959" s="1" t="str">
        <f>IF(C1959="", "", IFERROR(VLOOKUP(C1959, 作品一覧!A:B, 2, FALSE), "該当なし"))</f>
        <v>天下統一恋の乱 Love Ballad</v>
      </c>
      <c r="E1959" s="1" t="str">
        <f ca="1">IFERROR(__xludf.DUMMYFUNCTION("""COMPUTED_VALUE"""),"織田信長")</f>
        <v>織田信長</v>
      </c>
      <c r="F1959" s="10" t="s">
        <v>2777</v>
      </c>
    </row>
    <row r="1960" spans="1:6" ht="13.8">
      <c r="A1960" s="1" t="str">
        <f t="array" aca="1" ref="A1960" ca="1">IF(B1960="", "", IFERROR(INDEX(声優一覧!A:A, MATCH(B1960, 声優一覧!B:B, 0)), "該当なし"))</f>
        <v>va_043</v>
      </c>
      <c r="B1960" s="1" t="str">
        <f ca="1">IFERROR(__xludf.DUMMYFUNCTION("""COMPUTED_VALUE"""),"置鮎龍太郎")</f>
        <v>置鮎龍太郎</v>
      </c>
      <c r="C1960" s="1" t="s">
        <v>172</v>
      </c>
      <c r="D1960" s="1" t="str">
        <f>IF(C1960="", "", IFERROR(VLOOKUP(C1960, 作品一覧!A:B, 2, FALSE), "該当なし"))</f>
        <v>天下統一恋の乱 Love Ballad</v>
      </c>
      <c r="E1960" s="1" t="str">
        <f ca="1">IFERROR(__xludf.DUMMYFUNCTION("""COMPUTED_VALUE"""),"明智光秀")</f>
        <v>明智光秀</v>
      </c>
      <c r="F1960" s="10" t="s">
        <v>2778</v>
      </c>
    </row>
    <row r="1961" spans="1:6" ht="13.8">
      <c r="A1961" s="1" t="str">
        <f t="array" aca="1" ref="A1961" ca="1">IF(B1961="", "", IFERROR(INDEX(声優一覧!A:A, MATCH(B1961, 声優一覧!B:B, 0)), "該当なし"))</f>
        <v>va_172</v>
      </c>
      <c r="B1961" s="1" t="str">
        <f ca="1">IFERROR(__xludf.DUMMYFUNCTION("""COMPUTED_VALUE"""),"増田俊樹")</f>
        <v>増田俊樹</v>
      </c>
      <c r="C1961" s="1" t="s">
        <v>172</v>
      </c>
      <c r="D1961" s="1" t="str">
        <f>IF(C1961="", "", IFERROR(VLOOKUP(C1961, 作品一覧!A:B, 2, FALSE), "該当なし"))</f>
        <v>天下統一恋の乱 Love Ballad</v>
      </c>
      <c r="E1961" s="1" t="str">
        <f ca="1">IFERROR(__xludf.DUMMYFUNCTION("""COMPUTED_VALUE"""),"真田幸村")</f>
        <v>真田幸村</v>
      </c>
      <c r="F1961" s="10" t="s">
        <v>2779</v>
      </c>
    </row>
    <row r="1962" spans="1:6" ht="13.8">
      <c r="A1962" s="1" t="str">
        <f t="array" aca="1" ref="A1962" ca="1">IF(B1962="", "", IFERROR(INDEX(声優一覧!A:A, MATCH(B1962, 声優一覧!B:B, 0)), "該当なし"))</f>
        <v>va_081</v>
      </c>
      <c r="B1962" s="1" t="str">
        <f ca="1">IFERROR(__xludf.DUMMYFUNCTION("""COMPUTED_VALUE"""),"近藤隆")</f>
        <v>近藤隆</v>
      </c>
      <c r="C1962" s="1" t="s">
        <v>172</v>
      </c>
      <c r="D1962" s="1" t="str">
        <f>IF(C1962="", "", IFERROR(VLOOKUP(C1962, 作品一覧!A:B, 2, FALSE), "該当なし"))</f>
        <v>天下統一恋の乱 Love Ballad</v>
      </c>
      <c r="E1962" s="1" t="str">
        <f ca="1">IFERROR(__xludf.DUMMYFUNCTION("""COMPUTED_VALUE"""),"霧隠才蔵")</f>
        <v>霧隠才蔵</v>
      </c>
      <c r="F1962" s="10" t="s">
        <v>2780</v>
      </c>
    </row>
    <row r="1963" spans="1:6" ht="13.8">
      <c r="A1963" s="1" t="str">
        <f t="array" aca="1" ref="A1963" ca="1">IF(B1963="", "", IFERROR(INDEX(声優一覧!A:A, MATCH(B1963, 声優一覧!B:B, 0)), "該当なし"))</f>
        <v>va_013</v>
      </c>
      <c r="B1963" s="1" t="str">
        <f ca="1">IFERROR(__xludf.DUMMYFUNCTION("""COMPUTED_VALUE"""),"石川界人")</f>
        <v>石川界人</v>
      </c>
      <c r="C1963" s="1" t="s">
        <v>172</v>
      </c>
      <c r="D1963" s="1" t="str">
        <f>IF(C1963="", "", IFERROR(VLOOKUP(C1963, 作品一覧!A:B, 2, FALSE), "該当なし"))</f>
        <v>天下統一恋の乱 Love Ballad</v>
      </c>
      <c r="E1963" s="1" t="str">
        <f ca="1">IFERROR(__xludf.DUMMYFUNCTION("""COMPUTED_VALUE"""),"伊達政宗")</f>
        <v>伊達政宗</v>
      </c>
      <c r="F1963" s="10" t="s">
        <v>2781</v>
      </c>
    </row>
    <row r="1964" spans="1:6" ht="13.8">
      <c r="A1964" s="1" t="str">
        <f t="array" aca="1" ref="A1964" ca="1">IF(B1964="", "", IFERROR(INDEX(声優一覧!A:A, MATCH(B1964, 声優一覧!B:B, 0)), "該当なし"))</f>
        <v>va_078</v>
      </c>
      <c r="B1964" s="1" t="str">
        <f ca="1">IFERROR(__xludf.DUMMYFUNCTION("""COMPUTED_VALUE"""),"小西克幸")</f>
        <v>小西克幸</v>
      </c>
      <c r="C1964" s="1" t="s">
        <v>172</v>
      </c>
      <c r="D1964" s="1" t="str">
        <f>IF(C1964="", "", IFERROR(VLOOKUP(C1964, 作品一覧!A:B, 2, FALSE), "該当なし"))</f>
        <v>天下統一恋の乱 Love Ballad</v>
      </c>
      <c r="E1964" s="1" t="str">
        <f ca="1">IFERROR(__xludf.DUMMYFUNCTION("""COMPUTED_VALUE"""),"片倉小十郎")</f>
        <v>片倉小十郎</v>
      </c>
      <c r="F1964" s="10" t="s">
        <v>2782</v>
      </c>
    </row>
    <row r="1965" spans="1:6" ht="13.8">
      <c r="A1965" s="1" t="str">
        <f t="array" aca="1" ref="A1965" ca="1">IF(B1965="", "", IFERROR(INDEX(声優一覧!A:A, MATCH(B1965, 声優一覧!B:B, 0)), "該当なし"))</f>
        <v>va_115</v>
      </c>
      <c r="B1965" s="1" t="str">
        <f ca="1">IFERROR(__xludf.DUMMYFUNCTION("""COMPUTED_VALUE"""),"谷山紀章")</f>
        <v>谷山紀章</v>
      </c>
      <c r="C1965" s="1" t="s">
        <v>172</v>
      </c>
      <c r="D1965" s="1" t="str">
        <f>IF(C1965="", "", IFERROR(VLOOKUP(C1965, 作品一覧!A:B, 2, FALSE), "該当なし"))</f>
        <v>天下統一恋の乱 Love Ballad</v>
      </c>
      <c r="E1965" s="1" t="str">
        <f ca="1">IFERROR(__xludf.DUMMYFUNCTION("""COMPUTED_VALUE"""),"豊臣秀吉")</f>
        <v>豊臣秀吉</v>
      </c>
      <c r="F1965" s="10" t="s">
        <v>2783</v>
      </c>
    </row>
    <row r="1966" spans="1:6" ht="13.8">
      <c r="A1966" s="1" t="str">
        <f t="array" aca="1" ref="A1966" ca="1">IF(B1966="", "", IFERROR(INDEX(声優一覧!A:A, MATCH(B1966, 声優一覧!B:B, 0)), "該当なし"))</f>
        <v>va_046</v>
      </c>
      <c r="B1966" s="1" t="str">
        <f ca="1">IFERROR(__xludf.DUMMYFUNCTION("""COMPUTED_VALUE"""),"小野友樹")</f>
        <v>小野友樹</v>
      </c>
      <c r="C1966" s="1" t="s">
        <v>172</v>
      </c>
      <c r="D1966" s="1" t="str">
        <f>IF(C1966="", "", IFERROR(VLOOKUP(C1966, 作品一覧!A:B, 2, FALSE), "該当なし"))</f>
        <v>天下統一恋の乱 Love Ballad</v>
      </c>
      <c r="E1966" s="1" t="str">
        <f ca="1">IFERROR(__xludf.DUMMYFUNCTION("""COMPUTED_VALUE"""),"前田利家")</f>
        <v>前田利家</v>
      </c>
      <c r="F1966" s="10" t="s">
        <v>2784</v>
      </c>
    </row>
    <row r="1967" spans="1:6" ht="13.8">
      <c r="A1967" s="1" t="str">
        <f t="array" aca="1" ref="A1967" ca="1">IF(B1967="", "", IFERROR(INDEX(声優一覧!A:A, MATCH(B1967, 声優一覧!B:B, 0)), "該当なし"))</f>
        <v>va_051</v>
      </c>
      <c r="B1967" s="1" t="str">
        <f ca="1">IFERROR(__xludf.DUMMYFUNCTION("""COMPUTED_VALUE"""),"梶裕貴")</f>
        <v>梶裕貴</v>
      </c>
      <c r="C1967" s="1" t="s">
        <v>172</v>
      </c>
      <c r="D1967" s="1" t="str">
        <f>IF(C1967="", "", IFERROR(VLOOKUP(C1967, 作品一覧!A:B, 2, FALSE), "該当なし"))</f>
        <v>天下統一恋の乱 Love Ballad</v>
      </c>
      <c r="E1967" s="1" t="str">
        <f ca="1">IFERROR(__xludf.DUMMYFUNCTION("""COMPUTED_VALUE"""),"徳川家康")</f>
        <v>徳川家康</v>
      </c>
      <c r="F1967" s="10" t="s">
        <v>2785</v>
      </c>
    </row>
    <row r="1968" spans="1:6" ht="13.8">
      <c r="A1968" s="1" t="str">
        <f t="array" aca="1" ref="A1968" ca="1">IF(B1968="", "", IFERROR(INDEX(声優一覧!A:A, MATCH(B1968, 声優一覧!B:B, 0)), "該当なし"))</f>
        <v>va_269</v>
      </c>
      <c r="B1968" s="1" t="str">
        <f ca="1">IFERROR(__xludf.DUMMYFUNCTION("""COMPUTED_VALUE"""),"森田成一")</f>
        <v>森田成一</v>
      </c>
      <c r="C1968" s="1" t="s">
        <v>172</v>
      </c>
      <c r="D1968" s="1" t="str">
        <f>IF(C1968="", "", IFERROR(VLOOKUP(C1968, 作品一覧!A:B, 2, FALSE), "該当なし"))</f>
        <v>天下統一恋の乱 Love Ballad</v>
      </c>
      <c r="E1968" s="1" t="str">
        <f ca="1">IFERROR(__xludf.DUMMYFUNCTION("""COMPUTED_VALUE"""),"石田三成")</f>
        <v>石田三成</v>
      </c>
      <c r="F1968" s="10" t="s">
        <v>2786</v>
      </c>
    </row>
    <row r="1969" spans="1:6" ht="13.8">
      <c r="A1969" s="1" t="str">
        <f t="array" aca="1" ref="A1969" ca="1">IF(B1969="", "", IFERROR(INDEX(声優一覧!A:A, MATCH(B1969, 声優一覧!B:B, 0)), "該当なし"))</f>
        <v>va_206</v>
      </c>
      <c r="B1969" s="1" t="str">
        <f ca="1">IFERROR(__xludf.DUMMYFUNCTION("""COMPUTED_VALUE"""),"黒田崇矢")</f>
        <v>黒田崇矢</v>
      </c>
      <c r="C1969" s="1" t="s">
        <v>172</v>
      </c>
      <c r="D1969" s="1" t="str">
        <f>IF(C1969="", "", IFERROR(VLOOKUP(C1969, 作品一覧!A:B, 2, FALSE), "該当なし"))</f>
        <v>天下統一恋の乱 Love Ballad</v>
      </c>
      <c r="E1969" s="1" t="str">
        <f ca="1">IFERROR(__xludf.DUMMYFUNCTION("""COMPUTED_VALUE"""),"武田信玄")</f>
        <v>武田信玄</v>
      </c>
      <c r="F1969" s="10" t="s">
        <v>2787</v>
      </c>
    </row>
    <row r="1970" spans="1:6" ht="13.8">
      <c r="A1970" s="1" t="str">
        <f t="array" aca="1" ref="A1970" ca="1">IF(B1970="", "", IFERROR(INDEX(声優一覧!A:A, MATCH(B1970, 声優一覧!B:B, 0)), "該当なし"))</f>
        <v>va_138</v>
      </c>
      <c r="B1970" s="1" t="str">
        <f ca="1">IFERROR(__xludf.DUMMYFUNCTION("""COMPUTED_VALUE"""),"浪川大輔")</f>
        <v>浪川大輔</v>
      </c>
      <c r="C1970" s="1" t="s">
        <v>172</v>
      </c>
      <c r="D1970" s="1" t="str">
        <f>IF(C1970="", "", IFERROR(VLOOKUP(C1970, 作品一覧!A:B, 2, FALSE), "該当なし"))</f>
        <v>天下統一恋の乱 Love Ballad</v>
      </c>
      <c r="E1970" s="1" t="str">
        <f ca="1">IFERROR(__xludf.DUMMYFUNCTION("""COMPUTED_VALUE"""),"上杉謙信")</f>
        <v>上杉謙信</v>
      </c>
      <c r="F1970" s="10" t="s">
        <v>2788</v>
      </c>
    </row>
    <row r="1971" spans="1:6" ht="13.8">
      <c r="A1971" s="1" t="str">
        <f t="array" aca="1" ref="A1971" ca="1">IF(B1971="", "", IFERROR(INDEX(声優一覧!A:A, MATCH(B1971, 声優一覧!B:B, 0)), "該当なし"))</f>
        <v>va_030</v>
      </c>
      <c r="B1971" s="1" t="str">
        <f ca="1">IFERROR(__xludf.DUMMYFUNCTION("""COMPUTED_VALUE"""),"内田雄馬")</f>
        <v>内田雄馬</v>
      </c>
      <c r="C1971" s="1" t="s">
        <v>172</v>
      </c>
      <c r="D1971" s="1" t="str">
        <f>IF(C1971="", "", IFERROR(VLOOKUP(C1971, 作品一覧!A:B, 2, FALSE), "該当なし"))</f>
        <v>天下統一恋の乱 Love Ballad</v>
      </c>
      <c r="E1971" s="1" t="str">
        <f ca="1">IFERROR(__xludf.DUMMYFUNCTION("""COMPUTED_VALUE"""),"伊達成実")</f>
        <v>伊達成実</v>
      </c>
      <c r="F1971" s="10" t="s">
        <v>2789</v>
      </c>
    </row>
    <row r="1972" spans="1:6" ht="13.8">
      <c r="A1972" s="1" t="str">
        <f t="array" aca="1" ref="A1972" ca="1">IF(B1972="", "", IFERROR(INDEX(声優一覧!A:A, MATCH(B1972, 声優一覧!B:B, 0)), "該当なし"))</f>
        <v>va_132</v>
      </c>
      <c r="B1972" s="1" t="str">
        <f ca="1">IFERROR(__xludf.DUMMYFUNCTION("""COMPUTED_VALUE"""),"鳥海浩輔")</f>
        <v>鳥海浩輔</v>
      </c>
      <c r="C1972" s="1" t="s">
        <v>172</v>
      </c>
      <c r="D1972" s="1" t="str">
        <f>IF(C1972="", "", IFERROR(VLOOKUP(C1972, 作品一覧!A:B, 2, FALSE), "該当なし"))</f>
        <v>天下統一恋の乱 Love Ballad</v>
      </c>
      <c r="E1972" s="1" t="str">
        <f ca="1">IFERROR(__xludf.DUMMYFUNCTION("""COMPUTED_VALUE"""),"真田信幸")</f>
        <v>真田信幸</v>
      </c>
      <c r="F1972" s="10" t="s">
        <v>2790</v>
      </c>
    </row>
    <row r="1973" spans="1:6" ht="13.8">
      <c r="A1973" s="1" t="str">
        <f t="array" aca="1" ref="A1973" ca="1">IF(B1973="", "", IFERROR(INDEX(声優一覧!A:A, MATCH(B1973, 声優一覧!B:B, 0)), "該当なし"))</f>
        <v>va_035</v>
      </c>
      <c r="B1973" s="1" t="str">
        <f ca="1">IFERROR(__xludf.DUMMYFUNCTION("""COMPUTED_VALUE"""),"江口拓也")</f>
        <v>江口拓也</v>
      </c>
      <c r="C1973" s="1" t="s">
        <v>172</v>
      </c>
      <c r="D1973" s="1" t="str">
        <f>IF(C1973="", "", IFERROR(VLOOKUP(C1973, 作品一覧!A:B, 2, FALSE), "該当なし"))</f>
        <v>天下統一恋の乱 Love Ballad</v>
      </c>
      <c r="E1973" s="1" t="str">
        <f ca="1">IFERROR(__xludf.DUMMYFUNCTION("""COMPUTED_VALUE"""),"柿崎景家")</f>
        <v>柿崎景家</v>
      </c>
      <c r="F1973" s="10" t="s">
        <v>2791</v>
      </c>
    </row>
    <row r="1974" spans="1:6" ht="13.8">
      <c r="A1974" s="1" t="str">
        <f t="array" aca="1" ref="A1974" ca="1">IF(B1974="", "", IFERROR(INDEX(声優一覧!A:A, MATCH(B1974, 声優一覧!B:B, 0)), "該当なし"))</f>
        <v>va_094</v>
      </c>
      <c r="B1974" s="1" t="str">
        <f ca="1">IFERROR(__xludf.DUMMYFUNCTION("""COMPUTED_VALUE"""),"島﨑信長")</f>
        <v>島﨑信長</v>
      </c>
      <c r="C1974" s="1" t="s">
        <v>172</v>
      </c>
      <c r="D1974" s="1" t="str">
        <f>IF(C1974="", "", IFERROR(VLOOKUP(C1974, 作品一覧!A:B, 2, FALSE), "該当なし"))</f>
        <v>天下統一恋の乱 Love Ballad</v>
      </c>
      <c r="E1974" s="1" t="str">
        <f ca="1">IFERROR(__xludf.DUMMYFUNCTION("""COMPUTED_VALUE"""),"藤林朔夜")</f>
        <v>藤林朔夜</v>
      </c>
      <c r="F1974" s="10" t="s">
        <v>2792</v>
      </c>
    </row>
    <row r="1975" spans="1:6" ht="13.8">
      <c r="A1975" s="1" t="str">
        <f t="array" aca="1" ref="A1975" ca="1">IF(B1975="", "", IFERROR(INDEX(声優一覧!A:A, MATCH(B1975, 声優一覧!B:B, 0)), "該当なし"))</f>
        <v>va_186</v>
      </c>
      <c r="B1975" s="1" t="str">
        <f ca="1">IFERROR(__xludf.DUMMYFUNCTION("""COMPUTED_VALUE"""),"森川智之")</f>
        <v>森川智之</v>
      </c>
      <c r="C1975" s="1" t="s">
        <v>172</v>
      </c>
      <c r="D1975" s="1" t="str">
        <f>IF(C1975="", "", IFERROR(VLOOKUP(C1975, 作品一覧!A:B, 2, FALSE), "該当なし"))</f>
        <v>天下統一恋の乱 Love Ballad</v>
      </c>
      <c r="E1975" s="1" t="str">
        <f ca="1">IFERROR(__xludf.DUMMYFUNCTION("""COMPUTED_VALUE"""),"猿飛佐助")</f>
        <v>猿飛佐助</v>
      </c>
      <c r="F1975" s="10" t="s">
        <v>2793</v>
      </c>
    </row>
    <row r="1976" spans="1:6" ht="13.8">
      <c r="A1976" s="1" t="str">
        <f t="array" aca="1" ref="A1976" ca="1">IF(B1976="", "", IFERROR(INDEX(声優一覧!A:A, MATCH(B1976, 声優一覧!B:B, 0)), "該当なし"))</f>
        <v>va_090</v>
      </c>
      <c r="B1976" s="1" t="str">
        <f ca="1">IFERROR(__xludf.DUMMYFUNCTION("""COMPUTED_VALUE"""),"佐藤拓也")</f>
        <v>佐藤拓也</v>
      </c>
      <c r="C1976" s="1" t="s">
        <v>172</v>
      </c>
      <c r="D1976" s="1" t="str">
        <f>IF(C1976="", "", IFERROR(VLOOKUP(C1976, 作品一覧!A:B, 2, FALSE), "該当なし"))</f>
        <v>天下統一恋の乱 Love Ballad</v>
      </c>
      <c r="E1976" s="1" t="str">
        <f ca="1">IFERROR(__xludf.DUMMYFUNCTION("""COMPUTED_VALUE"""),"服部半蔵")</f>
        <v>服部半蔵</v>
      </c>
      <c r="F1976" s="10" t="s">
        <v>2794</v>
      </c>
    </row>
    <row r="1977" spans="1:6" ht="13.8">
      <c r="A1977" s="1" t="str">
        <f t="array" aca="1" ref="A1977" ca="1">IF(B1977="", "", IFERROR(INDEX(声優一覧!A:A, MATCH(B1977, 声優一覧!B:B, 0)), "該当なし"))</f>
        <v>va_096</v>
      </c>
      <c r="B1977" s="1" t="str">
        <f ca="1">IFERROR(__xludf.DUMMYFUNCTION("""COMPUTED_VALUE"""),"白井悠介")</f>
        <v>白井悠介</v>
      </c>
      <c r="C1977" s="1" t="s">
        <v>172</v>
      </c>
      <c r="D1977" s="1" t="str">
        <f>IF(C1977="", "", IFERROR(VLOOKUP(C1977, 作品一覧!A:B, 2, FALSE), "該当なし"))</f>
        <v>天下統一恋の乱 Love Ballad</v>
      </c>
      <c r="E1977" s="1" t="str">
        <f ca="1">IFERROR(__xludf.DUMMYFUNCTION("""COMPUTED_VALUE"""),"藤林弦夜")</f>
        <v>藤林弦夜</v>
      </c>
      <c r="F1977" s="10" t="s">
        <v>2795</v>
      </c>
    </row>
    <row r="1978" spans="1:6" ht="13.8">
      <c r="A1978" s="1" t="str">
        <f t="array" aca="1" ref="A1978" ca="1">IF(B1978="", "", IFERROR(INDEX(声優一覧!A:A, MATCH(B1978, 声優一覧!B:B, 0)), "該当なし"))</f>
        <v>va_150</v>
      </c>
      <c r="B1978" s="1" t="str">
        <f ca="1">IFERROR(__xludf.DUMMYFUNCTION("""COMPUTED_VALUE"""),"花江夏樹")</f>
        <v>花江夏樹</v>
      </c>
      <c r="C1978" s="1" t="s">
        <v>172</v>
      </c>
      <c r="D1978" s="1" t="str">
        <f>IF(C1978="", "", IFERROR(VLOOKUP(C1978, 作品一覧!A:B, 2, FALSE), "該当なし"))</f>
        <v>天下統一恋の乱 Love Ballad</v>
      </c>
      <c r="E1978" s="1" t="str">
        <f ca="1">IFERROR(__xludf.DUMMYFUNCTION("""COMPUTED_VALUE"""),"霧隠蛍")</f>
        <v>霧隠蛍</v>
      </c>
      <c r="F1978" s="10" t="s">
        <v>2796</v>
      </c>
    </row>
    <row r="1979" spans="1:6" ht="13.8">
      <c r="A1979" s="1" t="str">
        <f t="array" aca="1" ref="A1979" ca="1">IF(B1979="", "", IFERROR(INDEX(声優一覧!A:A, MATCH(B1979, 声優一覧!B:B, 0)), "該当なし"))</f>
        <v>va_157</v>
      </c>
      <c r="B1979" s="1" t="str">
        <f ca="1">IFERROR(__xludf.DUMMYFUNCTION("""COMPUTED_VALUE"""),"平川大輔")</f>
        <v>平川大輔</v>
      </c>
      <c r="C1979" s="1" t="s">
        <v>172</v>
      </c>
      <c r="D1979" s="1" t="str">
        <f>IF(C1979="", "", IFERROR(VLOOKUP(C1979, 作品一覧!A:B, 2, FALSE), "該当なし"))</f>
        <v>天下統一恋の乱 Love Ballad</v>
      </c>
      <c r="E1979" s="1" t="str">
        <f ca="1">IFERROR(__xludf.DUMMYFUNCTION("""COMPUTED_VALUE"""),"鳴神恭一郎")</f>
        <v>鳴神恭一郎</v>
      </c>
      <c r="F1979" s="10" t="s">
        <v>2797</v>
      </c>
    </row>
    <row r="1980" spans="1:6" ht="13.8">
      <c r="A1980" s="1" t="str">
        <f t="array" aca="1" ref="A1980" ca="1">IF(B1980="", "", IFERROR(INDEX(声優一覧!A:A, MATCH(B1980, 声優一覧!B:B, 0)), "該当なし"))</f>
        <v>va_160</v>
      </c>
      <c r="B1980" s="1" t="str">
        <f ca="1">IFERROR(__xludf.DUMMYFUNCTION("""COMPUTED_VALUE"""),"福山潤")</f>
        <v>福山潤</v>
      </c>
      <c r="C1980" s="1" t="s">
        <v>172</v>
      </c>
      <c r="D1980" s="1" t="str">
        <f>IF(C1980="", "", IFERROR(VLOOKUP(C1980, 作品一覧!A:B, 2, FALSE), "該当なし"))</f>
        <v>天下統一恋の乱 Love Ballad</v>
      </c>
      <c r="E1980" s="1" t="str">
        <f ca="1">IFERROR(__xludf.DUMMYFUNCTION("""COMPUTED_VALUE"""),"三葉楓悟")</f>
        <v>三葉楓悟</v>
      </c>
      <c r="F1980" s="10" t="s">
        <v>2798</v>
      </c>
    </row>
    <row r="1981" spans="1:6" ht="13.8">
      <c r="A1981" s="1" t="str">
        <f t="array" aca="1" ref="A1981" ca="1">IF(B1981="", "", IFERROR(INDEX(声優一覧!A:A, MATCH(B1981, 声優一覧!B:B, 0)), "該当なし"))</f>
        <v>va_083</v>
      </c>
      <c r="B1981" s="1" t="str">
        <f ca="1">IFERROR(__xludf.DUMMYFUNCTION("""COMPUTED_VALUE"""),"斉藤壮馬")</f>
        <v>斉藤壮馬</v>
      </c>
      <c r="C1981" s="1" t="s">
        <v>172</v>
      </c>
      <c r="D1981" s="1" t="str">
        <f>IF(C1981="", "", IFERROR(VLOOKUP(C1981, 作品一覧!A:B, 2, FALSE), "該当なし"))</f>
        <v>天下統一恋の乱 Love Ballad</v>
      </c>
      <c r="E1981" s="1" t="str">
        <f ca="1">IFERROR(__xludf.DUMMYFUNCTION("""COMPUTED_VALUE"""),"望月志真")</f>
        <v>望月志真</v>
      </c>
      <c r="F1981" s="10" t="s">
        <v>2799</v>
      </c>
    </row>
    <row r="1982" spans="1:6" ht="13.8">
      <c r="A1982" s="1" t="str">
        <f t="array" aca="1" ref="A1982" ca="1">IF(B1982="", "", IFERROR(INDEX(声優一覧!A:A, MATCH(B1982, 声優一覧!B:B, 0)), "該当なし"))</f>
        <v>va_075</v>
      </c>
      <c r="B1982" s="1" t="str">
        <f ca="1">IFERROR(__xludf.DUMMYFUNCTION("""COMPUTED_VALUE"""),"小林裕介")</f>
        <v>小林裕介</v>
      </c>
      <c r="C1982" s="1" t="s">
        <v>107</v>
      </c>
      <c r="D1982" s="1" t="str">
        <f>IF(C1982="", "", IFERROR(VLOOKUP(C1982, 作品一覧!A:B, 2, FALSE), "該当なし"))</f>
        <v>恋と深空</v>
      </c>
      <c r="E1982" s="1" t="str">
        <f ca="1">IFERROR(__xludf.DUMMYFUNCTION("""COMPUTED_VALUE"""),"セイヤ")</f>
        <v>セイヤ</v>
      </c>
      <c r="F1982" s="12" t="s">
        <v>2800</v>
      </c>
    </row>
    <row r="1983" spans="1:6" ht="13.8">
      <c r="A1983" s="1" t="str">
        <f t="array" aca="1" ref="A1983" ca="1">IF(B1983="", "", IFERROR(INDEX(声優一覧!A:A, MATCH(B1983, 声優一覧!B:B, 0)), "該当なし"))</f>
        <v>va_143</v>
      </c>
      <c r="B1983" s="1" t="str">
        <f ca="1">IFERROR(__xludf.DUMMYFUNCTION("""COMPUTED_VALUE"""),"野島健児")</f>
        <v>野島健児</v>
      </c>
      <c r="C1983" s="1" t="s">
        <v>107</v>
      </c>
      <c r="D1983" s="1" t="str">
        <f>IF(C1983="", "", IFERROR(VLOOKUP(C1983, 作品一覧!A:B, 2, FALSE), "該当なし"))</f>
        <v>恋と深空</v>
      </c>
      <c r="E1983" s="1" t="str">
        <f ca="1">IFERROR(__xludf.DUMMYFUNCTION("""COMPUTED_VALUE"""),"マヒル")</f>
        <v>マヒル</v>
      </c>
      <c r="F1983" s="12" t="s">
        <v>2801</v>
      </c>
    </row>
    <row r="1984" spans="1:6" ht="13.8">
      <c r="A1984" s="1" t="str">
        <f t="array" aca="1" ref="A1984" ca="1">IF(B1984="", "", IFERROR(INDEX(声優一覧!A:A, MATCH(B1984, 声優一覧!B:B, 0)), "該当なし"))</f>
        <v>va_114</v>
      </c>
      <c r="B1984" s="1" t="str">
        <f ca="1">IFERROR(__xludf.DUMMYFUNCTION("""COMPUTED_VALUE"""),"立花慎之介")</f>
        <v>立花慎之介</v>
      </c>
      <c r="C1984" s="1" t="s">
        <v>107</v>
      </c>
      <c r="D1984" s="1" t="str">
        <f>IF(C1984="", "", IFERROR(VLOOKUP(C1984, 作品一覧!A:B, 2, FALSE), "該当なし"))</f>
        <v>恋と深空</v>
      </c>
      <c r="E1984" s="1" t="str">
        <f ca="1">IFERROR(__xludf.DUMMYFUNCTION("""COMPUTED_VALUE"""),"ホムラ")</f>
        <v>ホムラ</v>
      </c>
      <c r="F1984" s="12" t="s">
        <v>2802</v>
      </c>
    </row>
    <row r="1985" spans="1:7" ht="13.8">
      <c r="A1985" s="1" t="str">
        <f t="array" aca="1" ref="A1985" ca="1">IF(B1985="", "", IFERROR(INDEX(声優一覧!A:A, MATCH(B1985, 声優一覧!B:B, 0)), "該当なし"))</f>
        <v>va_124</v>
      </c>
      <c r="B1985" s="1" t="str">
        <f ca="1">IFERROR(__xludf.DUMMYFUNCTION("""COMPUTED_VALUE"""),"寺島惇太")</f>
        <v>寺島惇太</v>
      </c>
      <c r="C1985" s="1" t="s">
        <v>107</v>
      </c>
      <c r="D1985" s="1" t="str">
        <f>IF(C1985="", "", IFERROR(VLOOKUP(C1985, 作品一覧!A:B, 2, FALSE), "該当なし"))</f>
        <v>恋と深空</v>
      </c>
      <c r="E1985" s="1" t="str">
        <f ca="1">IFERROR(__xludf.DUMMYFUNCTION("""COMPUTED_VALUE"""),"レイ")</f>
        <v>レイ</v>
      </c>
      <c r="F1985" s="12" t="s">
        <v>2803</v>
      </c>
    </row>
    <row r="1986" spans="1:7" ht="13.8">
      <c r="A1986" s="1" t="str">
        <f t="array" aca="1" ref="A1986" ca="1">IF(B1986="", "", IFERROR(INDEX(声優一覧!A:A, MATCH(B1986, 声優一覧!B:B, 0)), "該当なし"))</f>
        <v>va_078</v>
      </c>
      <c r="B1986" s="1" t="str">
        <f ca="1">IFERROR(__xludf.DUMMYFUNCTION("""COMPUTED_VALUE"""),"小西克幸")</f>
        <v>小西克幸</v>
      </c>
      <c r="C1986" s="1" t="s">
        <v>107</v>
      </c>
      <c r="D1986" s="1" t="str">
        <f>IF(C1986="", "", IFERROR(VLOOKUP(C1986, 作品一覧!A:B, 2, FALSE), "該当なし"))</f>
        <v>恋と深空</v>
      </c>
      <c r="E1986" s="1" t="str">
        <f ca="1">IFERROR(__xludf.DUMMYFUNCTION("""COMPUTED_VALUE"""),"シン")</f>
        <v>シン</v>
      </c>
      <c r="F1986" s="12" t="s">
        <v>2804</v>
      </c>
    </row>
    <row r="1987" spans="1:7" ht="13.8">
      <c r="A1987" s="1" t="str">
        <f t="array" aca="1" ref="A1987" ca="1">IF(B1987="", "", IFERROR(INDEX(声優一覧!A:A, MATCH(B1987, 声優一覧!B:B, 0)), "該当なし"))</f>
        <v>va_402</v>
      </c>
      <c r="B1987" s="1" t="str">
        <f ca="1">IFERROR(__xludf.DUMMYFUNCTION("""COMPUTED_VALUE"""),"高野大河")</f>
        <v>高野大河</v>
      </c>
      <c r="C1987" s="1" t="s">
        <v>223</v>
      </c>
      <c r="D1987" s="1" t="str">
        <f>IF(C1987="", "", IFERROR(VLOOKUP(C1987, 作品一覧!A:B, 2, FALSE), "該当なし"))</f>
        <v>美男高校地球防衛部シリーズ</v>
      </c>
      <c r="E1987" s="1" t="str">
        <f ca="1">IFERROR(__xludf.DUMMYFUNCTION("""COMPUTED_VALUE"""),"雲仙新九郎")</f>
        <v>雲仙新九郎</v>
      </c>
      <c r="F1987" s="16" t="s">
        <v>2805</v>
      </c>
      <c r="G1987" s="17"/>
    </row>
    <row r="1988" spans="1:7" ht="13.8">
      <c r="A1988" s="1" t="str">
        <f t="array" aca="1" ref="A1988" ca="1">IF(B1988="", "", IFERROR(INDEX(声優一覧!A:A, MATCH(B1988, 声優一覧!B:B, 0)), "該当なし"))</f>
        <v>va_392</v>
      </c>
      <c r="B1988" s="1" t="str">
        <f ca="1">IFERROR(__xludf.DUMMYFUNCTION("""COMPUTED_VALUE"""),"長岡龍歩")</f>
        <v>長岡龍歩</v>
      </c>
      <c r="C1988" s="1" t="s">
        <v>223</v>
      </c>
      <c r="D1988" s="1" t="str">
        <f>IF(C1988="", "", IFERROR(VLOOKUP(C1988, 作品一覧!A:B, 2, FALSE), "該当なし"))</f>
        <v>美男高校地球防衛部シリーズ</v>
      </c>
      <c r="E1988" s="1" t="str">
        <f ca="1">IFERROR(__xludf.DUMMYFUNCTION("""COMPUTED_VALUE"""),"酸ヶ湯愛琉志")</f>
        <v>酸ヶ湯愛琉志</v>
      </c>
      <c r="F1988" s="16" t="s">
        <v>2806</v>
      </c>
      <c r="G1988" s="17"/>
    </row>
    <row r="1989" spans="1:7" ht="13.8">
      <c r="A1989" s="1" t="str">
        <f t="array" aca="1" ref="A1989" ca="1">IF(B1989="", "", IFERROR(INDEX(声優一覧!A:A, MATCH(B1989, 声優一覧!B:B, 0)), "該当なし"))</f>
        <v>va_403</v>
      </c>
      <c r="B1989" s="1" t="str">
        <f ca="1">IFERROR(__xludf.DUMMYFUNCTION("""COMPUTED_VALUE"""),"観世智顕")</f>
        <v>観世智顕</v>
      </c>
      <c r="C1989" s="1" t="s">
        <v>223</v>
      </c>
      <c r="D1989" s="1" t="str">
        <f>IF(C1989="", "", IFERROR(VLOOKUP(C1989, 作品一覧!A:B, 2, FALSE), "該当なし"))</f>
        <v>美男高校地球防衛部シリーズ</v>
      </c>
      <c r="E1989" s="1" t="str">
        <f ca="1">IFERROR(__xludf.DUMMYFUNCTION("""COMPUTED_VALUE"""),"卯花惣輔")</f>
        <v>卯花惣輔</v>
      </c>
      <c r="F1989" s="16" t="s">
        <v>2807</v>
      </c>
      <c r="G1989" s="17"/>
    </row>
    <row r="1990" spans="1:7" ht="13.8">
      <c r="A1990" s="1" t="str">
        <f t="array" aca="1" ref="A1990" ca="1">IF(B1990="", "", IFERROR(INDEX(声優一覧!A:A, MATCH(B1990, 声優一覧!B:B, 0)), "該当なし"))</f>
        <v>va_404</v>
      </c>
      <c r="B1990" s="1" t="str">
        <f ca="1">IFERROR(__xludf.DUMMYFUNCTION("""COMPUTED_VALUE"""),"小池貴大")</f>
        <v>小池貴大</v>
      </c>
      <c r="C1990" s="1" t="s">
        <v>223</v>
      </c>
      <c r="D1990" s="1" t="str">
        <f>IF(C1990="", "", IFERROR(VLOOKUP(C1990, 作品一覧!A:B, 2, FALSE), "該当なし"))</f>
        <v>美男高校地球防衛部シリーズ</v>
      </c>
      <c r="E1990" s="1" t="str">
        <f ca="1">IFERROR(__xludf.DUMMYFUNCTION("""COMPUTED_VALUE"""),"長万部潮")</f>
        <v>長万部潮</v>
      </c>
      <c r="F1990" s="16" t="s">
        <v>2808</v>
      </c>
      <c r="G1990" s="17"/>
    </row>
    <row r="1991" spans="1:7" ht="13.8">
      <c r="A1991" s="1" t="str">
        <f t="array" aca="1" ref="A1991" ca="1">IF(B1991="", "", IFERROR(INDEX(声優一覧!A:A, MATCH(B1991, 声優一覧!B:B, 0)), "該当なし"))</f>
        <v>va_070</v>
      </c>
      <c r="B1991" s="1" t="str">
        <f ca="1">IFERROR(__xludf.DUMMYFUNCTION("""COMPUTED_VALUE"""),"草野太一")</f>
        <v>草野太一</v>
      </c>
      <c r="C1991" s="1" t="s">
        <v>223</v>
      </c>
      <c r="D1991" s="1" t="str">
        <f>IF(C1991="", "", IFERROR(VLOOKUP(C1991, 作品一覧!A:B, 2, FALSE), "該当なし"))</f>
        <v>美男高校地球防衛部シリーズ</v>
      </c>
      <c r="E1991" s="1" t="str">
        <f ca="1">IFERROR(__xludf.DUMMYFUNCTION("""COMPUTED_VALUE"""),"阿蘇空太")</f>
        <v>阿蘇空太</v>
      </c>
      <c r="F1991" s="16" t="s">
        <v>2809</v>
      </c>
      <c r="G1991" s="17"/>
    </row>
    <row r="1992" spans="1:7" ht="13.8">
      <c r="A1992" s="1" t="str">
        <f t="array" aca="1" ref="A1992" ca="1">IF(B1992="", "", IFERROR(INDEX(声優一覧!A:A, MATCH(B1992, 声優一覧!B:B, 0)), "該当なし"))</f>
        <v/>
      </c>
      <c r="B1992" s="1" t="str">
        <f ca="1">IFERROR(__xludf.DUMMYFUNCTION("""COMPUTED_VALUE"""),"")</f>
        <v/>
      </c>
      <c r="C1992" s="1"/>
      <c r="D1992" s="1" t="str">
        <f>IF(C1992="", "", IFERROR(VLOOKUP(C1992, 作品一覧!A:B, 2, FALSE), "該当なし"))</f>
        <v/>
      </c>
      <c r="E1992" s="1" t="str">
        <f ca="1">IFERROR(__xludf.DUMMYFUNCTION("""COMPUTED_VALUE"""),"")</f>
        <v/>
      </c>
      <c r="F1992" s="16"/>
      <c r="G1992" s="17"/>
    </row>
  </sheetData>
  <phoneticPr fontId="19"/>
  <hyperlinks>
    <hyperlink ref="F640" r:id="rId1" xr:uid="{00000000-0004-0000-0400-000000000000}"/>
    <hyperlink ref="F641" r:id="rId2" xr:uid="{00000000-0004-0000-0400-000001000000}"/>
    <hyperlink ref="F642" r:id="rId3" xr:uid="{00000000-0004-0000-0400-000002000000}"/>
    <hyperlink ref="F643" r:id="rId4" xr:uid="{00000000-0004-0000-0400-000003000000}"/>
    <hyperlink ref="F644" r:id="rId5" xr:uid="{00000000-0004-0000-0400-000004000000}"/>
    <hyperlink ref="F645" r:id="rId6" xr:uid="{00000000-0004-0000-0400-000005000000}"/>
    <hyperlink ref="F646" r:id="rId7" xr:uid="{00000000-0004-0000-0400-000006000000}"/>
    <hyperlink ref="F647" r:id="rId8" xr:uid="{00000000-0004-0000-0400-000007000000}"/>
    <hyperlink ref="F648" r:id="rId9" xr:uid="{00000000-0004-0000-0400-000008000000}"/>
    <hyperlink ref="F649" r:id="rId10" xr:uid="{00000000-0004-0000-0400-000009000000}"/>
    <hyperlink ref="F650" r:id="rId11" xr:uid="{00000000-0004-0000-0400-00000A000000}"/>
    <hyperlink ref="F651" r:id="rId12" xr:uid="{00000000-0004-0000-0400-00000B000000}"/>
    <hyperlink ref="F652" r:id="rId13" xr:uid="{00000000-0004-0000-0400-00000C000000}"/>
    <hyperlink ref="F653" r:id="rId14" xr:uid="{00000000-0004-0000-0400-00000D000000}"/>
    <hyperlink ref="F654" r:id="rId15" xr:uid="{00000000-0004-0000-0400-00000E000000}"/>
    <hyperlink ref="F655" r:id="rId16" xr:uid="{00000000-0004-0000-0400-00000F000000}"/>
    <hyperlink ref="F656" r:id="rId17" xr:uid="{00000000-0004-0000-0400-000010000000}"/>
    <hyperlink ref="F657" r:id="rId18" xr:uid="{00000000-0004-0000-0400-000011000000}"/>
    <hyperlink ref="F658" r:id="rId19" xr:uid="{00000000-0004-0000-0400-000012000000}"/>
    <hyperlink ref="F659" r:id="rId20" xr:uid="{00000000-0004-0000-0400-000013000000}"/>
    <hyperlink ref="F660" r:id="rId21" xr:uid="{00000000-0004-0000-0400-000014000000}"/>
    <hyperlink ref="F661" r:id="rId22" xr:uid="{00000000-0004-0000-0400-000015000000}"/>
    <hyperlink ref="F662" r:id="rId23" xr:uid="{00000000-0004-0000-0400-000016000000}"/>
    <hyperlink ref="F663" r:id="rId24" xr:uid="{00000000-0004-0000-0400-000017000000}"/>
    <hyperlink ref="F664" r:id="rId25" xr:uid="{00000000-0004-0000-0400-000018000000}"/>
    <hyperlink ref="F665" r:id="rId26" xr:uid="{00000000-0004-0000-0400-000019000000}"/>
    <hyperlink ref="F666" r:id="rId27" xr:uid="{00000000-0004-0000-0400-00001A000000}"/>
    <hyperlink ref="F667" r:id="rId28" xr:uid="{00000000-0004-0000-0400-00001B000000}"/>
    <hyperlink ref="F668" r:id="rId29" xr:uid="{00000000-0004-0000-0400-00001C000000}"/>
    <hyperlink ref="F669" r:id="rId30" xr:uid="{00000000-0004-0000-0400-00001D000000}"/>
    <hyperlink ref="F670" r:id="rId31" xr:uid="{00000000-0004-0000-0400-00001E000000}"/>
    <hyperlink ref="F671" r:id="rId32" xr:uid="{00000000-0004-0000-0400-00001F000000}"/>
    <hyperlink ref="F672" r:id="rId33" xr:uid="{00000000-0004-0000-0400-000020000000}"/>
    <hyperlink ref="F673" r:id="rId34" xr:uid="{00000000-0004-0000-0400-000021000000}"/>
    <hyperlink ref="F674" r:id="rId35" xr:uid="{00000000-0004-0000-0400-000022000000}"/>
    <hyperlink ref="F675" r:id="rId36" xr:uid="{00000000-0004-0000-0400-000023000000}"/>
    <hyperlink ref="F676" r:id="rId37" xr:uid="{00000000-0004-0000-0400-000024000000}"/>
    <hyperlink ref="F677" r:id="rId38" xr:uid="{00000000-0004-0000-0400-000025000000}"/>
    <hyperlink ref="F678" r:id="rId39" xr:uid="{00000000-0004-0000-0400-000026000000}"/>
    <hyperlink ref="F679" r:id="rId40" xr:uid="{00000000-0004-0000-0400-000027000000}"/>
    <hyperlink ref="F680" r:id="rId41" xr:uid="{00000000-0004-0000-0400-000028000000}"/>
    <hyperlink ref="F681" r:id="rId42" xr:uid="{00000000-0004-0000-0400-000029000000}"/>
    <hyperlink ref="F682" r:id="rId43" xr:uid="{00000000-0004-0000-0400-00002A000000}"/>
    <hyperlink ref="F683" r:id="rId44" xr:uid="{00000000-0004-0000-0400-00002B000000}"/>
    <hyperlink ref="F684" r:id="rId45" xr:uid="{00000000-0004-0000-0400-00002C000000}"/>
    <hyperlink ref="F685" r:id="rId46" xr:uid="{00000000-0004-0000-0400-00002D000000}"/>
    <hyperlink ref="F686" r:id="rId47" xr:uid="{00000000-0004-0000-0400-00002E000000}"/>
    <hyperlink ref="F687" r:id="rId48" xr:uid="{00000000-0004-0000-0400-00002F000000}"/>
    <hyperlink ref="F688" r:id="rId49" xr:uid="{00000000-0004-0000-0400-000030000000}"/>
    <hyperlink ref="F689" r:id="rId50" xr:uid="{00000000-0004-0000-0400-000031000000}"/>
    <hyperlink ref="F690" r:id="rId51" xr:uid="{00000000-0004-0000-0400-000032000000}"/>
    <hyperlink ref="F691" r:id="rId52" xr:uid="{00000000-0004-0000-0400-000033000000}"/>
    <hyperlink ref="F692" r:id="rId53" xr:uid="{00000000-0004-0000-0400-000034000000}"/>
    <hyperlink ref="F693" r:id="rId54" xr:uid="{00000000-0004-0000-0400-000035000000}"/>
    <hyperlink ref="F694" r:id="rId55" xr:uid="{00000000-0004-0000-0400-000036000000}"/>
    <hyperlink ref="F695" r:id="rId56" xr:uid="{00000000-0004-0000-0400-000037000000}"/>
    <hyperlink ref="F696" r:id="rId57" xr:uid="{00000000-0004-0000-0400-000038000000}"/>
    <hyperlink ref="F697" r:id="rId58" xr:uid="{00000000-0004-0000-0400-000039000000}"/>
    <hyperlink ref="F698" r:id="rId59" xr:uid="{00000000-0004-0000-0400-00003A000000}"/>
    <hyperlink ref="F699" r:id="rId60" xr:uid="{00000000-0004-0000-0400-00003B000000}"/>
    <hyperlink ref="F700" r:id="rId61" xr:uid="{00000000-0004-0000-0400-00003C000000}"/>
    <hyperlink ref="F701" r:id="rId62" xr:uid="{00000000-0004-0000-0400-00003D000000}"/>
    <hyperlink ref="F702" r:id="rId63" xr:uid="{00000000-0004-0000-0400-00003E000000}"/>
    <hyperlink ref="F703" r:id="rId64" xr:uid="{00000000-0004-0000-0400-00003F000000}"/>
    <hyperlink ref="F704" r:id="rId65" xr:uid="{00000000-0004-0000-0400-000040000000}"/>
    <hyperlink ref="F705" r:id="rId66" xr:uid="{00000000-0004-0000-0400-000041000000}"/>
    <hyperlink ref="F706" r:id="rId67" xr:uid="{00000000-0004-0000-0400-000042000000}"/>
    <hyperlink ref="F707" r:id="rId68" xr:uid="{00000000-0004-0000-0400-000043000000}"/>
    <hyperlink ref="F708" r:id="rId69" xr:uid="{00000000-0004-0000-0400-000044000000}"/>
    <hyperlink ref="F709" r:id="rId70" xr:uid="{00000000-0004-0000-0400-000045000000}"/>
    <hyperlink ref="F710" r:id="rId71" xr:uid="{00000000-0004-0000-0400-000046000000}"/>
    <hyperlink ref="F711" r:id="rId72" xr:uid="{00000000-0004-0000-0400-000047000000}"/>
    <hyperlink ref="F712" r:id="rId73" xr:uid="{00000000-0004-0000-0400-000048000000}"/>
    <hyperlink ref="F713" r:id="rId74" xr:uid="{00000000-0004-0000-0400-000049000000}"/>
    <hyperlink ref="F714" r:id="rId75" xr:uid="{00000000-0004-0000-0400-00004A000000}"/>
    <hyperlink ref="F715" r:id="rId76" xr:uid="{00000000-0004-0000-0400-00004B000000}"/>
    <hyperlink ref="F716" r:id="rId77" xr:uid="{00000000-0004-0000-0400-00004C000000}"/>
    <hyperlink ref="F717" r:id="rId78" xr:uid="{00000000-0004-0000-0400-00004D000000}"/>
    <hyperlink ref="F718" r:id="rId79" xr:uid="{00000000-0004-0000-0400-00004E000000}"/>
    <hyperlink ref="F719" r:id="rId80" xr:uid="{00000000-0004-0000-0400-00004F000000}"/>
    <hyperlink ref="F720" r:id="rId81" xr:uid="{00000000-0004-0000-0400-000050000000}"/>
    <hyperlink ref="F721" r:id="rId82" xr:uid="{00000000-0004-0000-0400-000051000000}"/>
    <hyperlink ref="F722" r:id="rId83" xr:uid="{00000000-0004-0000-0400-000052000000}"/>
    <hyperlink ref="F723" r:id="rId84" xr:uid="{00000000-0004-0000-0400-000053000000}"/>
    <hyperlink ref="F724" r:id="rId85" xr:uid="{00000000-0004-0000-0400-000054000000}"/>
    <hyperlink ref="F725" r:id="rId86" xr:uid="{00000000-0004-0000-0400-000055000000}"/>
    <hyperlink ref="F726" r:id="rId87" xr:uid="{00000000-0004-0000-0400-000056000000}"/>
    <hyperlink ref="F727" r:id="rId88" xr:uid="{00000000-0004-0000-0400-000057000000}"/>
    <hyperlink ref="F728" r:id="rId89" xr:uid="{00000000-0004-0000-0400-000058000000}"/>
    <hyperlink ref="F729" r:id="rId90" xr:uid="{00000000-0004-0000-0400-000059000000}"/>
    <hyperlink ref="F730" r:id="rId91" xr:uid="{00000000-0004-0000-0400-00005A000000}"/>
    <hyperlink ref="F731" r:id="rId92" xr:uid="{00000000-0004-0000-0400-00005B000000}"/>
    <hyperlink ref="F732" r:id="rId93" xr:uid="{00000000-0004-0000-0400-00005C000000}"/>
    <hyperlink ref="F734" r:id="rId94" xr:uid="{00000000-0004-0000-0400-00005D000000}"/>
    <hyperlink ref="F735" r:id="rId95" xr:uid="{00000000-0004-0000-0400-00005E000000}"/>
    <hyperlink ref="F736" r:id="rId96" xr:uid="{00000000-0004-0000-0400-00005F000000}"/>
    <hyperlink ref="F737" r:id="rId97" xr:uid="{00000000-0004-0000-0400-000060000000}"/>
    <hyperlink ref="F738" r:id="rId98" xr:uid="{00000000-0004-0000-0400-000061000000}"/>
    <hyperlink ref="F739" r:id="rId99" xr:uid="{00000000-0004-0000-0400-000062000000}"/>
    <hyperlink ref="F740" r:id="rId100" xr:uid="{00000000-0004-0000-0400-000063000000}"/>
    <hyperlink ref="F741" r:id="rId101" xr:uid="{00000000-0004-0000-0400-000064000000}"/>
    <hyperlink ref="F742" r:id="rId102" xr:uid="{00000000-0004-0000-0400-000065000000}"/>
    <hyperlink ref="F743" r:id="rId103" xr:uid="{00000000-0004-0000-0400-000066000000}"/>
    <hyperlink ref="F744" r:id="rId104" xr:uid="{00000000-0004-0000-0400-000067000000}"/>
    <hyperlink ref="F745" r:id="rId105" xr:uid="{00000000-0004-0000-0400-000068000000}"/>
    <hyperlink ref="F746" r:id="rId106" xr:uid="{00000000-0004-0000-0400-000069000000}"/>
    <hyperlink ref="F747" r:id="rId107" xr:uid="{00000000-0004-0000-0400-00006A000000}"/>
    <hyperlink ref="F748" r:id="rId108" xr:uid="{00000000-0004-0000-0400-00006B000000}"/>
    <hyperlink ref="F749" r:id="rId109" xr:uid="{00000000-0004-0000-0400-00006C000000}"/>
    <hyperlink ref="F750" r:id="rId110" xr:uid="{00000000-0004-0000-0400-00006D000000}"/>
    <hyperlink ref="F751" r:id="rId111" xr:uid="{00000000-0004-0000-0400-00006E000000}"/>
    <hyperlink ref="F752" r:id="rId112" xr:uid="{00000000-0004-0000-0400-00006F000000}"/>
    <hyperlink ref="F753" r:id="rId113" xr:uid="{00000000-0004-0000-0400-000070000000}"/>
    <hyperlink ref="F754" r:id="rId114" xr:uid="{00000000-0004-0000-0400-000071000000}"/>
    <hyperlink ref="F1266" r:id="rId115" xr:uid="{00000000-0004-0000-0400-000072000000}"/>
    <hyperlink ref="F1267" r:id="rId116" xr:uid="{00000000-0004-0000-0400-000073000000}"/>
    <hyperlink ref="F1269" r:id="rId117" xr:uid="{00000000-0004-0000-0400-000074000000}"/>
    <hyperlink ref="F1270" r:id="rId118" xr:uid="{00000000-0004-0000-0400-000075000000}"/>
    <hyperlink ref="F1271" r:id="rId119" xr:uid="{00000000-0004-0000-0400-000076000000}"/>
    <hyperlink ref="F1272" r:id="rId120" xr:uid="{00000000-0004-0000-0400-000077000000}"/>
    <hyperlink ref="F1273" r:id="rId121" xr:uid="{00000000-0004-0000-0400-000078000000}"/>
    <hyperlink ref="F1274" r:id="rId122" xr:uid="{00000000-0004-0000-0400-000079000000}"/>
    <hyperlink ref="F1275" r:id="rId123" xr:uid="{00000000-0004-0000-0400-00007A000000}"/>
    <hyperlink ref="F1276" r:id="rId124" xr:uid="{00000000-0004-0000-0400-00007B000000}"/>
    <hyperlink ref="F1277" r:id="rId125" xr:uid="{00000000-0004-0000-0400-00007C000000}"/>
    <hyperlink ref="F1278" r:id="rId126" xr:uid="{00000000-0004-0000-0400-00007D000000}"/>
    <hyperlink ref="F1279" r:id="rId127" xr:uid="{00000000-0004-0000-0400-00007E000000}"/>
    <hyperlink ref="F1280" r:id="rId128" xr:uid="{00000000-0004-0000-0400-00007F000000}"/>
    <hyperlink ref="F1281" r:id="rId129" xr:uid="{00000000-0004-0000-0400-000080000000}"/>
    <hyperlink ref="F1561" r:id="rId130" xr:uid="{00000000-0004-0000-0400-000081000000}"/>
    <hyperlink ref="F1562" r:id="rId131" xr:uid="{00000000-0004-0000-0400-000082000000}"/>
    <hyperlink ref="F1563" r:id="rId132" xr:uid="{00000000-0004-0000-0400-000083000000}"/>
    <hyperlink ref="F1564" r:id="rId133" xr:uid="{00000000-0004-0000-0400-000084000000}"/>
    <hyperlink ref="F1565" r:id="rId134" xr:uid="{00000000-0004-0000-0400-000085000000}"/>
    <hyperlink ref="F1566" r:id="rId135" xr:uid="{00000000-0004-0000-0400-000086000000}"/>
    <hyperlink ref="F1651" r:id="rId136" xr:uid="{00000000-0004-0000-0400-000087000000}"/>
    <hyperlink ref="F1652" r:id="rId137" xr:uid="{00000000-0004-0000-0400-000088000000}"/>
    <hyperlink ref="F1653" r:id="rId138" xr:uid="{00000000-0004-0000-0400-000089000000}"/>
    <hyperlink ref="F1654" r:id="rId139" xr:uid="{00000000-0004-0000-0400-00008A000000}"/>
    <hyperlink ref="F1655" r:id="rId140" xr:uid="{00000000-0004-0000-0400-00008B000000}"/>
    <hyperlink ref="F1656" r:id="rId141" xr:uid="{00000000-0004-0000-0400-00008C000000}"/>
    <hyperlink ref="F1942" r:id="rId142" xr:uid="{00000000-0004-0000-0400-00008D000000}"/>
    <hyperlink ref="F1943" r:id="rId143" xr:uid="{00000000-0004-0000-0400-00008E000000}"/>
    <hyperlink ref="F1944" r:id="rId144" xr:uid="{00000000-0004-0000-0400-00008F000000}"/>
    <hyperlink ref="F1945" r:id="rId145" xr:uid="{00000000-0004-0000-0400-000090000000}"/>
    <hyperlink ref="F1946" r:id="rId146" xr:uid="{00000000-0004-0000-0400-000091000000}"/>
    <hyperlink ref="F1951" r:id="rId147" xr:uid="{00000000-0004-0000-0400-000092000000}"/>
    <hyperlink ref="F1952" r:id="rId148" xr:uid="{00000000-0004-0000-0400-000093000000}"/>
    <hyperlink ref="F1953" r:id="rId149" xr:uid="{00000000-0004-0000-0400-000094000000}"/>
    <hyperlink ref="F1954" r:id="rId150" xr:uid="{00000000-0004-0000-0400-000095000000}"/>
    <hyperlink ref="F1956" r:id="rId151" xr:uid="{00000000-0004-0000-0400-000096000000}"/>
    <hyperlink ref="F1957" r:id="rId152" xr:uid="{00000000-0004-0000-0400-000097000000}"/>
    <hyperlink ref="F1982" r:id="rId153" xr:uid="{00000000-0004-0000-0400-000098000000}"/>
    <hyperlink ref="F1983" r:id="rId154" xr:uid="{00000000-0004-0000-0400-000099000000}"/>
    <hyperlink ref="F1984" r:id="rId155" xr:uid="{00000000-0004-0000-0400-00009A000000}"/>
    <hyperlink ref="F1985" r:id="rId156" xr:uid="{00000000-0004-0000-0400-00009B000000}"/>
    <hyperlink ref="F1986" r:id="rId157" xr:uid="{00000000-0004-0000-0400-00009C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31"/>
  <sheetViews>
    <sheetView workbookViewId="0"/>
  </sheetViews>
  <sheetFormatPr defaultColWidth="12.6640625" defaultRowHeight="15.75" customHeight="1"/>
  <sheetData>
    <row r="1" spans="1:2">
      <c r="A1" s="1" t="s">
        <v>728</v>
      </c>
      <c r="B1" s="1" t="s">
        <v>729</v>
      </c>
    </row>
    <row r="2" spans="1:2">
      <c r="A2" s="1" t="s">
        <v>6</v>
      </c>
      <c r="B2" s="1" t="s">
        <v>183</v>
      </c>
    </row>
    <row r="4" spans="1:2">
      <c r="A4" s="5" t="s">
        <v>374</v>
      </c>
      <c r="B4" s="5" t="s">
        <v>2</v>
      </c>
    </row>
    <row r="5" spans="1:2">
      <c r="A5" s="1" t="str">
        <f ca="1">IFERROR(__xludf.DUMMYFUNCTION("IFERROR(FILTER('キャラクター名'!E2:E1000,'キャラクター名'!D2:D1000= B2),"""")"),"ノエ")</f>
        <v>ノエ</v>
      </c>
      <c r="B5" s="1" t="str">
        <f ca="1">IFERROR(__xludf.DUMMYFUNCTION("IFERROR(FILTER('キャラクター名'!B2:B1000,'キャラクター名'!D2:D1000=B2),"""")"),"上村祐翔")</f>
        <v>上村祐翔</v>
      </c>
    </row>
    <row r="6" spans="1:2">
      <c r="A6" s="1" t="str">
        <f ca="1">IFERROR(__xludf.DUMMYFUNCTION("""COMPUTED_VALUE"""),"レオード")</f>
        <v>レオード</v>
      </c>
      <c r="B6" s="1" t="str">
        <f ca="1">IFERROR(__xludf.DUMMYFUNCTION("""COMPUTED_VALUE"""),"増田俊樹")</f>
        <v>増田俊樹</v>
      </c>
    </row>
    <row r="7" spans="1:2">
      <c r="A7" s="1" t="str">
        <f ca="1">IFERROR(__xludf.DUMMYFUNCTION("""COMPUTED_VALUE"""),"シンバ")</f>
        <v>シンバ</v>
      </c>
      <c r="B7" s="1" t="str">
        <f ca="1">IFERROR(__xludf.DUMMYFUNCTION("""COMPUTED_VALUE"""),"八代拓")</f>
        <v>八代拓</v>
      </c>
    </row>
    <row r="8" spans="1:2">
      <c r="A8" s="1" t="str">
        <f ca="1">IFERROR(__xludf.DUMMYFUNCTION("""COMPUTED_VALUE"""),"トーマ")</f>
        <v>トーマ</v>
      </c>
      <c r="B8" s="1" t="str">
        <f ca="1">IFERROR(__xludf.DUMMYFUNCTION("""COMPUTED_VALUE"""),"武内駿輔")</f>
        <v>武内駿輔</v>
      </c>
    </row>
    <row r="9" spans="1:2">
      <c r="A9" s="1" t="str">
        <f ca="1">IFERROR(__xludf.DUMMYFUNCTION("""COMPUTED_VALUE"""),"シックス")</f>
        <v>シックス</v>
      </c>
      <c r="B9" s="1" t="str">
        <f ca="1">IFERROR(__xludf.DUMMYFUNCTION("""COMPUTED_VALUE"""),"立花慎之介")</f>
        <v>立花慎之介</v>
      </c>
    </row>
    <row r="10" spans="1:2">
      <c r="A10" s="1" t="str">
        <f ca="1">IFERROR(__xludf.DUMMYFUNCTION("""COMPUTED_VALUE"""),"エーダッシュ")</f>
        <v>エーダッシュ</v>
      </c>
      <c r="B10" s="1" t="str">
        <f ca="1">IFERROR(__xludf.DUMMYFUNCTION("""COMPUTED_VALUE"""),"木村良平")</f>
        <v>木村良平</v>
      </c>
    </row>
    <row r="11" spans="1:2">
      <c r="A11" s="1" t="str">
        <f ca="1">IFERROR(__xludf.DUMMYFUNCTION("""COMPUTED_VALUE"""),"ナイトメア")</f>
        <v>ナイトメア</v>
      </c>
      <c r="B11" s="1" t="str">
        <f ca="1">IFERROR(__xludf.DUMMYFUNCTION("""COMPUTED_VALUE"""),"田丸篤志")</f>
        <v>田丸篤志</v>
      </c>
    </row>
    <row r="12" spans="1:2">
      <c r="A12" s="1" t="str">
        <f ca="1">IFERROR(__xludf.DUMMYFUNCTION("""COMPUTED_VALUE"""),"ジン")</f>
        <v>ジン</v>
      </c>
      <c r="B12" s="1" t="str">
        <f ca="1">IFERROR(__xludf.DUMMYFUNCTION("""COMPUTED_VALUE"""),"寺島惇太")</f>
        <v>寺島惇太</v>
      </c>
    </row>
    <row r="13" spans="1:2">
      <c r="A13" s="1" t="str">
        <f ca="1">IFERROR(__xludf.DUMMYFUNCTION("""COMPUTED_VALUE"""),"カイト")</f>
        <v>カイト</v>
      </c>
      <c r="B13" s="1" t="str">
        <f ca="1">IFERROR(__xludf.DUMMYFUNCTION("""COMPUTED_VALUE"""),"小林裕介")</f>
        <v>小林裕介</v>
      </c>
    </row>
    <row r="14" spans="1:2">
      <c r="A14" s="1" t="str">
        <f ca="1">IFERROR(__xludf.DUMMYFUNCTION("""COMPUTED_VALUE"""),"ユゥ")</f>
        <v>ユゥ</v>
      </c>
      <c r="B14" s="1" t="str">
        <f ca="1">IFERROR(__xludf.DUMMYFUNCTION("""COMPUTED_VALUE"""),"花江夏樹")</f>
        <v>花江夏樹</v>
      </c>
    </row>
    <row r="15" spans="1:2">
      <c r="A15" s="1" t="str">
        <f ca="1">IFERROR(__xludf.DUMMYFUNCTION("""COMPUTED_VALUE"""),"コーシ")</f>
        <v>コーシ</v>
      </c>
      <c r="B15" s="1" t="str">
        <f ca="1">IFERROR(__xludf.DUMMYFUNCTION("""COMPUTED_VALUE"""),"榎木淳弥")</f>
        <v>榎木淳弥</v>
      </c>
    </row>
    <row r="16" spans="1:2">
      <c r="A16" s="1" t="str">
        <f ca="1">IFERROR(__xludf.DUMMYFUNCTION("""COMPUTED_VALUE"""),"シモン")</f>
        <v>シモン</v>
      </c>
      <c r="B16" s="1" t="str">
        <f ca="1">IFERROR(__xludf.DUMMYFUNCTION("""COMPUTED_VALUE"""),"石川界人")</f>
        <v>石川界人</v>
      </c>
    </row>
    <row r="17" spans="1:2">
      <c r="A17" s="1" t="str">
        <f ca="1">IFERROR(__xludf.DUMMYFUNCTION("""COMPUTED_VALUE"""),"ジュダ")</f>
        <v>ジュダ</v>
      </c>
      <c r="B17" s="1" t="str">
        <f ca="1">IFERROR(__xludf.DUMMYFUNCTION("""COMPUTED_VALUE"""),"斉藤壮馬")</f>
        <v>斉藤壮馬</v>
      </c>
    </row>
    <row r="18" spans="1:2">
      <c r="A18" s="1" t="str">
        <f ca="1">IFERROR(__xludf.DUMMYFUNCTION("""COMPUTED_VALUE"""),"シズル")</f>
        <v>シズル</v>
      </c>
      <c r="B18" s="1" t="str">
        <f ca="1">IFERROR(__xludf.DUMMYFUNCTION("""COMPUTED_VALUE"""),"山谷祥生")</f>
        <v>山谷祥生</v>
      </c>
    </row>
    <row r="19" spans="1:2">
      <c r="A19" s="1" t="str">
        <f ca="1">IFERROR(__xludf.DUMMYFUNCTION("""COMPUTED_VALUE"""),"オーギ")</f>
        <v>オーギ</v>
      </c>
      <c r="B19" s="1" t="str">
        <f ca="1">IFERROR(__xludf.DUMMYFUNCTION("""COMPUTED_VALUE"""),"古川慎")</f>
        <v>古川慎</v>
      </c>
    </row>
    <row r="20" spans="1:2">
      <c r="A20" s="1" t="str">
        <f ca="1">IFERROR(__xludf.DUMMYFUNCTION("""COMPUTED_VALUE"""),"モモチ")</f>
        <v>モモチ</v>
      </c>
      <c r="B20" s="1" t="str">
        <f ca="1">IFERROR(__xludf.DUMMYFUNCTION("""COMPUTED_VALUE"""),"豊永利行")</f>
        <v>豊永利行</v>
      </c>
    </row>
    <row r="21" spans="1:2">
      <c r="A21" s="1" t="str">
        <f ca="1">IFERROR(__xludf.DUMMYFUNCTION("""COMPUTED_VALUE"""),"アマ")</f>
        <v>アマ</v>
      </c>
      <c r="B21" s="1" t="str">
        <f ca="1">IFERROR(__xludf.DUMMYFUNCTION("""COMPUTED_VALUE"""),"河西健吾")</f>
        <v>河西健吾</v>
      </c>
    </row>
    <row r="22" spans="1:2">
      <c r="A22" s="1" t="str">
        <f ca="1">IFERROR(__xludf.DUMMYFUNCTION("""COMPUTED_VALUE"""),"ヤマト")</f>
        <v>ヤマト</v>
      </c>
      <c r="B22" s="1" t="str">
        <f ca="1">IFERROR(__xludf.DUMMYFUNCTION("""COMPUTED_VALUE"""),"土岐隼一")</f>
        <v>土岐隼一</v>
      </c>
    </row>
    <row r="23" spans="1:2">
      <c r="A23" s="1" t="str">
        <f ca="1">IFERROR(__xludf.DUMMYFUNCTION("""COMPUTED_VALUE"""),"ソータ")</f>
        <v>ソータ</v>
      </c>
      <c r="B23" s="1" t="str">
        <f ca="1">IFERROR(__xludf.DUMMYFUNCTION("""COMPUTED_VALUE"""),"永塚拓馬")</f>
        <v>永塚拓馬</v>
      </c>
    </row>
    <row r="24" spans="1:2">
      <c r="A24" s="1" t="str">
        <f ca="1">IFERROR(__xludf.DUMMYFUNCTION("""COMPUTED_VALUE"""),"マツ")</f>
        <v>マツ</v>
      </c>
      <c r="B24" s="1" t="str">
        <f ca="1">IFERROR(__xludf.DUMMYFUNCTION("""COMPUTED_VALUE"""),"小林千晃")</f>
        <v>小林千晃</v>
      </c>
    </row>
    <row r="25" spans="1:2">
      <c r="A25" s="1" t="str">
        <f ca="1">IFERROR(__xludf.DUMMYFUNCTION("""COMPUTED_VALUE"""),"ヨシュア")</f>
        <v>ヨシュア</v>
      </c>
      <c r="B25" s="1" t="str">
        <f ca="1">IFERROR(__xludf.DUMMYFUNCTION("""COMPUTED_VALUE"""),"島﨑信長")</f>
        <v>島﨑信長</v>
      </c>
    </row>
    <row r="26" spans="1:2">
      <c r="A26" s="1" t="str">
        <f ca="1">IFERROR(__xludf.DUMMYFUNCTION("""COMPUTED_VALUE"""),"ユキ")</f>
        <v>ユキ</v>
      </c>
      <c r="B26" s="1" t="str">
        <f ca="1">IFERROR(__xludf.DUMMYFUNCTION("""COMPUTED_VALUE"""),"柿原徹也")</f>
        <v>柿原徹也</v>
      </c>
    </row>
    <row r="27" spans="1:2">
      <c r="A27" s="1" t="str">
        <f ca="1">IFERROR(__xludf.DUMMYFUNCTION("""COMPUTED_VALUE"""),"シエル")</f>
        <v>シエル</v>
      </c>
      <c r="B27" s="1" t="str">
        <f ca="1">IFERROR(__xludf.DUMMYFUNCTION("""COMPUTED_VALUE"""),"KENN")</f>
        <v>KENN</v>
      </c>
    </row>
    <row r="28" spans="1:2">
      <c r="A28" s="1" t="str">
        <f ca="1">IFERROR(__xludf.DUMMYFUNCTION("""COMPUTED_VALUE"""),"ヨハネ")</f>
        <v>ヨハネ</v>
      </c>
      <c r="B28" s="1" t="str">
        <f ca="1">IFERROR(__xludf.DUMMYFUNCTION("""COMPUTED_VALUE"""),"ランズベリー・アーサー")</f>
        <v>ランズベリー・アーサー</v>
      </c>
    </row>
    <row r="29" spans="1:2">
      <c r="A29" s="1" t="str">
        <f ca="1">IFERROR(__xludf.DUMMYFUNCTION("""COMPUTED_VALUE"""),"アイス")</f>
        <v>アイス</v>
      </c>
      <c r="B29" s="1" t="str">
        <f ca="1">IFERROR(__xludf.DUMMYFUNCTION("""COMPUTED_VALUE"""),"大河元気")</f>
        <v>大河元気</v>
      </c>
    </row>
    <row r="30" spans="1:2">
      <c r="A30" s="1" t="str">
        <f ca="1">IFERROR(__xludf.DUMMYFUNCTION("""COMPUTED_VALUE"""),"レヴェリー")</f>
        <v>レヴェリー</v>
      </c>
      <c r="B30" s="1" t="str">
        <f ca="1">IFERROR(__xludf.DUMMYFUNCTION("""COMPUTED_VALUE"""),"前野智昭")</f>
        <v>前野智昭</v>
      </c>
    </row>
    <row r="31" spans="1:2">
      <c r="A31" s="1" t="str">
        <f ca="1">IFERROR(__xludf.DUMMYFUNCTION("""COMPUTED_VALUE"""),"ルカ")</f>
        <v>ルカ</v>
      </c>
      <c r="B31" s="1" t="str">
        <f ca="1">IFERROR(__xludf.DUMMYFUNCTION("""COMPUTED_VALUE"""),"蒼井翔太")</f>
        <v>蒼井翔太</v>
      </c>
    </row>
  </sheetData>
  <phoneticPr fontId="19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500-000000000000}">
          <x14:formula1>
            <xm:f>作品一覧!$B$3:$B1000</xm:f>
          </x14:formula1>
          <xm:sqref>B2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作品一覧</vt:lpstr>
      <vt:lpstr>声優一覧</vt:lpstr>
      <vt:lpstr>声優50音順</vt:lpstr>
      <vt:lpstr>定番声優一覧</vt:lpstr>
      <vt:lpstr>代表作一覧</vt:lpstr>
      <vt:lpstr>キャラクター名</vt:lpstr>
      <vt:lpstr>ソート用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大沢望東子</dc:creator>
  <cp:lastModifiedBy>望東子 大沢</cp:lastModifiedBy>
  <dcterms:created xsi:type="dcterms:W3CDTF">2026-10-24T11:21:05Z</dcterms:created>
  <dcterms:modified xsi:type="dcterms:W3CDTF">2026-10-24T14:31:07Z</dcterms:modified>
</cp:coreProperties>
</file>